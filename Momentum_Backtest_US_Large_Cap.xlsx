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756713d8f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1aef0992a8a4a89"/>
    <x:sheet xmlns:r="http://schemas.openxmlformats.org/officeDocument/2006/relationships" name="Strategy Settings" sheetId="2" r:id="R36e60ed75b46403d"/>
    <x:sheet xmlns:r="http://schemas.openxmlformats.org/officeDocument/2006/relationships" name="Return Data" sheetId="3" r:id="R5fd6d0eb05ea49a1"/>
    <x:sheet xmlns:r="http://schemas.openxmlformats.org/officeDocument/2006/relationships" name="Momentum Ranks" sheetId="4" r:id="R351fd50a0a6043e0"/>
    <x:sheet xmlns:r="http://schemas.openxmlformats.org/officeDocument/2006/relationships" name="Backtest" sheetId="5" r:id="R51e58d1cacbc495d"/>
    <x:sheet xmlns:r="http://schemas.openxmlformats.org/officeDocument/2006/relationships" name="Performance" sheetId="6" r:id="R804c41598c82479d"/>
    <x:sheet xmlns:r="http://schemas.openxmlformats.org/officeDocument/2006/relationships" name="Methodology &amp; Sources" sheetId="7" r:id="R7a4e77d2f6b447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[Red](0.0%);-"/>
    <x:numFmt numFmtId="201" formatCode="mmm-yy"/>
    <x:numFmt numFmtId="202" formatCode="0.00%;[Red](0.00%);-"/>
    <x:numFmt numFmtId="203" formatCode="0.00x"/>
    <x:numFmt numFmtId="204" formatCode="0.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EAF0F6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3" fillId="0" borderId="1" xfId="0" applyNumberFormat="1" applyFont="1" applyFill="1" applyBorder="1"/>
    <x:xf numFmtId="202" fontId="3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0" fontId="0" fillId="6" borderId="0" xfId="0" applyNumberFormat="1" applyFont="1" applyFill="1" applyBorder="1"/>
    <x:xf numFmtId="204" fontId="0" fillId="6" borderId="0" xfId="0" applyNumberFormat="1" applyFont="1" applyFill="1" applyBorder="1"/>
    <x:xf numFmtId="200" fontId="2" fillId="6" borderId="0" xfId="0" applyNumberFormat="1" applyFont="1" applyFill="1" applyBorder="1"/>
    <x:xf numFmtId="204" fontId="2" fillId="6" borderId="0" xfId="0" applyNumberFormat="1" applyFont="1" applyFill="1" applyBorder="1"/>
    <x:xf numFmtId="200" fontId="2" fillId="6" borderId="0" xfId="0" applyNumberFormat="1" applyFont="1" applyFill="1" applyBorder="1" applyAlignment="1">
      <x:alignment horizontal="center"/>
    </x:xf>
    <x:xf numFmtId="204" fontId="2" fillId="6" borderId="0" xfId="0" applyNumberFormat="1" applyFont="1" applyFill="1" applyBorder="1" applyAlignment="1">
      <x:alignment horizontal="center"/>
    </x:xf>
    <x:xf numFmtId="200" fontId="0" fillId="6" borderId="1" xfId="0" applyNumberFormat="1" applyFont="1" applyFill="1" applyBorder="1"/>
    <x:xf numFmtId="204" fontId="0" fillId="6" borderId="1" xfId="0" applyNumberFormat="1" applyFont="1" applyFill="1" applyBorder="1"/>
    <x:xf numFmtId="200" fontId="2" fillId="6" borderId="1" xfId="0" applyNumberFormat="1" applyFont="1" applyFill="1" applyBorder="1"/>
    <x:xf numFmtId="204" fontId="2" fillId="6" borderId="1" xfId="0" applyNumberFormat="1" applyFont="1" applyFill="1" applyBorder="1"/>
    <x:xf numFmtId="200" fontId="2" fillId="6" borderId="1" xfId="0" applyNumberFormat="1" applyFont="1" applyFill="1" applyBorder="1" applyAlignment="1">
      <x:alignment horizontal="center"/>
    </x:xf>
    <x:xf numFmtId="204" fontId="2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5821678d1e48c8" /><Relationship Type="http://schemas.openxmlformats.org/officeDocument/2006/relationships/theme" Target="/xl/theme/theme1.xml" Id="R2c6feaf5586e41e3" /><Relationship Type="http://schemas.openxmlformats.org/officeDocument/2006/relationships/sharedStrings" Target="/xl/sharedStrings.xml" Id="R97da8eb6d3b643e6" /><Relationship Type="http://schemas.openxmlformats.org/officeDocument/2006/relationships/worksheet" Target="/xl/worksheets/sheet1.xml" Id="Rf1aef0992a8a4a89" /><Relationship Type="http://schemas.openxmlformats.org/officeDocument/2006/relationships/worksheet" Target="/xl/worksheets/sheet2.xml" Id="R36e60ed75b46403d" /><Relationship Type="http://schemas.openxmlformats.org/officeDocument/2006/relationships/worksheet" Target="/xl/worksheets/sheet3.xml" Id="R5fd6d0eb05ea49a1" /><Relationship Type="http://schemas.openxmlformats.org/officeDocument/2006/relationships/worksheet" Target="/xl/worksheets/sheet4.xml" Id="R351fd50a0a6043e0" /><Relationship Type="http://schemas.openxmlformats.org/officeDocument/2006/relationships/worksheet" Target="/xl/worksheets/sheet5.xml" Id="R51e58d1cacbc495d" /><Relationship Type="http://schemas.openxmlformats.org/officeDocument/2006/relationships/worksheet" Target="/xl/worksheets/sheet6.xml" Id="R804c41598c82479d" /><Relationship Type="http://schemas.openxmlformats.org/officeDocument/2006/relationships/worksheet" Target="/xl/worksheets/sheet7.xml" Id="R7a4e77d2f6b447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d6d3a9a56b34f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Growth of $1 — Momentum vs Benchmark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Gross Momentum</c:v>
          </c:tx>
          <c:marker>
            <c:symbol val="none"/>
          </c:marker>
          <c:cat>
            <c:strRef>
              <c:f>'Backtest'!$A$4:$A$74</c:f>
              <c:strCache>
                <c:ptCount val="0"/>
              </c:strCache>
            </c:strRef>
          </c:cat>
          <c:val>
            <c:numRef>
              <c:f>'Backtest'!$B$4:$B$74</c:f>
              <c:numCache>
                <c:formatCode>0.00%;[Red](0.00%);-</c:formatCode>
                <c:ptCount val="0"/>
              </c:numCache>
            </c:numRef>
          </c:val>
        </c:ser>
        <c:ser>
          <c:idx val="1"/>
          <c:order val="1"/>
          <c:tx>
            <c:v>Turnover</c:v>
          </c:tx>
          <c:marker>
            <c:symbol val="none"/>
          </c:marker>
          <c:cat>
            <c:strRef>
              <c:f>'Backtest'!$A$4:$A$74</c:f>
              <c:strCache>
                <c:ptCount val="0"/>
              </c:strCache>
            </c:strRef>
          </c:cat>
          <c:val>
            <c:numRef>
              <c:f>'Backtest'!$C$4:$C$74</c:f>
              <c:numCache>
                <c:formatCode>0.00%;[Red](0.00%);-</c:formatCode>
                <c:ptCount val="0"/>
              </c:numCache>
            </c:numRef>
          </c:val>
        </c:ser>
        <c:ser>
          <c:idx val="2"/>
          <c:order val="2"/>
          <c:tx>
            <c:v>Trading Cost</c:v>
          </c:tx>
          <c:marker>
            <c:symbol val="none"/>
          </c:marker>
          <c:cat>
            <c:strRef>
              <c:f>'Backtest'!$A$4:$A$74</c:f>
              <c:strCache>
                <c:ptCount val="0"/>
              </c:strCache>
            </c:strRef>
          </c:cat>
          <c:val>
            <c:numRef>
              <c:f>'Backtest'!$D$4:$D$74</c:f>
              <c:numCache>
                <c:formatCode>0.00%;[Red](0.00%);-</c:formatCode>
                <c:ptCount val="0"/>
              </c:numCache>
            </c:numRef>
          </c:val>
        </c:ser>
        <c:ser>
          <c:idx val="3"/>
          <c:order val="3"/>
          <c:tx>
            <c:v>Net Momentum</c:v>
          </c:tx>
          <c:marker>
            <c:symbol val="none"/>
          </c:marker>
          <c:cat>
            <c:strRef>
              <c:f>'Backtest'!$A$4:$A$74</c:f>
              <c:strCache>
                <c:ptCount val="0"/>
              </c:strCache>
            </c:strRef>
          </c:cat>
          <c:val>
            <c:numRef>
              <c:f>'Backtest'!$E$4:$E$74</c:f>
              <c:numCache>
                <c:formatCode>0.00%;[Red](0.00%);-</c:formatCode>
                <c:ptCount val="0"/>
              </c:numCache>
            </c:numRef>
          </c:val>
        </c:ser>
        <c:ser>
          <c:idx val="4"/>
          <c:order val="4"/>
          <c:tx>
            <c:v>Benchmark</c:v>
          </c:tx>
          <c:marker>
            <c:symbol val="none"/>
          </c:marker>
          <c:cat>
            <c:strRef>
              <c:f>'Backtest'!$A$4:$A$74</c:f>
              <c:strCache>
                <c:ptCount val="0"/>
              </c:strCache>
            </c:strRef>
          </c:cat>
          <c:val>
            <c:numRef>
              <c:f>'Backtest'!$F$4:$F$74</c:f>
              <c:numCache>
                <c:formatCode>0.00%;[Red](0.00%);-</c:formatCode>
                <c:ptCount val="0"/>
              </c:numCache>
            </c:numRef>
          </c:val>
        </c:ser>
        <c:ser>
          <c:idx val="5"/>
          <c:order val="5"/>
          <c:tx>
            <c:v>Excess Return</c:v>
          </c:tx>
          <c:marker>
            <c:symbol val="none"/>
          </c:marker>
          <c:cat>
            <c:strRef>
              <c:f>'Backtest'!$A$4:$A$74</c:f>
              <c:strCache>
                <c:ptCount val="0"/>
              </c:strCache>
            </c:strRef>
          </c:cat>
          <c:val>
            <c:numRef>
              <c:f>'Backtest'!$G$4:$G$74</c:f>
              <c:numCache>
                <c:formatCode>0.00%;[Red](0.00%);-</c:formatCode>
                <c:ptCount val="0"/>
              </c:numCache>
            </c:numRef>
          </c:val>
        </c:ser>
        <c:ser>
          <c:idx val="6"/>
          <c:order val="6"/>
          <c:tx>
            <c:v>Momentum Wealth</c:v>
          </c:tx>
          <c:marker>
            <c:symbol val="none"/>
          </c:marker>
          <c:cat>
            <c:strRef>
              <c:f>'Backtest'!$A$4:$A$74</c:f>
              <c:strCache>
                <c:ptCount val="0"/>
              </c:strCache>
            </c:strRef>
          </c:cat>
          <c:val>
            <c:numRef>
              <c:f>'Backtest'!$H$4:$H$74</c:f>
              <c:numCache>
                <c:formatCode>0.00x</c:formatCode>
                <c:ptCount val="0"/>
              </c:numCache>
            </c:numRef>
          </c:val>
        </c:ser>
        <c:ser>
          <c:idx val="7"/>
          <c:order val="7"/>
          <c:tx>
            <c:v>Benchmark Wealth</c:v>
          </c:tx>
          <c:marker>
            <c:symbol val="none"/>
          </c:marker>
          <c:cat>
            <c:strRef>
              <c:f>'Backtest'!$A$4:$A$74</c:f>
              <c:strCache>
                <c:ptCount val="0"/>
              </c:strCache>
            </c:strRef>
          </c:cat>
          <c:val>
            <c:numRef>
              <c:f>'Backtest'!$I$4:$I$74</c:f>
              <c:numCache>
                <c:formatCode>0.00x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6d3a9a56b34f0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604cd93ad94d1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6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7" customHeight="1">
      <x:c r="A1" s="3" t="str">
        <x:v>Momentum Backtest — US Large Cap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t="str">
        <x:v>12-1 Month Momentum | Monthly Rebalance | Equal-Weight Top Quintile | Quant / Asset Management Portfolio Project</x:v>
      </x:c>
    </x:row>
    <x:row r="4">
      <x:c r="A4" s="17" t="str">
        <x:v>Strategy Performance Snapshot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>
      <x:c r="A5" s="7" t="str">
        <x:v>Momentum CAGR</x:v>
      </x:c>
      <x:c r="B5" s="7" t="str">
        <x:v>Benchmark CAGR</x:v>
      </x:c>
      <x:c r="C5" s="7" t="str">
        <x:v>Excess CAGR</x:v>
      </x:c>
      <x:c r="D5" s="7" t="str">
        <x:v>Volatility</x:v>
      </x:c>
      <x:c r="E5" s="7" t="str">
        <x:v>Sharpe</x:v>
      </x:c>
      <x:c r="F5" s="7" t="str">
        <x:v>Max Drawdown</x:v>
      </x:c>
      <x:c r="G5" s="7" t="str">
        <x:v>Hit Rate</x:v>
      </x:c>
      <x:c r="H5" s="7" t="str">
        <x:v>Avg Turnover</x:v>
      </x:c>
    </x:row>
    <x:row r="6">
      <x:c r="A6" s="38" t="n">
        <x:f>'Performance'!B5</x:f>
        <x:v>0.10114287352606999</x:v>
      </x:c>
      <x:c r="B6" s="38" t="n">
        <x:f>'Performance'!C5</x:f>
        <x:v>0.05243473713829583</x:v>
      </x:c>
      <x:c r="C6" s="38" t="n">
        <x:f>'Performance'!B11</x:f>
        <x:v>0.04870813638777416</x:v>
      </x:c>
      <x:c r="D6" s="38" t="n">
        <x:f>'Performance'!B6</x:f>
        <x:v>0.20955738466363552</x:v>
      </x:c>
      <x:c r="E6" s="39" t="n">
        <x:f>'Performance'!B7</x:f>
        <x:v>0.2917715050901764</x:v>
      </x:c>
      <x:c r="F6" s="38" t="n">
        <x:f>'Performance'!B8</x:f>
        <x:v>0.27483447471588784</x:v>
      </x:c>
      <x:c r="G6" s="38" t="n">
        <x:f>'Performance'!B9</x:f>
        <x:v>0.6197183098591549</x:v>
      </x:c>
      <x:c r="H6" s="38" t="n">
        <x:f>'Performance'!B10</x:f>
        <x:v>0.24295774647887325</x:v>
      </x:c>
    </x:row>
    <x:row r="8">
      <x:c r="A8" s="17" t="str">
        <x:v>Strategy Rules</x:v>
      </x:c>
      <x:c r="B8" s="17"/>
      <x:c r="C8" s="17"/>
      <x:c r="D8" s="17"/>
      <x:c r="E8" s="17"/>
    </x:row>
    <x:row r="9">
      <x:c r="A9" s="46" t="str">
        <x:v>Universe</x:v>
      </x:c>
      <x:c r="B9" s="46" t="str">
        <x:v>20 US large-cap stocks</x:v>
      </x:c>
      <x:c r="C9" s="46" t="str">
        <x:v>Signal</x:v>
      </x:c>
      <x:c r="D9" s="46" t="str">
        <x:v>12-1 month cumulative return</x:v>
      </x:c>
    </x:row>
    <x:row r="10">
      <x:c r="A10" s="46" t="str">
        <x:v>Selection</x:v>
      </x:c>
      <x:c r="B10" s="46" t="str">
        <x:v>Top 4 stocks</x:v>
      </x:c>
      <x:c r="C10" s="46" t="str">
        <x:v>Weighting</x:v>
      </x:c>
      <x:c r="D10" s="46" t="str">
        <x:v>Equal weight</x:v>
      </x:c>
    </x:row>
    <x:row r="11">
      <x:c r="A11" s="46" t="str">
        <x:v>Rebalance</x:v>
      </x:c>
      <x:c r="B11" s="46" t="str">
        <x:v>Monthly</x:v>
      </x:c>
      <x:c r="C11" s="46" t="str">
        <x:v>Trading cost</x:v>
      </x:c>
      <x:c r="D11" s="46" t="str">
        <x:v>10 bps × turnover</x:v>
      </x:c>
    </x:row>
    <x:row r="12">
      <x:c r="A12" s="46" t="str">
        <x:v>Benchmark</x:v>
      </x:c>
      <x:c r="B12" s="46" t="str">
        <x:v>US large-cap proxy</x:v>
      </x:c>
      <x:c r="C12" s="46" t="str">
        <x:v>Hold period</x:v>
      </x:c>
      <x:c r="D12" s="46" t="str">
        <x:v>1 month</x:v>
      </x:c>
    </x:row>
    <x:row r="13">
      <x:c r="A13" s="46" t="str">
        <x:v>Bias control</x:v>
      </x:c>
      <x:c r="B13" s="46" t="str">
        <x:v>Skip latest month</x:v>
      </x:c>
      <x:c r="C13" s="46" t="str">
        <x:v>Data</x:v>
      </x:c>
      <x:c r="D13" s="46" t="str">
        <x:v>Illustrative scenario series</x:v>
      </x:c>
    </x:row>
    <x:row r="22">
      <x:c r="A22" s="17" t="str">
        <x:v>Research Takeaways</x:v>
      </x:c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50" t="str">
        <x:v>The strategy ranks a stable US large-cap universe by cumulative return from months t-12 through t-2, skips the most recent month, buys the top quintile, equal-weights the selected names, applies turnover-based transaction costs and compares results with a broad large-cap benchmark. The project emphasizes signal construction, portfolio formation, implementation costs, drawdown and risk-adjusted performance.</x:v>
      </x:c>
      <x:c r="B23" s="50"/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</x:row>
  </x:sheetData>
  <x:mergeCells>
    <x:mergeCell ref="A1:N1"/>
    <x:mergeCell ref="A2:N2"/>
    <x:mergeCell ref="A4:N4"/>
    <x:mergeCell ref="A8:E8"/>
    <x:mergeCell ref="A22:N22"/>
    <x:mergeCell ref="A23:N27"/>
  </x:mergeCells>
  <x:pageMargins left="0.7" right="0.7" top="0.75" bottom="0.75" header="0.3" footer="0.3"/>
  <x:drawing xmlns:r="http://schemas.openxmlformats.org/officeDocument/2006/relationships" r:id="R05604cd93ad94d17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5" hidden="0" customWidth="1"/>
    <x:col min="3" max="3" width="28" hidden="0" customWidth="1"/>
    <x:col min="4" max="4" width="34" hidden="0" customWidth="1"/>
  </x:cols>
  <x:sheetData>
    <x:row r="1" ht="27" customHeight="1">
      <x:c r="A1" s="3" t="str">
        <x:v>US Large Cap Momentum Strategy — Settings</x:v>
      </x:c>
      <x:c r="B1" s="3"/>
      <x:c r="C1" s="3"/>
      <x:c r="D1" s="3"/>
      <x:c r="E1" s="3"/>
      <x:c r="F1" s="3"/>
      <x:c r="G1" s="3"/>
      <x:c r="H1" s="3"/>
    </x:row>
    <x:row r="4">
      <x:c r="A4" s="7" t="str">
        <x:v>Parameter</x:v>
      </x:c>
      <x:c r="B4" s="7" t="str">
        <x:v>Value</x:v>
      </x:c>
      <x:c r="C4" s="7" t="str">
        <x:v>Definition</x:v>
      </x:c>
      <x:c r="D4" s="7" t="str">
        <x:v>Rationale</x:v>
      </x:c>
    </x:row>
    <x:row r="5">
      <x:c r="A5" t="str">
        <x:v>Lookback Months</x:v>
      </x:c>
      <x:c r="B5" s="11" t="n">
        <x:v>12</x:v>
      </x:c>
      <x:c r="C5" t="str">
        <x:v>Cumulative return lookback</x:v>
      </x:c>
      <x:c r="D5" t="str">
        <x:v>Standard momentum convention</x:v>
      </x:c>
    </x:row>
    <x:row r="6">
      <x:c r="A6" t="str">
        <x:v>Skip Recent Months</x:v>
      </x:c>
      <x:c r="B6" s="11" t="n">
        <x:v>1</x:v>
      </x:c>
      <x:c r="C6" t="str">
        <x:v>Exclude most recent month</x:v>
      </x:c>
      <x:c r="D6" t="str">
        <x:v>Avoid short-term reversal</x:v>
      </x:c>
    </x:row>
    <x:row r="7">
      <x:c r="A7" t="str">
        <x:v>Portfolio Size</x:v>
      </x:c>
      <x:c r="B7" s="11" t="n">
        <x:v>4</x:v>
      </x:c>
      <x:c r="C7" t="str">
        <x:v>Top-ranked stocks held</x:v>
      </x:c>
      <x:c r="D7" t="str">
        <x:v>Top 20% of universe</x:v>
      </x:c>
    </x:row>
    <x:row r="8">
      <x:c r="A8" t="str">
        <x:v>Rebalance Frequency</x:v>
      </x:c>
      <x:c r="B8" s="11" t="n">
        <x:v>1</x:v>
      </x:c>
      <x:c r="C8" t="str">
        <x:v>Months</x:v>
      </x:c>
      <x:c r="D8" t="str">
        <x:v>Monthly</x:v>
      </x:c>
    </x:row>
    <x:row r="9">
      <x:c r="A9" t="str">
        <x:v>Transaction Cost</x:v>
      </x:c>
      <x:c r="B9" s="14" t="n">
        <x:v>0.001</x:v>
      </x:c>
      <x:c r="C9" t="str">
        <x:v>Per one-way turnover</x:v>
      </x:c>
      <x:c r="D9" t="str">
        <x:v>10 bps illustrative</x:v>
      </x:c>
    </x:row>
    <x:row r="10">
      <x:c r="A10" t="str">
        <x:v>Risk-Free Rate</x:v>
      </x:c>
      <x:c r="B10" s="14" t="n">
        <x:v>0.04</x:v>
      </x:c>
      <x:c r="C10" t="str">
        <x:v>Annual</x:v>
      </x:c>
      <x:c r="D10" t="str">
        <x:v>Sharpe ratio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7" customHeight="1">
      <x:c r="A1" s="3" t="str">
        <x:v>Monthly Total Return Dataset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>
      <x:c r="A2" t="str">
        <x:v>84-month illustrative scenario dataset for a stable US large-cap universe. Blue inputs are not actual historical returns; replace with verified total-return data for a live backtest.</x:v>
      </x:c>
    </x:row>
    <x:row r="4">
      <x:c r="A4" s="17" t="str">
        <x:v>Month</x:v>
      </x:c>
      <x:c r="B4" s="17" t="str">
        <x:v>AAPL</x:v>
      </x:c>
      <x:c r="C4" s="17" t="str">
        <x:v>MSFT</x:v>
      </x:c>
      <x:c r="D4" s="17" t="str">
        <x:v>NVDA</x:v>
      </x:c>
      <x:c r="E4" s="17" t="str">
        <x:v>AMZN</x:v>
      </x:c>
      <x:c r="F4" s="17" t="str">
        <x:v>META</x:v>
      </x:c>
      <x:c r="G4" s="17" t="str">
        <x:v>GOOGL</x:v>
      </x:c>
      <x:c r="H4" s="17" t="str">
        <x:v>AVGO</x:v>
      </x:c>
      <x:c r="I4" s="17" t="str">
        <x:v>JPM</x:v>
      </x:c>
      <x:c r="J4" s="17" t="str">
        <x:v>V</x:v>
      </x:c>
      <x:c r="K4" s="17" t="str">
        <x:v>COST</x:v>
      </x:c>
      <x:c r="L4" s="17" t="str">
        <x:v>WMT</x:v>
      </x:c>
      <x:c r="M4" s="17" t="str">
        <x:v>LLY</x:v>
      </x:c>
      <x:c r="N4" s="17" t="str">
        <x:v>XOM</x:v>
      </x:c>
      <x:c r="O4" s="17" t="str">
        <x:v>NFLX</x:v>
      </x:c>
      <x:c r="P4" s="17" t="str">
        <x:v>MA</x:v>
      </x:c>
      <x:c r="Q4" s="17" t="str">
        <x:v>ORCL</x:v>
      </x:c>
      <x:c r="R4" s="17" t="str">
        <x:v>HD</x:v>
      </x:c>
      <x:c r="S4" s="17" t="str">
        <x:v>PG</x:v>
      </x:c>
      <x:c r="T4" s="17" t="str">
        <x:v>JNJ</x:v>
      </x:c>
      <x:c r="U4" s="17" t="str">
        <x:v>KO</x:v>
      </x:c>
      <x:c r="V4" s="17" t="str">
        <x:v>Benchmark</x:v>
      </x:c>
    </x:row>
    <x:row r="5">
      <x:c r="A5" s="20" t="n">
        <x:v>43738</x:v>
      </x:c>
      <x:c r="B5" s="23" t="n">
        <x:v>0.02403105270513249</x:v>
      </x:c>
      <x:c r="C5" s="23" t="n">
        <x:v>0.008139975713784562</x:v>
      </x:c>
      <x:c r="D5" s="23" t="n">
        <x:v>0.04750450027624014</x:v>
      </x:c>
      <x:c r="E5" s="23" t="n">
        <x:v>-0.027165645905028856</x:v>
      </x:c>
      <x:c r="F5" s="23" t="n">
        <x:v>-0.07425520260202562</x:v>
      </x:c>
      <x:c r="G5" s="23" t="n">
        <x:v>0.07646389562505979</x:v>
      </x:c>
      <x:c r="H5" s="23" t="n">
        <x:v>0.05824342763689558</x:v>
      </x:c>
      <x:c r="I5" s="23" t="n">
        <x:v>0.11858261958801858</x:v>
      </x:c>
      <x:c r="J5" s="23" t="n">
        <x:v>-0.0037922099711794562</x:v>
      </x:c>
      <x:c r="K5" s="23" t="n">
        <x:v>0.03980640686627032</x:v>
      </x:c>
      <x:c r="L5" s="23" t="n">
        <x:v>0.005812745622399557</x:v>
      </x:c>
      <x:c r="M5" s="23" t="n">
        <x:v>0.007950839138907907</x:v>
      </x:c>
      <x:c r="N5" s="23" t="n">
        <x:v>-0.02412137336987034</x:v>
      </x:c>
      <x:c r="O5" s="23" t="n">
        <x:v>-0.07931420933322815</x:v>
      </x:c>
      <x:c r="P5" s="23" t="n">
        <x:v>0.09135239154974537</x:v>
      </x:c>
      <x:c r="Q5" s="23" t="n">
        <x:v>0.013085528775834878</x:v>
      </x:c>
      <x:c r="R5" s="23" t="n">
        <x:v>0.04493127090653769</x:v>
      </x:c>
      <x:c r="S5" s="23" t="n">
        <x:v>0.05140892351207317</x:v>
      </x:c>
      <x:c r="T5" s="23" t="n">
        <x:v>-0.1774216021548763</x:v>
      </x:c>
      <x:c r="U5" s="23" t="n">
        <x:v>0.06815360159353002</x:v>
      </x:c>
      <x:c r="V5" s="23" t="n">
        <x:v>0.012251151802524871</x:v>
      </x:c>
    </x:row>
    <x:row r="6">
      <x:c r="A6" s="20" t="n">
        <x:v>43768</x:v>
      </x:c>
      <x:c r="B6" s="23" t="n">
        <x:v>-0.0043012479710625405</x:v>
      </x:c>
      <x:c r="C6" s="23" t="n">
        <x:v>-0.005635527006701245</x:v>
      </x:c>
      <x:c r="D6" s="23" t="n">
        <x:v>-0.0766064583864642</x:v>
      </x:c>
      <x:c r="E6" s="23" t="n">
        <x:v>0.06948248356567374</x:v>
      </x:c>
      <x:c r="F6" s="23" t="n">
        <x:v>0.027946572574814706</x:v>
      </x:c>
      <x:c r="G6" s="23" t="n">
        <x:v>-0.04057164756799083</x:v>
      </x:c>
      <x:c r="H6" s="23" t="n">
        <x:v>-0.12275420636403239</x:v>
      </x:c>
      <x:c r="I6" s="23" t="n">
        <x:v>-0.033351787214291044</x:v>
      </x:c>
      <x:c r="J6" s="23" t="n">
        <x:v>-0.026871823850942264</x:v>
      </x:c>
      <x:c r="K6" s="23" t="n">
        <x:v>-0.04124280522973692</x:v>
      </x:c>
      <x:c r="L6" s="23" t="n">
        <x:v>0.027101742967539876</x:v>
      </x:c>
      <x:c r="M6" s="23" t="n">
        <x:v>0.06870606881532731</x:v>
      </x:c>
      <x:c r="N6" s="23" t="n">
        <x:v>0.07428990849626109</x:v>
      </x:c>
      <x:c r="O6" s="23" t="n">
        <x:v>0.11936021350864735</x:v>
      </x:c>
      <x:c r="P6" s="23" t="n">
        <x:v>-0.039018781121865034</x:v>
      </x:c>
      <x:c r="Q6" s="23" t="n">
        <x:v>-0.10088023992352566</x:v>
      </x:c>
      <x:c r="R6" s="23" t="n">
        <x:v>-0.08317542202172454</x:v>
      </x:c>
      <x:c r="S6" s="23" t="n">
        <x:v>0.046693882054518236</x:v>
      </x:c>
      <x:c r="T6" s="23" t="n">
        <x:v>0.04189826479290136</x:v>
      </x:c>
      <x:c r="U6" s="23" t="n">
        <x:v>0.11742559269763059</x:v>
      </x:c>
      <x:c r="V6" s="23" t="n">
        <x:v>-0.006691700948695563</x:v>
      </x:c>
    </x:row>
    <x:row r="7">
      <x:c r="A7" s="20" t="n">
        <x:v>43799</x:v>
      </x:c>
      <x:c r="B7" s="23" t="n">
        <x:v>0.018155909273151798</x:v>
      </x:c>
      <x:c r="C7" s="23" t="n">
        <x:v>0.03479371139086518</x:v>
      </x:c>
      <x:c r="D7" s="23" t="n">
        <x:v>-0.022924739480666072</x:v>
      </x:c>
      <x:c r="E7" s="23" t="n">
        <x:v>-0.08510397703190326</x:v>
      </x:c>
      <x:c r="F7" s="23" t="n">
        <x:v>-0.20649788392879467</x:v>
      </x:c>
      <x:c r="G7" s="23" t="n">
        <x:v>-0.06048283810761307</x:v>
      </x:c>
      <x:c r="H7" s="23" t="n">
        <x:v>-0.04369314296188942</x:v>
      </x:c>
      <x:c r="I7" s="23" t="n">
        <x:v>0.08178997581604874</x:v>
      </x:c>
      <x:c r="J7" s="23" t="n">
        <x:v>-0.06388177662590387</x:v>
      </x:c>
      <x:c r="K7" s="23" t="n">
        <x:v>-0.09239215575017533</x:v>
      </x:c>
      <x:c r="L7" s="23" t="n">
        <x:v>-0.014177849515720426</x:v>
      </x:c>
      <x:c r="M7" s="23" t="n">
        <x:v>-0.004308350014548209</x:v>
      </x:c>
      <x:c r="N7" s="23" t="n">
        <x:v>-0.05508841585936569</x:v>
      </x:c>
      <x:c r="O7" s="23" t="n">
        <x:v>-0.13993349851685852</x:v>
      </x:c>
      <x:c r="P7" s="23" t="n">
        <x:v>0.06062813534548851</x:v>
      </x:c>
      <x:c r="Q7" s="23" t="n">
        <x:v>0.025604427160781467</x:v>
      </x:c>
      <x:c r="R7" s="23" t="n">
        <x:v>-0.057178656028188585</x:v>
      </x:c>
      <x:c r="S7" s="23" t="n">
        <x:v>0.030069486782582</x:v>
      </x:c>
      <x:c r="T7" s="23" t="n">
        <x:v>-0.022904927454076206</x:v>
      </x:c>
      <x:c r="U7" s="23" t="n">
        <x:v>0.004645763776980692</x:v>
      </x:c>
      <x:c r="V7" s="23" t="n">
        <x:v>-0.0125232321512215</x:v>
      </x:c>
    </x:row>
    <x:row r="8">
      <x:c r="A8" s="20" t="n">
        <x:v>43829</x:v>
      </x:c>
      <x:c r="B8" s="23" t="n">
        <x:v>0.04399340844388818</x:v>
      </x:c>
      <x:c r="C8" s="23" t="n">
        <x:v>-0.0014618298975629888</x:v>
      </x:c>
      <x:c r="D8" s="23" t="n">
        <x:v>0.04234374105028235</x:v>
      </x:c>
      <x:c r="E8" s="23" t="n">
        <x:v>0.06838059810686653</x:v>
      </x:c>
      <x:c r="F8" s="23" t="n">
        <x:v>0.10444878682856455</x:v>
      </x:c>
      <x:c r="G8" s="23" t="n">
        <x:v>-0.08131993269062043</x:v>
      </x:c>
      <x:c r="H8" s="23" t="n">
        <x:v>0.12574464541660793</x:v>
      </x:c>
      <x:c r="I8" s="23" t="n">
        <x:v>-0.032377044499618514</x:v>
      </x:c>
      <x:c r="J8" s="23" t="n">
        <x:v>-0.02856931635601107</x:v>
      </x:c>
      <x:c r="K8" s="23" t="n">
        <x:v>0.10328248585962514</x:v>
      </x:c>
      <x:c r="L8" s="23" t="n">
        <x:v>-0.054447378327453715</x:v>
      </x:c>
      <x:c r="M8" s="23" t="n">
        <x:v>-0.033712189543065096</x:v>
      </x:c>
      <x:c r="N8" s="23" t="n">
        <x:v>0.09346451051991224</x:v>
      </x:c>
      <x:c r="O8" s="23" t="n">
        <x:v>0.10605022423965908</x:v>
      </x:c>
      <x:c r="P8" s="23" t="n">
        <x:v>-0.018290942586748012</x:v>
      </x:c>
      <x:c r="Q8" s="23" t="n">
        <x:v>-0.02832247740502149</x:v>
      </x:c>
      <x:c r="R8" s="23" t="n">
        <x:v>-0.13659470634428766</x:v>
      </x:c>
      <x:c r="S8" s="23" t="n">
        <x:v>-0.12300673405912932</x:v>
      </x:c>
      <x:c r="T8" s="23" t="n">
        <x:v>-0.1019751976258018</x:v>
      </x:c>
      <x:c r="U8" s="23" t="n">
        <x:v>0.041369175039324066</x:v>
      </x:c>
      <x:c r="V8" s="23" t="n">
        <x:v>-0.01512863165928427</x:v>
      </x:c>
    </x:row>
    <x:row r="9">
      <x:c r="A9" s="20" t="n">
        <x:v>43860</x:v>
      </x:c>
      <x:c r="B9" s="23" t="n">
        <x:v>0.0677612327754075</x:v>
      </x:c>
      <x:c r="C9" s="23" t="n">
        <x:v>-0.11352266116672186</x:v>
      </x:c>
      <x:c r="D9" s="23" t="n">
        <x:v>-0.10955542072527379</x:v>
      </x:c>
      <x:c r="E9" s="23" t="n">
        <x:v>0.08741603703611175</x:v>
      </x:c>
      <x:c r="F9" s="23" t="n">
        <x:v>-0.09409687549126387</x:v>
      </x:c>
      <x:c r="G9" s="23" t="n">
        <x:v>0.05302580685200971</x:v>
      </x:c>
      <x:c r="H9" s="23" t="n">
        <x:v>0.021796239901142357</x:v>
      </x:c>
      <x:c r="I9" s="23" t="n">
        <x:v>0.027432018229144997</x:v>
      </x:c>
      <x:c r="J9" s="23" t="n">
        <x:v>-0.0029322472483260817</x:v>
      </x:c>
      <x:c r="K9" s="23" t="n">
        <x:v>0.015043657823139066</x:v>
      </x:c>
      <x:c r="L9" s="23" t="n">
        <x:v>-0.0035585353501984126</x:v>
      </x:c>
      <x:c r="M9" s="23" t="n">
        <x:v>0.015617258846242116</x:v>
      </x:c>
      <x:c r="N9" s="23" t="n">
        <x:v>0.03307202067365831</x:v>
      </x:c>
      <x:c r="O9" s="23" t="n">
        <x:v>0.03420698061931811</x:v>
      </x:c>
      <x:c r="P9" s="23" t="n">
        <x:v>-0.025637118227168378</x:v>
      </x:c>
      <x:c r="Q9" s="23" t="n">
        <x:v>0.0009182843808246523</x:v>
      </x:c>
      <x:c r="R9" s="23" t="n">
        <x:v>0.08170462026368572</x:v>
      </x:c>
      <x:c r="S9" s="23" t="n">
        <x:v>-0.028264630907080618</x:v>
      </x:c>
      <x:c r="T9" s="23" t="n">
        <x:v>-0.04606991280215432</x:v>
      </x:c>
      <x:c r="U9" s="23" t="n">
        <x:v>-0.02528785364255335</x:v>
      </x:c>
      <x:c r="V9" s="23" t="n">
        <x:v>-0.0008234511733850513</x:v>
      </x:c>
    </x:row>
    <x:row r="10">
      <x:c r="A10" s="20" t="n">
        <x:v>43890</x:v>
      </x:c>
      <x:c r="B10" s="23" t="n">
        <x:v>0.1267217689639351</x:v>
      </x:c>
      <x:c r="C10" s="23" t="n">
        <x:v>0.023951652427186203</x:v>
      </x:c>
      <x:c r="D10" s="23" t="n">
        <x:v>0.033181961432523874</x:v>
      </x:c>
      <x:c r="E10" s="23" t="n">
        <x:v>0.050706048321699324</x:v>
      </x:c>
      <x:c r="F10" s="23" t="n">
        <x:v>0.08269676105410848</x:v>
      </x:c>
      <x:c r="G10" s="23" t="n">
        <x:v>0.07136560630169894</x:v>
      </x:c>
      <x:c r="H10" s="23" t="n">
        <x:v>0.12582984234147201</x:v>
      </x:c>
      <x:c r="I10" s="23" t="n">
        <x:v>0.1396736370770021</x:v>
      </x:c>
      <x:c r="J10" s="23" t="n">
        <x:v>0.04348985736197635</x:v>
      </x:c>
      <x:c r="K10" s="23" t="n">
        <x:v>-0.06183424218030957</x:v>
      </x:c>
      <x:c r="L10" s="23" t="n">
        <x:v>-0.08444676955117447</x:v>
      </x:c>
      <x:c r="M10" s="23" t="n">
        <x:v>0.03465661405073931</x:v>
      </x:c>
      <x:c r="N10" s="23" t="n">
        <x:v>0.13807051653184796</x:v>
      </x:c>
      <x:c r="O10" s="23" t="n">
        <x:v>0.09194665053717425</x:v>
      </x:c>
      <x:c r="P10" s="23" t="n">
        <x:v>0.06024598069622575</x:v>
      </x:c>
      <x:c r="Q10" s="23" t="n">
        <x:v>0.030386090824391705</x:v>
      </x:c>
      <x:c r="R10" s="23" t="n">
        <x:v>0.17250215335998398</x:v>
      </x:c>
      <x:c r="S10" s="23" t="n">
        <x:v>0.09587236522726318</x:v>
      </x:c>
      <x:c r="T10" s="23" t="n">
        <x:v>0.1062355179459532</x:v>
      </x:c>
      <x:c r="U10" s="23" t="n">
        <x:v>0.18887996193930248</x:v>
      </x:c>
      <x:c r="V10" s="23" t="n">
        <x:v>0.060112344005783795</x:v>
      </x:c>
    </x:row>
    <x:row r="11">
      <x:c r="A11" s="20" t="n">
        <x:v>43920</x:v>
      </x:c>
      <x:c r="B11" s="23" t="n">
        <x:v>-0.02712323623811451</x:v>
      </x:c>
      <x:c r="C11" s="23" t="n">
        <x:v>0.07998249708184038</x:v>
      </x:c>
      <x:c r="D11" s="23" t="n">
        <x:v>0.019302788564741512</x:v>
      </x:c>
      <x:c r="E11" s="23" t="n">
        <x:v>0.24705985071298253</x:v>
      </x:c>
      <x:c r="F11" s="23" t="n">
        <x:v>0.09966430006039304</x:v>
      </x:c>
      <x:c r="G11" s="23" t="n">
        <x:v>0.18471107031627299</x:v>
      </x:c>
      <x:c r="H11" s="23" t="n">
        <x:v>-0.004837142676319503</x:v>
      </x:c>
      <x:c r="I11" s="23" t="n">
        <x:v>0.1404191764326045</x:v>
      </x:c>
      <x:c r="J11" s="23" t="n">
        <x:v>0.03860153100134353</x:v>
      </x:c>
      <x:c r="K11" s="23" t="n">
        <x:v>0.10301131177572499</x:v>
      </x:c>
      <x:c r="L11" s="23" t="n">
        <x:v>0.03573694952359108</x:v>
      </x:c>
      <x:c r="M11" s="23" t="n">
        <x:v>0.12578454838342643</x:v>
      </x:c>
      <x:c r="N11" s="23" t="n">
        <x:v>0.1586875996097731</x:v>
      </x:c>
      <x:c r="O11" s="23" t="n">
        <x:v>0.04536677952861794</x:v>
      </x:c>
      <x:c r="P11" s="23" t="n">
        <x:v>0.17270644868207294</x:v>
      </x:c>
      <x:c r="Q11" s="23" t="n">
        <x:v>0.09555432142748504</x:v>
      </x:c>
      <x:c r="R11" s="23" t="n">
        <x:v>0.1701262152827163</x:v>
      </x:c>
      <x:c r="S11" s="23" t="n">
        <x:v>0.0633572413422428</x:v>
      </x:c>
      <x:c r="T11" s="23" t="n">
        <x:v>0.13379063128253904</x:v>
      </x:c>
      <x:c r="U11" s="23" t="n">
        <x:v>0.16008092737058416</x:v>
      </x:c>
      <x:c r="V11" s="23" t="n">
        <x:v>0.07698208810304889</x:v>
      </x:c>
    </x:row>
    <x:row r="12">
      <x:c r="A12" s="20" t="n">
        <x:v>43951</x:v>
      </x:c>
      <x:c r="B12" s="23" t="n">
        <x:v>0.04185423384988915</x:v>
      </x:c>
      <x:c r="C12" s="23" t="n">
        <x:v>0.04988531989384934</x:v>
      </x:c>
      <x:c r="D12" s="23" t="n">
        <x:v>0.06726632141678204</x:v>
      </x:c>
      <x:c r="E12" s="23" t="n">
        <x:v>0.06214734250241876</x:v>
      </x:c>
      <x:c r="F12" s="23" t="n">
        <x:v>-0.08368167582324257</x:v>
      </x:c>
      <x:c r="G12" s="23" t="n">
        <x:v>0.02927044895559116</x:v>
      </x:c>
      <x:c r="H12" s="23" t="n">
        <x:v>-0.02112072818194638</x:v>
      </x:c>
      <x:c r="I12" s="23" t="n">
        <x:v>-0.0009677415338143376</x:v>
      </x:c>
      <x:c r="J12" s="23" t="n">
        <x:v>-0.050951053117815975</x:v>
      </x:c>
      <x:c r="K12" s="23" t="n">
        <x:v>-0.018954468194515732</x:v>
      </x:c>
      <x:c r="L12" s="23" t="n">
        <x:v>0.017184119120269722</x:v>
      </x:c>
      <x:c r="M12" s="23" t="n">
        <x:v>0.02415498512539531</x:v>
      </x:c>
      <x:c r="N12" s="23" t="n">
        <x:v>-0.009108634446268325</x:v>
      </x:c>
      <x:c r="O12" s="23" t="n">
        <x:v>-0.07247534823381951</x:v>
      </x:c>
      <x:c r="P12" s="23" t="n">
        <x:v>-0.12121229001713518</x:v>
      </x:c>
      <x:c r="Q12" s="23" t="n">
        <x:v>-0.025415388739413847</x:v>
      </x:c>
      <x:c r="R12" s="23" t="n">
        <x:v>0.11468595157119266</x:v>
      </x:c>
      <x:c r="S12" s="23" t="n">
        <x:v>0.00603949680027932</x:v>
      </x:c>
      <x:c r="T12" s="23" t="n">
        <x:v>0.1333967657833804</x:v>
      </x:c>
      <x:c r="U12" s="23" t="n">
        <x:v>-0.014623238011976014</x:v>
      </x:c>
      <x:c r="V12" s="23" t="n">
        <x:v>0.022167690657623595</x:v>
      </x:c>
    </x:row>
    <x:row r="13">
      <x:c r="A13" s="20" t="n">
        <x:v>43981</x:v>
      </x:c>
      <x:c r="B13" s="23" t="n">
        <x:v>0.08023689123402608</x:v>
      </x:c>
      <x:c r="C13" s="23" t="n">
        <x:v>0.03292386569204428</x:v>
      </x:c>
      <x:c r="D13" s="23" t="n">
        <x:v>0.11836970205104483</x:v>
      </x:c>
      <x:c r="E13" s="23" t="n">
        <x:v>-0.05797351496281453</x:v>
      </x:c>
      <x:c r="F13" s="23" t="n">
        <x:v>-0.0651483965325684</x:v>
      </x:c>
      <x:c r="G13" s="23" t="n">
        <x:v>-0.016839699168960633</x:v>
      </x:c>
      <x:c r="H13" s="23" t="n">
        <x:v>-0.030870444843147417</x:v>
      </x:c>
      <x:c r="I13" s="23" t="n">
        <x:v>0.08943915376589308</x:v>
      </x:c>
      <x:c r="J13" s="23" t="n">
        <x:v>-0.048113412161652075</x:v>
      </x:c>
      <x:c r="K13" s="23" t="n">
        <x:v>0.02955385738470875</x:v>
      </x:c>
      <x:c r="L13" s="23" t="n">
        <x:v>0.05434663726015719</x:v>
      </x:c>
      <x:c r="M13" s="23" t="n">
        <x:v>-0.07016670021093036</x:v>
      </x:c>
      <x:c r="N13" s="23" t="n">
        <x:v>-0.05693195224363988</x:v>
      </x:c>
      <x:c r="O13" s="23" t="n">
        <x:v>-0.05156359683451785</x:v>
      </x:c>
      <x:c r="P13" s="23" t="n">
        <x:v>-0.09987593819960931</x:v>
      </x:c>
      <x:c r="Q13" s="23" t="n">
        <x:v>0.06799382899287729</x:v>
      </x:c>
      <x:c r="R13" s="23" t="n">
        <x:v>0.02334470704805197</x:v>
      </x:c>
      <x:c r="S13" s="23" t="n">
        <x:v>0.0026980975034802315</x:v>
      </x:c>
      <x:c r="T13" s="23" t="n">
        <x:v>-0.11106567314999041</x:v>
      </x:c>
      <x:c r="U13" s="23" t="n">
        <x:v>-0.029325896044898568</x:v>
      </x:c>
      <x:c r="V13" s="23" t="n">
        <x:v>0.01140289237023433</x:v>
      </x:c>
    </x:row>
    <x:row r="14">
      <x:c r="A14" s="20" t="n">
        <x:v>44012</x:v>
      </x:c>
      <x:c r="B14" s="23" t="n">
        <x:v>0.0852060175082103</x:v>
      </x:c>
      <x:c r="C14" s="23" t="n">
        <x:v>0.0029800789031933367</x:v>
      </x:c>
      <x:c r="D14" s="23" t="n">
        <x:v>0.04609137488202035</x:v>
      </x:c>
      <x:c r="E14" s="23" t="n">
        <x:v>0.07020154836690565</x:v>
      </x:c>
      <x:c r="F14" s="23" t="n">
        <x:v>0.06299309200341689</x:v>
      </x:c>
      <x:c r="G14" s="23" t="n">
        <x:v>-0.048366601834679945</x:v>
      </x:c>
      <x:c r="H14" s="23" t="n">
        <x:v>0.11663403432905038</x:v>
      </x:c>
      <x:c r="I14" s="23" t="n">
        <x:v>0.09059819520022419</x:v>
      </x:c>
      <x:c r="J14" s="23" t="n">
        <x:v>0.0721072697063978</x:v>
      </x:c>
      <x:c r="K14" s="23" t="n">
        <x:v>0.14087686602252333</x:v>
      </x:c>
      <x:c r="L14" s="23" t="n">
        <x:v>0.031063779154414717</x:v>
      </x:c>
      <x:c r="M14" s="23" t="n">
        <x:v>0.10939122851686994</x:v>
      </x:c>
      <x:c r="N14" s="23" t="n">
        <x:v>0.037379667367486706</x:v>
      </x:c>
      <x:c r="O14" s="23" t="n">
        <x:v>0.16745280546549912</x:v>
      </x:c>
      <x:c r="P14" s="23" t="n">
        <x:v>-0.12761077819025923</x:v>
      </x:c>
      <x:c r="Q14" s="23" t="n">
        <x:v>-0.024374924867435747</x:v>
      </x:c>
      <x:c r="R14" s="23" t="n">
        <x:v>0.09152730674600021</x:v>
      </x:c>
      <x:c r="S14" s="23" t="n">
        <x:v>0.12936605617734265</x:v>
      </x:c>
      <x:c r="T14" s="23" t="n">
        <x:v>-0.05140328562874267</x:v>
      </x:c>
      <x:c r="U14" s="23" t="n">
        <x:v>-0.061099683799393914</x:v>
      </x:c>
      <x:c r="V14" s="23" t="n">
        <x:v>0.04304334645137863</x:v>
      </x:c>
    </x:row>
    <x:row r="15">
      <x:c r="A15" s="20" t="n">
        <x:v>44042</x:v>
      </x:c>
      <x:c r="B15" s="23" t="n">
        <x:v>-0.007174073192369623</x:v>
      </x:c>
      <x:c r="C15" s="23" t="n">
        <x:v>0.1173352320632497</x:v>
      </x:c>
      <x:c r="D15" s="23" t="n">
        <x:v>0.022150997855360885</x:v>
      </x:c>
      <x:c r="E15" s="23" t="n">
        <x:v>0.14495558336840775</x:v>
      </x:c>
      <x:c r="F15" s="23" t="n">
        <x:v>0.05519053506759512</x:v>
      </x:c>
      <x:c r="G15" s="23" t="n">
        <x:v>0.03154553516486386</x:v>
      </x:c>
      <x:c r="H15" s="23" t="n">
        <x:v>0.13267253799734285</x:v>
      </x:c>
      <x:c r="I15" s="23" t="n">
        <x:v>-0.017016661141110445</x:v>
      </x:c>
      <x:c r="J15" s="23" t="n">
        <x:v>-0.03467799288097162</x:v>
      </x:c>
      <x:c r="K15" s="23" t="n">
        <x:v>0.06289229059260046</x:v>
      </x:c>
      <x:c r="L15" s="23" t="n">
        <x:v>0.09885328525694648</x:v>
      </x:c>
      <x:c r="M15" s="23" t="n">
        <x:v>0.12773397295869235</x:v>
      </x:c>
      <x:c r="N15" s="23" t="n">
        <x:v>0.19798657073799417</x:v>
      </x:c>
      <x:c r="O15" s="23" t="n">
        <x:v>0.06305582879907647</x:v>
      </x:c>
      <x:c r="P15" s="23" t="n">
        <x:v>0.19031529299862077</x:v>
      </x:c>
      <x:c r="Q15" s="23" t="n">
        <x:v>0.15517603568477842</x:v>
      </x:c>
      <x:c r="R15" s="23" t="n">
        <x:v>0.10844382149127593</x:v>
      </x:c>
      <x:c r="S15" s="23" t="n">
        <x:v>0.10763063918811801</x:v>
      </x:c>
      <x:c r="T15" s="23" t="n">
        <x:v>0.028280325150183916</x:v>
      </x:c>
      <x:c r="U15" s="23" t="n">
        <x:v>0.27234729380651934</x:v>
      </x:c>
      <x:c r="V15" s="23" t="n">
        <x:v>0.08067497944982924</x:v>
      </x:c>
    </x:row>
    <x:row r="16">
      <x:c r="A16" s="20" t="n">
        <x:v>44073</x:v>
      </x:c>
      <x:c r="B16" s="23" t="n">
        <x:v>0.010271105523956672</x:v>
      </x:c>
      <x:c r="C16" s="23" t="n">
        <x:v>0.025924942931570563</x:v>
      </x:c>
      <x:c r="D16" s="23" t="n">
        <x:v>-0.05570424427224378</x:v>
      </x:c>
      <x:c r="E16" s="23" t="n">
        <x:v>-0.056469189660854874</x:v>
      </x:c>
      <x:c r="F16" s="23" t="n">
        <x:v>0.06375537672510684</x:v>
      </x:c>
      <x:c r="G16" s="23" t="n">
        <x:v>-0.018802695104254502</x:v>
      </x:c>
      <x:c r="H16" s="23" t="n">
        <x:v>-0.06692183166342083</x:v>
      </x:c>
      <x:c r="I16" s="23" t="n">
        <x:v>-0.12181719128267382</x:v>
      </x:c>
      <x:c r="J16" s="23" t="n">
        <x:v>-0.075998935352304</x:v>
      </x:c>
      <x:c r="K16" s="23" t="n">
        <x:v>-0.04912965103663141</x:v>
      </x:c>
      <x:c r="L16" s="23" t="n">
        <x:v>-0.08184874877220319</x:v>
      </x:c>
      <x:c r="M16" s="23" t="n">
        <x:v>-0.06843830272818612</x:v>
      </x:c>
      <x:c r="N16" s="23" t="n">
        <x:v>-0.006378174459969278</x:v>
      </x:c>
      <x:c r="O16" s="23" t="n">
        <x:v>-0.12040043418067756</x:v>
      </x:c>
      <x:c r="P16" s="23" t="n">
        <x:v>0.009555624340999179</x:v>
      </x:c>
      <x:c r="Q16" s="23" t="n">
        <x:v>-0.06232767908102681</x:v>
      </x:c>
      <x:c r="R16" s="23" t="n">
        <x:v>-0.14601541267272244</x:v>
      </x:c>
      <x:c r="S16" s="23" t="n">
        <x:v>0.01831529656572084</x:v>
      </x:c>
      <x:c r="T16" s="23" t="n">
        <x:v>-0.06985072213348213</x:v>
      </x:c>
      <x:c r="U16" s="23" t="n">
        <x:v>-0.03678743952236679</x:v>
      </x:c>
      <x:c r="V16" s="23" t="n">
        <x:v>-0.05376975296874179</x:v>
      </x:c>
    </x:row>
    <x:row r="17">
      <x:c r="A17" s="20" t="n">
        <x:v>44104</x:v>
      </x:c>
      <x:c r="B17" s="23" t="n">
        <x:v>0.02819976438967674</x:v>
      </x:c>
      <x:c r="C17" s="23" t="n">
        <x:v>0.02382982721289508</x:v>
      </x:c>
      <x:c r="D17" s="23" t="n">
        <x:v>0.006123740467379724</x:v>
      </x:c>
      <x:c r="E17" s="23" t="n">
        <x:v>0.03832358212622925</x:v>
      </x:c>
      <x:c r="F17" s="23" t="n">
        <x:v>0.05736928740372845</x:v>
      </x:c>
      <x:c r="G17" s="23" t="n">
        <x:v>0.0865791256298183</x:v>
      </x:c>
      <x:c r="H17" s="23" t="n">
        <x:v>-0.045676993223159976</x:v>
      </x:c>
      <x:c r="I17" s="23" t="n">
        <x:v>0.08701684835269582</x:v>
      </x:c>
      <x:c r="J17" s="23" t="n">
        <x:v>-0.040988581885222856</x:v>
      </x:c>
      <x:c r="K17" s="23" t="n">
        <x:v>0.10675979338442365</x:v>
      </x:c>
      <x:c r="L17" s="23" t="n">
        <x:v>-0.06203538008119119</x:v>
      </x:c>
      <x:c r="M17" s="23" t="n">
        <x:v>-0.019099928367536947</x:v>
      </x:c>
      <x:c r="N17" s="23" t="n">
        <x:v>0.02884426500045653</x:v>
      </x:c>
      <x:c r="O17" s="23" t="n">
        <x:v>0.0022186274940119363</x:v>
      </x:c>
      <x:c r="P17" s="23" t="n">
        <x:v>-0.05360844207407562</x:v>
      </x:c>
      <x:c r="Q17" s="23" t="n">
        <x:v>0.018326941745268974</x:v>
      </x:c>
      <x:c r="R17" s="23" t="n">
        <x:v>-0.03685167108078761</x:v>
      </x:c>
      <x:c r="S17" s="23" t="n">
        <x:v>0.09202478850977493</x:v>
      </x:c>
      <x:c r="T17" s="23" t="n">
        <x:v>0.036094936162540996</x:v>
      </x:c>
      <x:c r="U17" s="23" t="n">
        <x:v>-0.07444401085711874</x:v>
      </x:c>
      <x:c r="V17" s="23" t="n">
        <x:v>0.03507380939132168</x:v>
      </x:c>
    </x:row>
    <x:row r="18">
      <x:c r="A18" s="20" t="n">
        <x:v>44134</x:v>
      </x:c>
      <x:c r="B18" s="23" t="n">
        <x:v>0.07895807474507903</x:v>
      </x:c>
      <x:c r="C18" s="23" t="n">
        <x:v>0.023968557669816273</x:v>
      </x:c>
      <x:c r="D18" s="23" t="n">
        <x:v>-0.09067095958880977</x:v>
      </x:c>
      <x:c r="E18" s="23" t="n">
        <x:v>-0.019608395419481825</x:v>
      </x:c>
      <x:c r="F18" s="23" t="n">
        <x:v>0.09858425158339562</x:v>
      </x:c>
      <x:c r="G18" s="23" t="n">
        <x:v>-0.04641143426684784</x:v>
      </x:c>
      <x:c r="H18" s="23" t="n">
        <x:v>0.07341214957989135</x:v>
      </x:c>
      <x:c r="I18" s="23" t="n">
        <x:v>0.0258255431898576</x:v>
      </x:c>
      <x:c r="J18" s="23" t="n">
        <x:v>-0.025303166941342176</x:v>
      </x:c>
      <x:c r="K18" s="23" t="n">
        <x:v>-0.037880307805247086</x:v>
      </x:c>
      <x:c r="L18" s="23" t="n">
        <x:v>0.014818057306365269</x:v>
      </x:c>
      <x:c r="M18" s="23" t="n">
        <x:v>0.03453381302447009</x:v>
      </x:c>
      <x:c r="N18" s="23" t="n">
        <x:v>-0.0934946365504827</x:v>
      </x:c>
      <x:c r="O18" s="23" t="n">
        <x:v>0.026355121556044168</x:v>
      </x:c>
      <x:c r="P18" s="23" t="n">
        <x:v>0.02443171850019635</x:v>
      </x:c>
      <x:c r="Q18" s="23" t="n">
        <x:v>-0.1027673124489995</x:v>
      </x:c>
      <x:c r="R18" s="23" t="n">
        <x:v>-0.08769070293272906</x:v>
      </x:c>
      <x:c r="S18" s="23" t="n">
        <x:v>0.05367407515744526</x:v>
      </x:c>
      <x:c r="T18" s="23" t="n">
        <x:v>0.036589157865334274</x:v>
      </x:c>
      <x:c r="U18" s="23" t="n">
        <x:v>0.03848835641667427</x:v>
      </x:c>
      <x:c r="V18" s="23" t="n">
        <x:v>-0.0068368486356091135</x:v>
      </x:c>
    </x:row>
    <x:row r="19">
      <x:c r="A19" s="20" t="n">
        <x:v>44165</x:v>
      </x:c>
      <x:c r="B19" s="23" t="n">
        <x:v>-0.0021628610539380505</x:v>
      </x:c>
      <x:c r="C19" s="23" t="n">
        <x:v>0.000033883669674113215</x:v>
      </x:c>
      <x:c r="D19" s="23" t="n">
        <x:v>0.0771668619521079</x:v>
      </x:c>
      <x:c r="E19" s="23" t="n">
        <x:v>0.06225103762152626</x:v>
      </x:c>
      <x:c r="F19" s="23" t="n">
        <x:v>0.059706952127569504</x:v>
      </x:c>
      <x:c r="G19" s="23" t="n">
        <x:v>0.05779282985762716</x:v>
      </x:c>
      <x:c r="H19" s="23" t="n">
        <x:v>0.0535404142196739</x:v>
      </x:c>
      <x:c r="I19" s="23" t="n">
        <x:v>0.027688734396921384</x:v>
      </x:c>
      <x:c r="J19" s="23" t="n">
        <x:v>-0.0753007914075767</x:v>
      </x:c>
      <x:c r="K19" s="23" t="n">
        <x:v>0.12501775494596237</x:v>
      </x:c>
      <x:c r="L19" s="23" t="n">
        <x:v>0.10656459552779302</x:v>
      </x:c>
      <x:c r="M19" s="23" t="n">
        <x:v>0.1132974017021853</x:v>
      </x:c>
      <x:c r="N19" s="23" t="n">
        <x:v>0.06058534639697189</x:v>
      </x:c>
      <x:c r="O19" s="23" t="n">
        <x:v>0.23913991137912088</x:v>
      </x:c>
      <x:c r="P19" s="23" t="n">
        <x:v>-0.046921269747832436</x:v>
      </x:c>
      <x:c r="Q19" s="23" t="n">
        <x:v>0.12239033089330095</x:v>
      </x:c>
      <x:c r="R19" s="23" t="n">
        <x:v>-0.005382408808038461</x:v>
      </x:c>
      <x:c r="S19" s="23" t="n">
        <x:v>-0.028284950275906495</x:v>
      </x:c>
      <x:c r="T19" s="23" t="n">
        <x:v>0.0677841845666313</x:v>
      </x:c>
      <x:c r="U19" s="23" t="n">
        <x:v>0.16496909251936323</x:v>
      </x:c>
      <x:c r="V19" s="23" t="n">
        <x:v>0.0797842754201725</x:v>
      </x:c>
    </x:row>
    <x:row r="20">
      <x:c r="A20" s="20" t="n">
        <x:v>44195</x:v>
      </x:c>
      <x:c r="B20" s="23" t="n">
        <x:v>-0.03598450717252556</x:v>
      </x:c>
      <x:c r="C20" s="23" t="n">
        <x:v>-0.12902332531876404</x:v>
      </x:c>
      <x:c r="D20" s="23" t="n">
        <x:v>-0.07172830603280941</x:v>
      </x:c>
      <x:c r="E20" s="23" t="n">
        <x:v>0.07564264822889015</x:v>
      </x:c>
      <x:c r="F20" s="23" t="n">
        <x:v>-0.06740162552847857</x:v>
      </x:c>
      <x:c r="G20" s="23" t="n">
        <x:v>-0.11010595044954025</x:v>
      </x:c>
      <x:c r="H20" s="23" t="n">
        <x:v>-0.011252132795112883</x:v>
      </x:c>
      <x:c r="I20" s="23" t="n">
        <x:v>-0.11687219216139584</x:v>
      </x:c>
      <x:c r="J20" s="23" t="n">
        <x:v>0.007268927743184439</x:v>
      </x:c>
      <x:c r="K20" s="23" t="n">
        <x:v>0.0065322729644328725</x:v>
      </x:c>
      <x:c r="L20" s="23" t="n">
        <x:v>-0.03194866169666801</x:v>
      </x:c>
      <x:c r="M20" s="23" t="n">
        <x:v>-0.11534626330008257</x:v>
      </x:c>
      <x:c r="N20" s="23" t="n">
        <x:v>-0.04783915485303038</x:v>
      </x:c>
      <x:c r="O20" s="23" t="n">
        <x:v>-0.22089069846765047</x:v>
      </x:c>
      <x:c r="P20" s="23" t="n">
        <x:v>-0.13009055695986005</x:v>
      </x:c>
      <x:c r="Q20" s="23" t="n">
        <x:v>-0.057210027350798484</x:v>
      </x:c>
      <x:c r="R20" s="23" t="n">
        <x:v>-0.2060191434889336</x:v>
      </x:c>
      <x:c r="S20" s="23" t="n">
        <x:v>-0.061452146300828556</x:v>
      </x:c>
      <x:c r="T20" s="23" t="n">
        <x:v>-0.17764518468054838</x:v>
      </x:c>
      <x:c r="U20" s="23" t="n">
        <x:v>-0.07895934287460912</x:v>
      </x:c>
      <x:c r="V20" s="23" t="n">
        <x:v>-0.08104801913981109</x:v>
      </x:c>
    </x:row>
    <x:row r="21">
      <x:c r="A21" s="20" t="n">
        <x:v>44226</x:v>
      </x:c>
      <x:c r="B21" s="23" t="n">
        <x:v>-0.062461114189645506</x:v>
      </x:c>
      <x:c r="C21" s="23" t="n">
        <x:v>-0.03643837631497624</x:v>
      </x:c>
      <x:c r="D21" s="23" t="n">
        <x:v>-0.05174788782112075</x:v>
      </x:c>
      <x:c r="E21" s="23" t="n">
        <x:v>-0.06516563740136852</x:v>
      </x:c>
      <x:c r="F21" s="23" t="n">
        <x:v>0.03451694664206051</x:v>
      </x:c>
      <x:c r="G21" s="23" t="n">
        <x:v>-0.01228374047606948</x:v>
      </x:c>
      <x:c r="H21" s="23" t="n">
        <x:v>-0.032238712480591826</x:v>
      </x:c>
      <x:c r="I21" s="23" t="n">
        <x:v>-0.034043161808997295</x:v>
      </x:c>
      <x:c r="J21" s="23" t="n">
        <x:v>-0.12015008330337396</x:v>
      </x:c>
      <x:c r="K21" s="23" t="n">
        <x:v>-0.21544353266232008</x:v>
      </x:c>
      <x:c r="L21" s="23" t="n">
        <x:v>-0.06534691863393648</x:v>
      </x:c>
      <x:c r="M21" s="23" t="n">
        <x:v>-0.046889338291949356</x:v>
      </x:c>
      <x:c r="N21" s="23" t="n">
        <x:v>0.006123850008837847</x:v>
      </x:c>
      <x:c r="O21" s="23" t="n">
        <x:v>-0.08599262058700027</x:v>
      </x:c>
      <x:c r="P21" s="23" t="n">
        <x:v>0.024756397696136898</x:v>
      </x:c>
      <x:c r="Q21" s="23" t="n">
        <x:v>-0.04160315048085573</x:v>
      </x:c>
      <x:c r="R21" s="23" t="n">
        <x:v>-0.007695478881356972</x:v>
      </x:c>
      <x:c r="S21" s="23" t="n">
        <x:v>-0.05550326705464208</x:v>
      </x:c>
      <x:c r="T21" s="23" t="n">
        <x:v>0.08230704340007994</x:v>
      </x:c>
      <x:c r="U21" s="23" t="n">
        <x:v>0.004861053312183568</x:v>
      </x:c>
      <x:c r="V21" s="23" t="n">
        <x:v>-0.025268020744376705</x:v>
      </x:c>
    </x:row>
    <x:row r="22">
      <x:c r="A22" s="20" t="n">
        <x:v>44255</x:v>
      </x:c>
      <x:c r="B22" s="23" t="n">
        <x:v>-0.02564361995457405</x:v>
      </x:c>
      <x:c r="C22" s="23" t="n">
        <x:v>-0.04425116730689099</x:v>
      </x:c>
      <x:c r="D22" s="23" t="n">
        <x:v>-0.002643523312154889</x:v>
      </x:c>
      <x:c r="E22" s="23" t="n">
        <x:v>-0.004567792850964838</x:v>
      </x:c>
      <x:c r="F22" s="23" t="n">
        <x:v>-0.023952548894323085</x:v>
      </x:c>
      <x:c r="G22" s="23" t="n">
        <x:v>-0.10390971661402758</x:v>
      </x:c>
      <x:c r="H22" s="23" t="n">
        <x:v>-0.06550919820012337</x:v>
      </x:c>
      <x:c r="I22" s="23" t="n">
        <x:v>-0.06231791888508628</x:v>
      </x:c>
      <x:c r="J22" s="23" t="n">
        <x:v>0.03777137864092235</x:v>
      </x:c>
      <x:c r="K22" s="23" t="n">
        <x:v>-0.10325657460802037</x:v>
      </x:c>
      <x:c r="L22" s="23" t="n">
        <x:v>0.01843629256069872</x:v>
      </x:c>
      <x:c r="M22" s="23" t="n">
        <x:v>-0.09907679388257201</x:v>
      </x:c>
      <x:c r="N22" s="23" t="n">
        <x:v>-0.03357329941280519</x:v>
      </x:c>
      <x:c r="O22" s="23" t="n">
        <x:v>-0.02870658117948939</x:v>
      </x:c>
      <x:c r="P22" s="23" t="n">
        <x:v>0.07206322821302091</x:v>
      </x:c>
      <x:c r="Q22" s="23" t="n">
        <x:v>0.014456202704232764</x:v>
      </x:c>
      <x:c r="R22" s="23" t="n">
        <x:v>-0.08651644796538298</x:v>
      </x:c>
      <x:c r="S22" s="23" t="n">
        <x:v>-0.10231347801753249</x:v>
      </x:c>
      <x:c r="T22" s="23" t="n">
        <x:v>0.023446632370562062</x:v>
      </x:c>
      <x:c r="U22" s="23" t="n">
        <x:v>-0.07443515718046088</x:v>
      </x:c>
      <x:c r="V22" s="23" t="n">
        <x:v>-0.01660601620882183</x:v>
      </x:c>
    </x:row>
    <x:row r="23">
      <x:c r="A23" s="20" t="n">
        <x:v>44285</x:v>
      </x:c>
      <x:c r="B23" s="23" t="n">
        <x:v>-0.004076254741467698</x:v>
      </x:c>
      <x:c r="C23" s="23" t="n">
        <x:v>0.024683589011402947</x:v>
      </x:c>
      <x:c r="D23" s="23" t="n">
        <x:v>-0.009136083773124203</x:v>
      </x:c>
      <x:c r="E23" s="23" t="n">
        <x:v>0.0005714981854892699</x:v>
      </x:c>
      <x:c r="F23" s="23" t="n">
        <x:v>0.0390682518885086</x:v>
      </x:c>
      <x:c r="G23" s="23" t="n">
        <x:v>-0.030921269229083594</x:v>
      </x:c>
      <x:c r="H23" s="23" t="n">
        <x:v>-0.020026281152093497</x:v>
      </x:c>
      <x:c r="I23" s="23" t="n">
        <x:v>-0.02237847083022931</x:v>
      </x:c>
      <x:c r="J23" s="23" t="n">
        <x:v>-0.11968645711023021</x:v>
      </x:c>
      <x:c r="K23" s="23" t="n">
        <x:v>0.0018514275259029628</x:v>
      </x:c>
      <x:c r="L23" s="23" t="n">
        <x:v>0.025207624661830977</x:v>
      </x:c>
      <x:c r="M23" s="23" t="n">
        <x:v>0.0696186068908365</x:v>
      </x:c>
      <x:c r="N23" s="23" t="n">
        <x:v>0.16119571841698052</x:v>
      </x:c>
      <x:c r="O23" s="23" t="n">
        <x:v>-0.025187418862205477</x:v>
      </x:c>
      <x:c r="P23" s="23" t="n">
        <x:v>0.03183008138591556</x:v>
      </x:c>
      <x:c r="Q23" s="23" t="n">
        <x:v>-0.10278435606218167</x:v>
      </x:c>
      <x:c r="R23" s="23" t="n">
        <x:v>0.17838740733042535</x:v>
      </x:c>
      <x:c r="S23" s="23" t="n">
        <x:v>-0.01782445056488908</x:v>
      </x:c>
      <x:c r="T23" s="23" t="n">
        <x:v>-0.02352116445103044</x:v>
      </x:c>
      <x:c r="U23" s="23" t="n">
        <x:v>-0.014872791316073736</x:v>
      </x:c>
      <x:c r="V23" s="23" t="n">
        <x:v>0.01050460318077633</x:v>
      </x:c>
    </x:row>
    <x:row r="24">
      <x:c r="A24" s="20" t="n">
        <x:v>44316</x:v>
      </x:c>
      <x:c r="B24" s="23" t="n">
        <x:v>0.0409836869952118</x:v>
      </x:c>
      <x:c r="C24" s="23" t="n">
        <x:v>-0.1480535908856975</x:v>
      </x:c>
      <x:c r="D24" s="23" t="n">
        <x:v>-0.026849230548878077</x:v>
      </x:c>
      <x:c r="E24" s="23" t="n">
        <x:v>-0.06479058618827821</x:v>
      </x:c>
      <x:c r="F24" s="23" t="n">
        <x:v>0.0351380977642642</x:v>
      </x:c>
      <x:c r="G24" s="23" t="n">
        <x:v>-0.1187023146523991</x:v>
      </x:c>
      <x:c r="H24" s="23" t="n">
        <x:v>0.02507905727992723</x:v>
      </x:c>
      <x:c r="I24" s="23" t="n">
        <x:v>0.10388349963494756</x:v>
      </x:c>
      <x:c r="J24" s="23" t="n">
        <x:v>-0.0330412659872159</x:v>
      </x:c>
      <x:c r="K24" s="23" t="n">
        <x:v>0.05018205490399675</x:v>
      </x:c>
      <x:c r="L24" s="23" t="n">
        <x:v>0.0006966366532404882</x:v>
      </x:c>
      <x:c r="M24" s="23" t="n">
        <x:v>-0.03207398321621777</x:v>
      </x:c>
      <x:c r="N24" s="23" t="n">
        <x:v>-0.06314471457881159</x:v>
      </x:c>
      <x:c r="O24" s="23" t="n">
        <x:v>0.027762947514259714</x:v>
      </x:c>
      <x:c r="P24" s="23" t="n">
        <x:v>0.04490359086122602</x:v>
      </x:c>
      <x:c r="Q24" s="23" t="n">
        <x:v>-0.060949375359968486</x:v>
      </x:c>
      <x:c r="R24" s="23" t="n">
        <x:v>-0.03602292435968675</x:v>
      </x:c>
      <x:c r="S24" s="23" t="n">
        <x:v>0.041197730671405884</x:v>
      </x:c>
      <x:c r="T24" s="23" t="n">
        <x:v>0.028971452873490774</x:v>
      </x:c>
      <x:c r="U24" s="23" t="n">
        <x:v>-0.01304197834818973</x:v>
      </x:c>
      <x:c r="V24" s="23" t="n">
        <x:v>-0.02168192181211953</x:v>
      </x:c>
    </x:row>
    <x:row r="25">
      <x:c r="A25" s="20" t="n">
        <x:v>44346</x:v>
      </x:c>
      <x:c r="B25" s="23" t="n">
        <x:v>0.033636639583784274</x:v>
      </x:c>
      <x:c r="C25" s="23" t="n">
        <x:v>-0.01134838927283954</x:v>
      </x:c>
      <x:c r="D25" s="23" t="n">
        <x:v>0.028062934714203965</x:v>
      </x:c>
      <x:c r="E25" s="23" t="n">
        <x:v>-0.014524007081166607</x:v>
      </x:c>
      <x:c r="F25" s="23" t="n">
        <x:v>0.12556324511698988</x:v>
      </x:c>
      <x:c r="G25" s="23" t="n">
        <x:v>0.02860079593004631</x:v>
      </x:c>
      <x:c r="H25" s="23" t="n">
        <x:v>-0.01327739466703804</x:v>
      </x:c>
      <x:c r="I25" s="23" t="n">
        <x:v>0.09089466236973154</x:v>
      </x:c>
      <x:c r="J25" s="23" t="n">
        <x:v>0.029047718375446216</x:v>
      </x:c>
      <x:c r="K25" s="23" t="n">
        <x:v>-0.0587231906808508</x:v>
      </x:c>
      <x:c r="L25" s="23" t="n">
        <x:v>-0.045800080367045415</x:v>
      </x:c>
      <x:c r="M25" s="23" t="n">
        <x:v>0.08993561643544187</x:v>
      </x:c>
      <x:c r="N25" s="23" t="n">
        <x:v>-0.14474813034960743</x:v>
      </x:c>
      <x:c r="O25" s="23" t="n">
        <x:v>0.14527757595965454</x:v>
      </x:c>
      <x:c r="P25" s="23" t="n">
        <x:v>0.012477834838446285</x:v>
      </x:c>
      <x:c r="Q25" s="23" t="n">
        <x:v>0.05314108035434711</x:v>
      </x:c>
      <x:c r="R25" s="23" t="n">
        <x:v>0.04653773277212218</x:v>
      </x:c>
      <x:c r="S25" s="23" t="n">
        <x:v>0.10775320397345894</x:v>
      </x:c>
      <x:c r="T25" s="23" t="n">
        <x:v>0.14569824829696987</x:v>
      </x:c>
      <x:c r="U25" s="23" t="n">
        <x:v>0.0593945250272186</x:v>
      </x:c>
      <x:c r="V25" s="23" t="n">
        <x:v>0.030751339675280556</x:v>
      </x:c>
    </x:row>
    <x:row r="26">
      <x:c r="A26" s="20" t="n">
        <x:v>44377</x:v>
      </x:c>
      <x:c r="B26" s="23" t="n">
        <x:v>-0.04628450541448853</x:v>
      </x:c>
      <x:c r="C26" s="23" t="n">
        <x:v>-0.0461901853552054</x:v>
      </x:c>
      <x:c r="D26" s="23" t="n">
        <x:v>0.05447155624985386</x:v>
      </x:c>
      <x:c r="E26" s="23" t="n">
        <x:v>0.14874049199279377</x:v>
      </x:c>
      <x:c r="F26" s="23" t="n">
        <x:v>-0.11202266280846704</x:v>
      </x:c>
      <x:c r="G26" s="23" t="n">
        <x:v>0.07551698428742534</x:v>
      </x:c>
      <x:c r="H26" s="23" t="n">
        <x:v>0.1298805639183971</x:v>
      </x:c>
      <x:c r="I26" s="23" t="n">
        <x:v>0.03978504675396112</x:v>
      </x:c>
      <x:c r="J26" s="23" t="n">
        <x:v>0.15725469197141062</x:v>
      </x:c>
      <x:c r="K26" s="23" t="n">
        <x:v>-0.026293903251099128</x:v>
      </x:c>
      <x:c r="L26" s="23" t="n">
        <x:v>0.10648740508055238</x:v>
      </x:c>
      <x:c r="M26" s="23" t="n">
        <x:v>-0.029333046556537984</x:v>
      </x:c>
      <x:c r="N26" s="23" t="n">
        <x:v>-0.016190828563527396</x:v>
      </x:c>
      <x:c r="O26" s="23" t="n">
        <x:v>-0.024843164466313176</x:v>
      </x:c>
      <x:c r="P26" s="23" t="n">
        <x:v>-0.007146429809452209</x:v>
      </x:c>
      <x:c r="Q26" s="23" t="n">
        <x:v>0.001769252362999206</x:v>
      </x:c>
      <x:c r="R26" s="23" t="n">
        <x:v>0.07188258274610573</x:v>
      </x:c>
      <x:c r="S26" s="23" t="n">
        <x:v>0.011668755678876562</x:v>
      </x:c>
      <x:c r="T26" s="23" t="n">
        <x:v>0.0691475860344586</x:v>
      </x:c>
      <x:c r="U26" s="23" t="n">
        <x:v>0.1638164323186195</x:v>
      </x:c>
      <x:c r="V26" s="23" t="n">
        <x:v>0.027167743020776625</x:v>
      </x:c>
    </x:row>
    <x:row r="27">
      <x:c r="A27" s="20" t="n">
        <x:v>44407</x:v>
      </x:c>
      <x:c r="B27" s="23" t="n">
        <x:v>0.11729322740334983</x:v>
      </x:c>
      <x:c r="C27" s="23" t="n">
        <x:v>-0.0013572535310480693</x:v>
      </x:c>
      <x:c r="D27" s="23" t="n">
        <x:v>-0.0030455288130193797</x:v>
      </x:c>
      <x:c r="E27" s="23" t="n">
        <x:v>0.16461487351809154</x:v>
      </x:c>
      <x:c r="F27" s="23" t="n">
        <x:v>0.07033771394096586</x:v>
      </x:c>
      <x:c r="G27" s="23" t="n">
        <x:v>0.016907571608835763</x:v>
      </x:c>
      <x:c r="H27" s="23" t="n">
        <x:v>0.06790909126242593</x:v>
      </x:c>
      <x:c r="I27" s="23" t="n">
        <x:v>0.12373150730149231</x:v>
      </x:c>
      <x:c r="J27" s="23" t="n">
        <x:v>0.08193598816555771</x:v>
      </x:c>
      <x:c r="K27" s="23" t="n">
        <x:v>0.049698605913903376</x:v>
      </x:c>
      <x:c r="L27" s="23" t="n">
        <x:v>0.08935944413944487</x:v>
      </x:c>
      <x:c r="M27" s="23" t="n">
        <x:v>0.035636869519004924</x:v>
      </x:c>
      <x:c r="N27" s="23" t="n">
        <x:v>-0.001252614403815272</x:v>
      </x:c>
      <x:c r="O27" s="23" t="n">
        <x:v>0.14271183235174667</x:v>
      </x:c>
      <x:c r="P27" s="23" t="n">
        <x:v>0.16678709123146224</x:v>
      </x:c>
      <x:c r="Q27" s="23" t="n">
        <x:v>0.004338769848981461</x:v>
      </x:c>
      <x:c r="R27" s="23" t="n">
        <x:v>-0.0002129141373894139</x:v>
      </x:c>
      <x:c r="S27" s="23" t="n">
        <x:v>0.16194553438485806</x:v>
      </x:c>
      <x:c r="T27" s="23" t="n">
        <x:v>0.1975304668323843</x:v>
      </x:c>
      <x:c r="U27" s="23" t="n">
        <x:v>0.15106039868083077</x:v>
      </x:c>
      <x:c r="V27" s="23" t="n">
        <x:v>0.056272558194525354</x:v>
      </x:c>
    </x:row>
    <x:row r="28">
      <x:c r="A28" s="20" t="n">
        <x:v>44438</x:v>
      </x:c>
      <x:c r="B28" s="23" t="n">
        <x:v>0.05316420396149993</x:v>
      </x:c>
      <x:c r="C28" s="23" t="n">
        <x:v>0.052504015491384254</x:v>
      </x:c>
      <x:c r="D28" s="23" t="n">
        <x:v>0.0365268559034953</x:v>
      </x:c>
      <x:c r="E28" s="23" t="n">
        <x:v>0.12081041622604789</x:v>
      </x:c>
      <x:c r="F28" s="23" t="n">
        <x:v>0.11905511117532662</x:v>
      </x:c>
      <x:c r="G28" s="23" t="n">
        <x:v>0.061527628456690284</x:v>
      </x:c>
      <x:c r="H28" s="23" t="n">
        <x:v>0.002754495704740262</x:v>
      </x:c>
      <x:c r="I28" s="23" t="n">
        <x:v>0.04918113788339248</x:v>
      </x:c>
      <x:c r="J28" s="23" t="n">
        <x:v>0.08082848494323211</x:v>
      </x:c>
      <x:c r="K28" s="23" t="n">
        <x:v>-0.06091287327353581</x:v>
      </x:c>
      <x:c r="L28" s="23" t="n">
        <x:v>0.08689532761687055</x:v>
      </x:c>
      <x:c r="M28" s="23" t="n">
        <x:v>-0.01862544881776758</x:v>
      </x:c>
      <x:c r="N28" s="23" t="n">
        <x:v>0.038402193743201814</x:v>
      </x:c>
      <x:c r="O28" s="23" t="n">
        <x:v>0.08479213742262494</x:v>
      </x:c>
      <x:c r="P28" s="23" t="n">
        <x:v>-0.0032828107293995865</x:v>
      </x:c>
      <x:c r="Q28" s="23" t="n">
        <x:v>0.1267469564123908</x:v>
      </x:c>
      <x:c r="R28" s="23" t="n">
        <x:v>0.08268639368270525</x:v>
      </x:c>
      <x:c r="S28" s="23" t="n">
        <x:v>0.05883114824625903</x:v>
      </x:c>
      <x:c r="T28" s="23" t="n">
        <x:v>0.12790311450971184</x:v>
      </x:c>
      <x:c r="U28" s="23" t="n">
        <x:v>0.16053868962251958</x:v>
      </x:c>
      <x:c r="V28" s="23" t="n">
        <x:v>0.04003994237774378</x:v>
      </x:c>
    </x:row>
    <x:row r="29">
      <x:c r="A29" s="20" t="n">
        <x:v>44469</x:v>
      </x:c>
      <x:c r="B29" s="23" t="n">
        <x:v>-0.12145202172002598</x:v>
      </x:c>
      <x:c r="C29" s="23" t="n">
        <x:v>0.008620907199080236</x:v>
      </x:c>
      <x:c r="D29" s="23" t="n">
        <x:v>-0.11880576452381847</x:v>
      </x:c>
      <x:c r="E29" s="23" t="n">
        <x:v>0.046057621639634394</x:v>
      </x:c>
      <x:c r="F29" s="23" t="n">
        <x:v>-0.06788745117150037</x:v>
      </x:c>
      <x:c r="G29" s="23" t="n">
        <x:v>-0.15817769164328402</x:v>
      </x:c>
      <x:c r="H29" s="23" t="n">
        <x:v>-0.15620043533869965</x:v>
      </x:c>
      <x:c r="I29" s="23" t="n">
        <x:v>0.012597367131515408</x:v>
      </x:c>
      <x:c r="J29" s="23" t="n">
        <x:v>-0.07730603055057739</x:v>
      </x:c>
      <x:c r="K29" s="23" t="n">
        <x:v>-0.14619453972535307</x:v>
      </x:c>
      <x:c r="L29" s="23" t="n">
        <x:v>-0.18894430037395266</x:v>
      </x:c>
      <x:c r="M29" s="23" t="n">
        <x:v>-0.17556206532313479</x:v>
      </x:c>
      <x:c r="N29" s="23" t="n">
        <x:v>-0.267423993612507</x:v>
      </x:c>
      <x:c r="O29" s="23" t="n">
        <x:v>-0.24743562980885886</x:v>
      </x:c>
      <x:c r="P29" s="23" t="n">
        <x:v>-0.17660016819160132</x:v>
      </x:c>
      <x:c r="Q29" s="23" t="n">
        <x:v>-0.26195098571463493</x:v>
      </x:c>
      <x:c r="R29" s="23" t="n">
        <x:v>-0.19191882087147277</x:v>
      </x:c>
      <x:c r="S29" s="23" t="n">
        <x:v>-0.12724228618972025</x:v>
      </x:c>
      <x:c r="T29" s="23" t="n">
        <x:v>-0.24840309850271033</x:v>
      </x:c>
      <x:c r="U29" s="23" t="n">
        <x:v>-0.0938222536855021</x:v>
      </x:c>
      <x:c r="V29" s="23" t="n">
        <x:v>-0.13002962229657494</x:v>
      </x:c>
    </x:row>
    <x:row r="30">
      <x:c r="A30" s="20" t="n">
        <x:v>44499</x:v>
      </x:c>
      <x:c r="B30" s="23" t="n">
        <x:v>0.0009914571689655927</x:v>
      </x:c>
      <x:c r="C30" s="23" t="n">
        <x:v>0.051696684869328914</x:v>
      </x:c>
      <x:c r="D30" s="23" t="n">
        <x:v>0.08490210247116803</x:v>
      </x:c>
      <x:c r="E30" s="23" t="n">
        <x:v>0.11102910699615254</x:v>
      </x:c>
      <x:c r="F30" s="23" t="n">
        <x:v>0.0947231407085293</x:v>
      </x:c>
      <x:c r="G30" s="23" t="n">
        <x:v>-0.058254983299702905</x:v>
      </x:c>
      <x:c r="H30" s="23" t="n">
        <x:v>0.016342675735334898</x:v>
      </x:c>
      <x:c r="I30" s="23" t="n">
        <x:v>0.1754738431674722</x:v>
      </x:c>
      <x:c r="J30" s="23" t="n">
        <x:v>0.08776542953565863</x:v>
      </x:c>
      <x:c r="K30" s="23" t="n">
        <x:v>0.18608505887797266</x:v>
      </x:c>
      <x:c r="L30" s="23" t="n">
        <x:v>0.09115740211948675</x:v>
      </x:c>
      <x:c r="M30" s="23" t="n">
        <x:v>0.08746877770863717</x:v>
      </x:c>
      <x:c r="N30" s="23" t="n">
        <x:v>0.023464655929482145</x:v>
      </x:c>
      <x:c r="O30" s="23" t="n">
        <x:v>0.06171484132143609</x:v>
      </x:c>
      <x:c r="P30" s="23" t="n">
        <x:v>-0.0249385083444241</x:v>
      </x:c>
      <x:c r="Q30" s="23" t="n">
        <x:v>0.030327003098441156</x:v>
      </x:c>
      <x:c r="R30" s="23" t="n">
        <x:v>0.13234870207462057</x:v>
      </x:c>
      <x:c r="S30" s="23" t="n">
        <x:v>0.0031436603453515594</x:v>
      </x:c>
      <x:c r="T30" s="23" t="n">
        <x:v>0.08723750938536058</x:v>
      </x:c>
      <x:c r="U30" s="23" t="n">
        <x:v>0.2596876425526977</x:v>
      </x:c>
      <x:c r="V30" s="23" t="n">
        <x:v>0.07076822148496817</x:v>
      </x:c>
    </x:row>
    <x:row r="31">
      <x:c r="A31" s="20" t="n">
        <x:v>44530</x:v>
      </x:c>
      <x:c r="B31" s="23" t="n">
        <x:v>0.022651725236071243</x:v>
      </x:c>
      <x:c r="C31" s="23" t="n">
        <x:v>0.041627560457183854</x:v>
      </x:c>
      <x:c r="D31" s="23" t="n">
        <x:v>0.08560276574715525</x:v>
      </x:c>
      <x:c r="E31" s="23" t="n">
        <x:v>-0.0254663223324925</x:v>
      </x:c>
      <x:c r="F31" s="23" t="n">
        <x:v>0.01259894702257841</x:v>
      </x:c>
      <x:c r="G31" s="23" t="n">
        <x:v>0.10477285440238089</x:v>
      </x:c>
      <x:c r="H31" s="23" t="n">
        <x:v>0.13662485369709176</x:v>
      </x:c>
      <x:c r="I31" s="23" t="n">
        <x:v>0.037027800260606814</x:v>
      </x:c>
      <x:c r="J31" s="23" t="n">
        <x:v>0.11319379062263446</x:v>
      </x:c>
      <x:c r="K31" s="23" t="n">
        <x:v>0.06637015132801617</x:v>
      </x:c>
      <x:c r="L31" s="23" t="n">
        <x:v>0.053012096350495724</x:v>
      </x:c>
      <x:c r="M31" s="23" t="n">
        <x:v>0.056209311257339745</x:v>
      </x:c>
      <x:c r="N31" s="23" t="n">
        <x:v>0.12140823881531776</x:v>
      </x:c>
      <x:c r="O31" s="23" t="n">
        <x:v>0.16117043956890223</x:v>
      </x:c>
      <x:c r="P31" s="23" t="n">
        <x:v>0.11962813896428184</x:v>
      </x:c>
      <x:c r="Q31" s="23" t="n">
        <x:v>0.19559700304851596</x:v>
      </x:c>
      <x:c r="R31" s="23" t="n">
        <x:v>0.10646080236395904</x:v>
      </x:c>
      <x:c r="S31" s="23" t="n">
        <x:v>0.18291812235294205</x:v>
      </x:c>
      <x:c r="T31" s="23" t="n">
        <x:v>0.16570432763160056</x:v>
      </x:c>
      <x:c r="U31" s="23" t="n">
        <x:v>0.15580179530348615</x:v>
      </x:c>
      <x:c r="V31" s="23" t="n">
        <x:v>0.06981378370305606</x:v>
      </x:c>
    </x:row>
    <x:row r="32">
      <x:c r="A32" s="20" t="n">
        <x:v>44560</x:v>
      </x:c>
      <x:c r="B32" s="23" t="n">
        <x:v>0.03727020002849191</x:v>
      </x:c>
      <x:c r="C32" s="23" t="n">
        <x:v>0.012239605509476257</x:v>
      </x:c>
      <x:c r="D32" s="23" t="n">
        <x:v>0.136194863162317</x:v>
      </x:c>
      <x:c r="E32" s="23" t="n">
        <x:v>0.0016371003542453508</x:v>
      </x:c>
      <x:c r="F32" s="23" t="n">
        <x:v>0.07131388770232427</x:v>
      </x:c>
      <x:c r="G32" s="23" t="n">
        <x:v>0.06000808827210179</x:v>
      </x:c>
      <x:c r="H32" s="23" t="n">
        <x:v>0.18305371278765165</x:v>
      </x:c>
      <x:c r="I32" s="23" t="n">
        <x:v>0.06316144591033179</x:v>
      </x:c>
      <x:c r="J32" s="23" t="n">
        <x:v>0.11746041441220476</x:v>
      </x:c>
      <x:c r="K32" s="23" t="n">
        <x:v>0.021162181705991188</x:v>
      </x:c>
      <x:c r="L32" s="23" t="n">
        <x:v>0.11831492471250218</x:v>
      </x:c>
      <x:c r="M32" s="23" t="n">
        <x:v>-0.045197728623193226</x:v>
      </x:c>
      <x:c r="N32" s="23" t="n">
        <x:v>0.044371605520310074</x:v>
      </x:c>
      <x:c r="O32" s="23" t="n">
        <x:v>0.10581229697717705</x:v>
      </x:c>
      <x:c r="P32" s="23" t="n">
        <x:v>-0.025749203805745143</x:v>
      </x:c>
      <x:c r="Q32" s="23" t="n">
        <x:v>0.09118635225536727</x:v>
      </x:c>
      <x:c r="R32" s="23" t="n">
        <x:v>0.051166409101230284</x:v>
      </x:c>
      <x:c r="S32" s="23" t="n">
        <x:v>-0.04063542328066774</x:v>
      </x:c>
      <x:c r="T32" s="23" t="n">
        <x:v>0.06518691510001219</x:v>
      </x:c>
      <x:c r="U32" s="23" t="n">
        <x:v>0.0315499260700155</x:v>
      </x:c>
      <x:c r="V32" s="23" t="n">
        <x:v>0.03707259528267787</x:v>
      </x:c>
    </x:row>
    <x:row r="33">
      <x:c r="A33" s="20" t="n">
        <x:v>44591</x:v>
      </x:c>
      <x:c r="B33" s="23" t="n">
        <x:v>-0.013110895245653936</x:v>
      </x:c>
      <x:c r="C33" s="23" t="n">
        <x:v>0.07724644297657082</x:v>
      </x:c>
      <x:c r="D33" s="23" t="n">
        <x:v>-0.05798467276453808</x:v>
      </x:c>
      <x:c r="E33" s="23" t="n">
        <x:v>-0.016529018021852776</x:v>
      </x:c>
      <x:c r="F33" s="23" t="n">
        <x:v>-0.07071932445078927</x:v>
      </x:c>
      <x:c r="G33" s="23" t="n">
        <x:v>-0.0792784931364768</x:v>
      </x:c>
      <x:c r="H33" s="23" t="n">
        <x:v>-0.02221106573161958</x:v>
      </x:c>
      <x:c r="I33" s="23" t="n">
        <x:v>0.04019318392842005</x:v>
      </x:c>
      <x:c r="J33" s="23" t="n">
        <x:v>-0.0013890226631153024</x:v>
      </x:c>
      <x:c r="K33" s="23" t="n">
        <x:v>-0.09057250381109422</x:v>
      </x:c>
      <x:c r="L33" s="23" t="n">
        <x:v>0.013195672786858792</x:v>
      </x:c>
      <x:c r="M33" s="23" t="n">
        <x:v>-0.07728371591215775</x:v>
      </x:c>
      <x:c r="N33" s="23" t="n">
        <x:v>0.030957974690668418</x:v>
      </x:c>
      <x:c r="O33" s="23" t="n">
        <x:v>-0.10873878379678828</x:v>
      </x:c>
      <x:c r="P33" s="23" t="n">
        <x:v>-0.12223587185818194</x:v>
      </x:c>
      <x:c r="Q33" s="23" t="n">
        <x:v>-0.059547684926326803</x:v>
      </x:c>
      <x:c r="R33" s="23" t="n">
        <x:v>-0.019309339511014205</x:v>
      </x:c>
      <x:c r="S33" s="23" t="n">
        <x:v>-0.10212582487067298</x:v>
      </x:c>
      <x:c r="T33" s="23" t="n">
        <x:v>-0.07974158397529262</x:v>
      </x:c>
      <x:c r="U33" s="23" t="n">
        <x:v>-0.12667787592743282</x:v>
      </x:c>
      <x:c r="V33" s="23" t="n">
        <x:v>-0.052075225042011064</x:v>
      </x:c>
    </x:row>
    <x:row r="34">
      <x:c r="A34" s="20" t="n">
        <x:v>44620</x:v>
      </x:c>
      <x:c r="B34" s="23" t="n">
        <x:v>-0.0913919114203801</x:v>
      </x:c>
      <x:c r="C34" s="23" t="n">
        <x:v>-0.1458003867297766</x:v>
      </x:c>
      <x:c r="D34" s="23" t="n">
        <x:v>-0.07306615942272654</x:v>
      </x:c>
      <x:c r="E34" s="23" t="n">
        <x:v>0.0003478436586888331</x:v>
      </x:c>
      <x:c r="F34" s="23" t="n">
        <x:v>-0.144071840926918</x:v>
      </x:c>
      <x:c r="G34" s="23" t="n">
        <x:v>-0.0658446365352285</x:v>
      </x:c>
      <x:c r="H34" s="23" t="n">
        <x:v>-0.07502222257715895</x:v>
      </x:c>
      <x:c r="I34" s="23" t="n">
        <x:v>-0.15592101557338967</x:v>
      </x:c>
      <x:c r="J34" s="23" t="n">
        <x:v>-0.03736115563437506</x:v>
      </x:c>
      <x:c r="K34" s="23" t="n">
        <x:v>-0.0975527470004153</x:v>
      </x:c>
      <x:c r="L34" s="23" t="n">
        <x:v>-0.06703232961701672</x:v>
      </x:c>
      <x:c r="M34" s="23" t="n">
        <x:v>-0.11686811159996499</x:v>
      </x:c>
      <x:c r="N34" s="23" t="n">
        <x:v>-0.11162229446345419</x:v>
      </x:c>
      <x:c r="O34" s="23" t="n">
        <x:v>-0.03498253454169878</x:v>
      </x:c>
      <x:c r="P34" s="23" t="n">
        <x:v>-0.06793443874173052</x:v>
      </x:c>
      <x:c r="Q34" s="23" t="n">
        <x:v>-0.04040811133369276</x:v>
      </x:c>
      <x:c r="R34" s="23" t="n">
        <x:v>-0.09034820159760831</x:v>
      </x:c>
      <x:c r="S34" s="23" t="n">
        <x:v>-0.1364361615487653</x:v>
      </x:c>
      <x:c r="T34" s="23" t="n">
        <x:v>-0.12175852200930735</x:v>
      </x:c>
      <x:c r="U34" s="23" t="n">
        <x:v>-0.08874380137353896</x:v>
      </x:c>
      <x:c r="V34" s="23" t="n">
        <x:v>-0.07296137304010225</x:v>
      </x:c>
    </x:row>
    <x:row r="35">
      <x:c r="A35" s="20" t="n">
        <x:v>44650</x:v>
      </x:c>
      <x:c r="B35" s="23" t="n">
        <x:v>0.08636130872546774</x:v>
      </x:c>
      <x:c r="C35" s="23" t="n">
        <x:v>0.12151965422427806</x:v>
      </x:c>
      <x:c r="D35" s="23" t="n">
        <x:v>-0.10510307843514916</x:v>
      </x:c>
      <x:c r="E35" s="23" t="n">
        <x:v>0.06867785526641272</x:v>
      </x:c>
      <x:c r="F35" s="23" t="n">
        <x:v>-0.023201274727168195</x:v>
      </x:c>
      <x:c r="G35" s="23" t="n">
        <x:v>0.06179407748230094</x:v>
      </x:c>
      <x:c r="H35" s="23" t="n">
        <x:v>-0.13811615314697556</x:v>
      </x:c>
      <x:c r="I35" s="23" t="n">
        <x:v>0.05984574633793663</x:v>
      </x:c>
      <x:c r="J35" s="23" t="n">
        <x:v>-0.023268939380603683</x:v>
      </x:c>
      <x:c r="K35" s="23" t="n">
        <x:v>-0.0460428798734176</x:v>
      </x:c>
      <x:c r="L35" s="23" t="n">
        <x:v>0.07648240702636772</x:v>
      </x:c>
      <x:c r="M35" s="23" t="n">
        <x:v>0.042112164916491085</x:v>
      </x:c>
      <x:c r="N35" s="23" t="n">
        <x:v>-0.06081303279164207</x:v>
      </x:c>
      <x:c r="O35" s="23" t="n">
        <x:v>0.10239764871536891</x:v>
      </x:c>
      <x:c r="P35" s="23" t="n">
        <x:v>0.008860567946549776</x:v>
      </x:c>
      <x:c r="Q35" s="23" t="n">
        <x:v>0.004150582679956195</x:v>
      </x:c>
      <x:c r="R35" s="23" t="n">
        <x:v>0.1040175948442512</x:v>
      </x:c>
      <x:c r="S35" s="23" t="n">
        <x:v>-0.11906641706531683</x:v>
      </x:c>
      <x:c r="T35" s="23" t="n">
        <x:v>0.08206565100541739</x:v>
      </x:c>
      <x:c r="U35" s="23" t="n">
        <x:v>-0.04618424866057288</x:v>
      </x:c>
      <x:c r="V35" s="23" t="n">
        <x:v>0.03792710383398955</x:v>
      </x:c>
    </x:row>
    <x:row r="36">
      <x:c r="A36" s="20" t="n">
        <x:v>44681</x:v>
      </x:c>
      <x:c r="B36" s="23" t="n">
        <x:v>-0.02892645199006981</x:v>
      </x:c>
      <x:c r="C36" s="23" t="n">
        <x:v>0.16841827516426225</x:v>
      </x:c>
      <x:c r="D36" s="23" t="n">
        <x:v>0.0699216874498501</x:v>
      </x:c>
      <x:c r="E36" s="23" t="n">
        <x:v>-0.04091012269493982</x:v>
      </x:c>
      <x:c r="F36" s="23" t="n">
        <x:v>0.19120733886722432</x:v>
      </x:c>
      <x:c r="G36" s="23" t="n">
        <x:v>0.047051000282779934</x:v>
      </x:c>
      <x:c r="H36" s="23" t="n">
        <x:v>0.028521781034484196</x:v>
      </x:c>
      <x:c r="I36" s="23" t="n">
        <x:v>0.1961926931453205</x:v>
      </x:c>
      <x:c r="J36" s="23" t="n">
        <x:v>-0.08178945519916896</x:v>
      </x:c>
      <x:c r="K36" s="23" t="n">
        <x:v>0.10214031083580027</x:v>
      </x:c>
      <x:c r="L36" s="23" t="n">
        <x:v>0.026312591860165328</x:v>
      </x:c>
      <x:c r="M36" s="23" t="n">
        <x:v>0.012735207410443278</x:v>
      </x:c>
      <x:c r="N36" s="23" t="n">
        <x:v>0.09518025518549093</x:v>
      </x:c>
      <x:c r="O36" s="23" t="n">
        <x:v>-0.02679679630825446</x:v>
      </x:c>
      <x:c r="P36" s="23" t="n">
        <x:v>0.05880037296118508</x:v>
      </x:c>
      <x:c r="Q36" s="23" t="n">
        <x:v>-0.029777712877912733</x:v>
      </x:c>
      <x:c r="R36" s="23" t="n">
        <x:v>0.12198562537700518</x:v>
      </x:c>
      <x:c r="S36" s="23" t="n">
        <x:v>0.11613243627676312</x:v>
      </x:c>
      <x:c r="T36" s="23" t="n">
        <x:v>0.08355614400929348</x:v>
      </x:c>
      <x:c r="U36" s="23" t="n">
        <x:v>-0.07315505881788723</x:v>
      </x:c>
      <x:c r="V36" s="23" t="n">
        <x:v>0.027535828062806994</x:v>
      </x:c>
    </x:row>
    <x:row r="37">
      <x:c r="A37" s="20" t="n">
        <x:v>44711</x:v>
      </x:c>
      <x:c r="B37" s="23" t="n">
        <x:v>0.04081163676504794</x:v>
      </x:c>
      <x:c r="C37" s="23" t="n">
        <x:v>0.006025552476183756</x:v>
      </x:c>
      <x:c r="D37" s="23" t="n">
        <x:v>-0.035765160357188526</x:v>
      </x:c>
      <x:c r="E37" s="23" t="n">
        <x:v>0.008570020532528148</x:v>
      </x:c>
      <x:c r="F37" s="23" t="n">
        <x:v>-0.0336081315709358</x:v>
      </x:c>
      <x:c r="G37" s="23" t="n">
        <x:v>0.06195065718170064</x:v>
      </x:c>
      <x:c r="H37" s="23" t="n">
        <x:v>0.018912548223938876</x:v>
      </x:c>
      <x:c r="I37" s="23" t="n">
        <x:v>0.05818602032360248</x:v>
      </x:c>
      <x:c r="J37" s="23" t="n">
        <x:v>-0.09429975859354489</x:v>
      </x:c>
      <x:c r="K37" s="23" t="n">
        <x:v>-0.11671917012916638</x:v>
      </x:c>
      <x:c r="L37" s="23" t="n">
        <x:v>-0.008147118347505033</x:v>
      </x:c>
      <x:c r="M37" s="23" t="n">
        <x:v>0.01136749334467993</x:v>
      </x:c>
      <x:c r="N37" s="23" t="n">
        <x:v>-0.0511111274843335</x:v>
      </x:c>
      <x:c r="O37" s="23" t="n">
        <x:v>-0.0804574934944722</x:v>
      </x:c>
      <x:c r="P37" s="23" t="n">
        <x:v>0.04324003726976408</x:v>
      </x:c>
      <x:c r="Q37" s="23" t="n">
        <x:v>-0.05746102163843267</x:v>
      </x:c>
      <x:c r="R37" s="23" t="n">
        <x:v>-0.09125894489748541</x:v>
      </x:c>
      <x:c r="S37" s="23" t="n">
        <x:v>0.021305505198965364</x:v>
      </x:c>
      <x:c r="T37" s="23" t="n">
        <x:v>-0.04648087073868987</x:v>
      </x:c>
      <x:c r="U37" s="23" t="n">
        <x:v>0.03123028833563477</x:v>
      </x:c>
      <x:c r="V37" s="23" t="n">
        <x:v>-0.008487648381094792</x:v>
      </x:c>
    </x:row>
    <x:row r="38">
      <x:c r="A38" s="20" t="n">
        <x:v>44742</x:v>
      </x:c>
      <x:c r="B38" s="23" t="n">
        <x:v>0.019976050158551334</x:v>
      </x:c>
      <x:c r="C38" s="23" t="n">
        <x:v>-0.006412116361986447</x:v>
      </x:c>
      <x:c r="D38" s="23" t="n">
        <x:v>0.053258647108357864</x:v>
      </x:c>
      <x:c r="E38" s="23" t="n">
        <x:v>-0.02505175996398402</x:v>
      </x:c>
      <x:c r="F38" s="23" t="n">
        <x:v>0.13440956776434285</x:v>
      </x:c>
      <x:c r="G38" s="23" t="n">
        <x:v>-0.050508554165068616</x:v>
      </x:c>
      <x:c r="H38" s="23" t="n">
        <x:v>0.004891116387315592</x:v>
      </x:c>
      <x:c r="I38" s="23" t="n">
        <x:v>-0.05248754911493002</x:v>
      </x:c>
      <x:c r="J38" s="23" t="n">
        <x:v>0.035959746551532036</x:v>
      </x:c>
      <x:c r="K38" s="23" t="n">
        <x:v>-0.14468176506258856</x:v>
      </x:c>
      <x:c r="L38" s="23" t="n">
        <x:v>0.06919585769669281</x:v>
      </x:c>
      <x:c r="M38" s="23" t="n">
        <x:v>0.06999538155707076</x:v>
      </x:c>
      <x:c r="N38" s="23" t="n">
        <x:v>0.022216929332855975</x:v>
      </x:c>
      <x:c r="O38" s="23" t="n">
        <x:v>-0.07074290892186794</x:v>
      </x:c>
      <x:c r="P38" s="23" t="n">
        <x:v>-0.06022829727304266</x:v>
      </x:c>
      <x:c r="Q38" s="23" t="n">
        <x:v>0.059081998038161124</x:v>
      </x:c>
      <x:c r="R38" s="23" t="n">
        <x:v>0.006502746905601861</x:v>
      </x:c>
      <x:c r="S38" s="23" t="n">
        <x:v>0.013589141247081212</x:v>
      </x:c>
      <x:c r="T38" s="23" t="n">
        <x:v>-0.16538597992450715</x:v>
      </x:c>
      <x:c r="U38" s="23" t="n">
        <x:v>-0.058021904033682695</x:v>
      </x:c>
      <x:c r="V38" s="23" t="n">
        <x:v>0.006652019245327122</x:v>
      </x:c>
    </x:row>
    <x:row r="39">
      <x:c r="A39" s="20" t="n">
        <x:v>44772</x:v>
      </x:c>
      <x:c r="B39" s="23" t="n">
        <x:v>0.0717809892348008</x:v>
      </x:c>
      <x:c r="C39" s="23" t="n">
        <x:v>0.05620013957999573</x:v>
      </x:c>
      <x:c r="D39" s="23" t="n">
        <x:v>0.05113011548972701</x:v>
      </x:c>
      <x:c r="E39" s="23" t="n">
        <x:v>-0.03084544430650593</x:v>
      </x:c>
      <x:c r="F39" s="23" t="n">
        <x:v>0.09653614894164256</x:v>
      </x:c>
      <x:c r="G39" s="23" t="n">
        <x:v>0.21126497660859514</x:v>
      </x:c>
      <x:c r="H39" s="23" t="n">
        <x:v>0.13632319581190522</x:v>
      </x:c>
      <x:c r="I39" s="23" t="n">
        <x:v>0.07960986238006595</x:v>
      </x:c>
      <x:c r="J39" s="23" t="n">
        <x:v>0.08544943729148365</x:v>
      </x:c>
      <x:c r="K39" s="23" t="n">
        <x:v>0.21094221241702066</x:v>
      </x:c>
      <x:c r="L39" s="23" t="n">
        <x:v>0.14806559128234392</x:v>
      </x:c>
      <x:c r="M39" s="23" t="n">
        <x:v>0.07421788002693985</x:v>
      </x:c>
      <x:c r="N39" s="23" t="n">
        <x:v>0.042350592984781624</x:v>
      </x:c>
      <x:c r="O39" s="23" t="n">
        <x:v>0.03822329588481478</x:v>
      </x:c>
      <x:c r="P39" s="23" t="n">
        <x:v>0.03492869707179937</x:v>
      </x:c>
      <x:c r="Q39" s="23" t="n">
        <x:v>0.2314435436402914</x:v>
      </x:c>
      <x:c r="R39" s="23" t="n">
        <x:v>0.1737950042076509</x:v>
      </x:c>
      <x:c r="S39" s="23" t="n">
        <x:v>0.08189031979858022</x:v>
      </x:c>
      <x:c r="T39" s="23" t="n">
        <x:v>0.17466052896235326</x:v>
      </x:c>
      <x:c r="U39" s="23" t="n">
        <x:v>0.20261172728354954</x:v>
      </x:c>
      <x:c r="V39" s="23" t="n">
        <x:v>0.08143741144441635</x:v>
      </x:c>
    </x:row>
    <x:row r="40">
      <x:c r="A40" s="20" t="n">
        <x:v>44803</x:v>
      </x:c>
      <x:c r="B40" s="23" t="n">
        <x:v>0.05546707216805696</x:v>
      </x:c>
      <x:c r="C40" s="23" t="n">
        <x:v>0.06421574065933248</x:v>
      </x:c>
      <x:c r="D40" s="23" t="n">
        <x:v>0.01967527219156119</x:v>
      </x:c>
      <x:c r="E40" s="23" t="n">
        <x:v>0.13036779630102724</x:v>
      </x:c>
      <x:c r="F40" s="23" t="n">
        <x:v>-0.10893128524769574</x:v>
      </x:c>
      <x:c r="G40" s="23" t="n">
        <x:v>-0.05800638449737256</x:v>
      </x:c>
      <x:c r="H40" s="23" t="n">
        <x:v>0.001174504086907821</x:v>
      </x:c>
      <x:c r="I40" s="23" t="n">
        <x:v>0.07023487118293215</x:v>
      </x:c>
      <x:c r="J40" s="23" t="n">
        <x:v>0.06365175719789196</x:v>
      </x:c>
      <x:c r="K40" s="23" t="n">
        <x:v>-0.04247618579049417</x:v>
      </x:c>
      <x:c r="L40" s="23" t="n">
        <x:v>-0.009317089177990484</x:v>
      </x:c>
      <x:c r="M40" s="23" t="n">
        <x:v>0.10903327187418171</x:v>
      </x:c>
      <x:c r="N40" s="23" t="n">
        <x:v>0.0702841552928163</x:v>
      </x:c>
      <x:c r="O40" s="23" t="n">
        <x:v>-0.09798742661109865</x:v>
      </x:c>
      <x:c r="P40" s="23" t="n">
        <x:v>-0.011886431399010244</x:v>
      </x:c>
      <x:c r="Q40" s="23" t="n">
        <x:v>0.13674684629275963</x:v>
      </x:c>
      <x:c r="R40" s="23" t="n">
        <x:v>0.13187026530515963</x:v>
      </x:c>
      <x:c r="S40" s="23" t="n">
        <x:v>0.07933518841435729</x:v>
      </x:c>
      <x:c r="T40" s="23" t="n">
        <x:v>0.0072618988488115516</x:v>
      </x:c>
      <x:c r="U40" s="23" t="n">
        <x:v>0.03357730513856142</x:v>
      </x:c>
      <x:c r="V40" s="23" t="n">
        <x:v>0.055437705130059224</x:v>
      </x:c>
    </x:row>
    <x:row r="41">
      <x:c r="A41" s="20" t="n">
        <x:v>44834</x:v>
      </x:c>
      <x:c r="B41" s="23" t="n">
        <x:v>-0.06748786210866942</x:v>
      </x:c>
      <x:c r="C41" s="23" t="n">
        <x:v>0.01734694518424902</x:v>
      </x:c>
      <x:c r="D41" s="23" t="n">
        <x:v>-0.13351756344537313</x:v>
      </x:c>
      <x:c r="E41" s="23" t="n">
        <x:v>-0.08151113894018164</x:v>
      </x:c>
      <x:c r="F41" s="23" t="n">
        <x:v>-0.026707738276758097</x:v>
      </x:c>
      <x:c r="G41" s="23" t="n">
        <x:v>-0.12919612699931524</x:v>
      </x:c>
      <x:c r="H41" s="23" t="n">
        <x:v>-0.17750478515486967</x:v>
      </x:c>
      <x:c r="I41" s="23" t="n">
        <x:v>-0.08144478755534257</x:v>
      </x:c>
      <x:c r="J41" s="23" t="n">
        <x:v>-0.06347758617064611</x:v>
      </x:c>
      <x:c r="K41" s="23" t="n">
        <x:v>-0.09310472126895922</x:v>
      </x:c>
      <x:c r="L41" s="23" t="n">
        <x:v>-0.12843432744239108</x:v>
      </x:c>
      <x:c r="M41" s="23" t="n">
        <x:v>-0.10830774391873096</x:v>
      </x:c>
      <x:c r="N41" s="23" t="n">
        <x:v>-0.26853733850959305</x:v>
      </x:c>
      <x:c r="O41" s="23" t="n">
        <x:v>-0.09825905364114981</x:v>
      </x:c>
      <x:c r="P41" s="23" t="n">
        <x:v>-0.07296392211987893</x:v>
      </x:c>
      <x:c r="Q41" s="23" t="n">
        <x:v>-0.16956085544337188</x:v>
      </x:c>
      <x:c r="R41" s="23" t="n">
        <x:v>-0.19320348294254722</x:v>
      </x:c>
      <x:c r="S41" s="23" t="n">
        <x:v>-0.1092105384524965</x:v>
      </x:c>
      <x:c r="T41" s="23" t="n">
        <x:v>-0.16076453409015165</x:v>
      </x:c>
      <x:c r="U41" s="23" t="n">
        <x:v>-0.10644454876721057</x:v>
      </x:c>
      <x:c r="V41" s="23" t="n">
        <x:v>-0.10326526819152756</x:v>
      </x:c>
    </x:row>
    <x:row r="42">
      <x:c r="A42" s="20" t="n">
        <x:v>44864</x:v>
      </x:c>
      <x:c r="B42" s="23" t="n">
        <x:v>-0.029463201147678995</x:v>
      </x:c>
      <x:c r="C42" s="23" t="n">
        <x:v>-0.01612605512949529</x:v>
      </x:c>
      <x:c r="D42" s="23" t="n">
        <x:v>0.05580186996747807</x:v>
      </x:c>
      <x:c r="E42" s="23" t="n">
        <x:v>-0.006296673063272643</x:v>
      </x:c>
      <x:c r="F42" s="23" t="n">
        <x:v>0.04691817624276149</x:v>
      </x:c>
      <x:c r="G42" s="23" t="n">
        <x:v>-0.04143136856119037</x:v>
      </x:c>
      <x:c r="H42" s="23" t="n">
        <x:v>-0.05649981513522956</x:v>
      </x:c>
      <x:c r="I42" s="23" t="n">
        <x:v>0.01900550084388561</x:v>
      </x:c>
      <x:c r="J42" s="23" t="n">
        <x:v>0.009793980077204294</x:v>
      </x:c>
      <x:c r="K42" s="23" t="n">
        <x:v>-0.02774856161206196</x:v>
      </x:c>
      <x:c r="L42" s="23" t="n">
        <x:v>0.028252216479271938</x:v>
      </x:c>
      <x:c r="M42" s="23" t="n">
        <x:v>-0.05204947037414974</x:v>
      </x:c>
      <x:c r="N42" s="23" t="n">
        <x:v>0.025417504871293947</x:v>
      </x:c>
      <x:c r="O42" s="23" t="n">
        <x:v>0.04399429618647617</x:v>
      </x:c>
      <x:c r="P42" s="23" t="n">
        <x:v>0.037404247663931266</x:v>
      </x:c>
      <x:c r="Q42" s="23" t="n">
        <x:v>0.005098581183477545</x:v>
      </x:c>
      <x:c r="R42" s="23" t="n">
        <x:v>-0.03278354120390432</x:v>
      </x:c>
      <x:c r="S42" s="23" t="n">
        <x:v>-0.000844546103566865</x:v>
      </x:c>
      <x:c r="T42" s="23" t="n">
        <x:v>0.1124159930285167</x:v>
      </x:c>
      <x:c r="U42" s="23" t="n">
        <x:v>0.06799778832440898</x:v>
      </x:c>
      <x:c r="V42" s="23" t="n">
        <x:v>0.0084873680556488</x:v>
      </x:c>
    </x:row>
    <x:row r="43">
      <x:c r="A43" s="20" t="n">
        <x:v>44895</x:v>
      </x:c>
      <x:c r="B43" s="23" t="n">
        <x:v>-0.07258379253454911</x:v>
      </x:c>
      <x:c r="C43" s="23" t="n">
        <x:v>-0.16923327448996686</x:v>
      </x:c>
      <x:c r="D43" s="23" t="n">
        <x:v>-0.053848988884462726</x:v>
      </x:c>
      <x:c r="E43" s="23" t="n">
        <x:v>0.07952139176947881</x:v>
      </x:c>
      <x:c r="F43" s="23" t="n">
        <x:v>-0.03897955273275994</x:v>
      </x:c>
      <x:c r="G43" s="23" t="n">
        <x:v>-0.07223806651276349</x:v>
      </x:c>
      <x:c r="H43" s="23" t="n">
        <x:v>0.025883846857833858</x:v>
      </x:c>
      <x:c r="I43" s="23" t="n">
        <x:v>-0.11899037021013548</x:v>
      </x:c>
      <x:c r="J43" s="23" t="n">
        <x:v>-0.02647144447114022</x:v>
      </x:c>
      <x:c r="K43" s="23" t="n">
        <x:v>-0.006317198382213649</x:v>
      </x:c>
      <x:c r="L43" s="23" t="n">
        <x:v>-0.11493566815624766</x:v>
      </x:c>
      <x:c r="M43" s="23" t="n">
        <x:v>0.04719610012684266</x:v>
      </x:c>
      <x:c r="N43" s="23" t="n">
        <x:v>-0.04254309132816659</x:v>
      </x:c>
      <x:c r="O43" s="23" t="n">
        <x:v>0.06652769847152995</x:v>
      </x:c>
      <x:c r="P43" s="23" t="n">
        <x:v>0.05137706485047005</x:v>
      </x:c>
      <x:c r="Q43" s="23" t="n">
        <x:v>-0.04601222010091669</x:v>
      </x:c>
      <x:c r="R43" s="23" t="n">
        <x:v>-0.12596331865736868</x:v>
      </x:c>
      <x:c r="S43" s="23" t="n">
        <x:v>-0.08079292711208064</x:v>
      </x:c>
      <x:c r="T43" s="23" t="n">
        <x:v>-0.09763262104402762</x:v>
      </x:c>
      <x:c r="U43" s="23" t="n">
        <x:v>-0.052427379598368955</x:v>
      </x:c>
      <x:c r="V43" s="23" t="n">
        <x:v>-0.03712059300227871</x:v>
      </x:c>
    </x:row>
    <x:row r="44">
      <x:c r="A44" s="20" t="n">
        <x:v>44925</x:v>
      </x:c>
      <x:c r="B44" s="23" t="n">
        <x:v>-0.053106086904286934</x:v>
      </x:c>
      <x:c r="C44" s="23" t="n">
        <x:v>-0.08544743550045346</x:v>
      </x:c>
      <x:c r="D44" s="23" t="n">
        <x:v>-0.07281124324381322</x:v>
      </x:c>
      <x:c r="E44" s="23" t="n">
        <x:v>-0.034354860541157</x:v>
      </x:c>
      <x:c r="F44" s="23" t="n">
        <x:v>-0.05725954311835091</x:v>
      </x:c>
      <x:c r="G44" s="23" t="n">
        <x:v>-0.09843485742827311</x:v>
      </x:c>
      <x:c r="H44" s="23" t="n">
        <x:v>-0.024203514831672282</x:v>
      </x:c>
      <x:c r="I44" s="23" t="n">
        <x:v>-0.12889092303980665</x:v>
      </x:c>
      <x:c r="J44" s="23" t="n">
        <x:v>-0.16201971523374709</x:v>
      </x:c>
      <x:c r="K44" s="23" t="n">
        <x:v>-0.23053113307486892</x:v>
      </x:c>
      <x:c r="L44" s="23" t="n">
        <x:v>-0.10052938743892675</x:v>
      </x:c>
      <x:c r="M44" s="23" t="n">
        <x:v>-0.06616051763134256</x:v>
      </x:c>
      <x:c r="N44" s="23" t="n">
        <x:v>-0.2039999255295692</x:v>
      </x:c>
      <x:c r="O44" s="23" t="n">
        <x:v>-0.17771563505251095</x:v>
      </x:c>
      <x:c r="P44" s="23" t="n">
        <x:v>0.062425853263044784</x:v>
      </x:c>
      <x:c r="Q44" s="23" t="n">
        <x:v>-0.15495061775979466</x:v>
      </x:c>
      <x:c r="R44" s="23" t="n">
        <x:v>-0.16483004846603566</x:v>
      </x:c>
      <x:c r="S44" s="23" t="n">
        <x:v>-0.19088335879311324</x:v>
      </x:c>
      <x:c r="T44" s="23" t="n">
        <x:v>-0.20513123684298104</x:v>
      </x:c>
      <x:c r="U44" s="23" t="n">
        <x:v>-0.2327500342687685</x:v>
      </x:c>
      <x:c r="V44" s="23" t="n">
        <x:v>-0.10344567276431112</x:v>
      </x:c>
    </x:row>
    <x:row r="45">
      <x:c r="A45" s="20" t="n">
        <x:v>44956</x:v>
      </x:c>
      <x:c r="B45" s="23" t="n">
        <x:v>0.07856801336821208</x:v>
      </x:c>
      <x:c r="C45" s="23" t="n">
        <x:v>0.05396982400292871</x:v>
      </x:c>
      <x:c r="D45" s="23" t="n">
        <x:v>0.07415514670991408</x:v>
      </x:c>
      <x:c r="E45" s="23" t="n">
        <x:v>0.0880469251393042</x:v>
      </x:c>
      <x:c r="F45" s="23" t="n">
        <x:v>0.10827870459175114</x:v>
      </x:c>
      <x:c r="G45" s="23" t="n">
        <x:v>0.06043338281076588</x:v>
      </x:c>
      <x:c r="H45" s="23" t="n">
        <x:v>0.10512179801064017</x:v>
      </x:c>
      <x:c r="I45" s="23" t="n">
        <x:v>0.017757094889906462</x:v>
      </x:c>
      <x:c r="J45" s="23" t="n">
        <x:v>0.1066077523978949</x:v>
      </x:c>
      <x:c r="K45" s="23" t="n">
        <x:v>-0.038532381149917014</x:v>
      </x:c>
      <x:c r="L45" s="23" t="n">
        <x:v>0.012907366220854748</x:v>
      </x:c>
      <x:c r="M45" s="23" t="n">
        <x:v>0.07914637416475082</x:v>
      </x:c>
      <x:c r="N45" s="23" t="n">
        <x:v>-0.009532848546279685</x:v>
      </x:c>
      <x:c r="O45" s="23" t="n">
        <x:v>0.05214522704999571</x:v>
      </x:c>
      <x:c r="P45" s="23" t="n">
        <x:v>0.1017414914238319</x:v>
      </x:c>
      <x:c r="Q45" s="23" t="n">
        <x:v>0.14765439362101007</x:v>
      </x:c>
      <x:c r="R45" s="23" t="n">
        <x:v>0.13948302985118935</x:v>
      </x:c>
      <x:c r="S45" s="23" t="n">
        <x:v>0.046851887044734385</x:v>
      </x:c>
      <x:c r="T45" s="23" t="n">
        <x:v>0.017332555800073604</x:v>
      </x:c>
      <x:c r="U45" s="23" t="n">
        <x:v>0.18080051083418427</x:v>
      </x:c>
      <x:c r="V45" s="23" t="n">
        <x:v>0.050144603073826365</x:v>
      </x:c>
    </x:row>
    <x:row r="46">
      <x:c r="A46" s="20" t="n">
        <x:v>44985</x:v>
      </x:c>
      <x:c r="B46" s="23" t="n">
        <x:v>0.009925492996922192</x:v>
      </x:c>
      <x:c r="C46" s="23" t="n">
        <x:v>-0.06060971291303507</x:v>
      </x:c>
      <x:c r="D46" s="23" t="n">
        <x:v>-0.04016129950082341</x:v>
      </x:c>
      <x:c r="E46" s="23" t="n">
        <x:v>0.08232970047169944</x:v>
      </x:c>
      <x:c r="F46" s="23" t="n">
        <x:v>-0.0017682764250344582</x:v>
      </x:c>
      <x:c r="G46" s="23" t="n">
        <x:v>0.06928972477056564</x:v>
      </x:c>
      <x:c r="H46" s="23" t="n">
        <x:v>-0.06996255973154358</x:v>
      </x:c>
      <x:c r="I46" s="23" t="n">
        <x:v>0.02981931402595326</x:v>
      </x:c>
      <x:c r="J46" s="23" t="n">
        <x:v>0.008348936698991713</x:v>
      </x:c>
      <x:c r="K46" s="23" t="n">
        <x:v>0.0407202186367907</x:v>
      </x:c>
      <x:c r="L46" s="23" t="n">
        <x:v>0.032446481499702265</x:v>
      </x:c>
      <x:c r="M46" s="23" t="n">
        <x:v>-0.03600362511422658</x:v>
      </x:c>
      <x:c r="N46" s="23" t="n">
        <x:v>0.015510439118496812</x:v>
      </x:c>
      <x:c r="O46" s="23" t="n">
        <x:v>0.20437218296123413</x:v>
      </x:c>
      <x:c r="P46" s="23" t="n">
        <x:v>-0.043674009163793145</x:v>
      </x:c>
      <x:c r="Q46" s="23" t="n">
        <x:v>0.02714377458913214</x:v>
      </x:c>
      <x:c r="R46" s="23" t="n">
        <x:v>-0.056840822246455446</x:v>
      </x:c>
      <x:c r="S46" s="23" t="n">
        <x:v>0.1627596651975397</x:v>
      </x:c>
      <x:c r="T46" s="23" t="n">
        <x:v>-0.026487325024604956</x:v>
      </x:c>
      <x:c r="U46" s="23" t="n">
        <x:v>0.027065458909659373</x:v>
      </x:c>
      <x:c r="V46" s="23" t="n">
        <x:v>0.020462124393656553</x:v>
      </x:c>
    </x:row>
    <x:row r="47">
      <x:c r="A47" s="20" t="n">
        <x:v>45015</x:v>
      </x:c>
      <x:c r="B47" s="23" t="n">
        <x:v>0.0970336495259813</x:v>
      </x:c>
      <x:c r="C47" s="23" t="n">
        <x:v>-0.11567915076224022</x:v>
      </x:c>
      <x:c r="D47" s="23" t="n">
        <x:v>0.08365614993944455</x:v>
      </x:c>
      <x:c r="E47" s="23" t="n">
        <x:v>0.13043240590128607</x:v>
      </x:c>
      <x:c r="F47" s="23" t="n">
        <x:v>-0.09845137248013261</x:v>
      </x:c>
      <x:c r="G47" s="23" t="n">
        <x:v>0.030315181116047106</x:v>
      </x:c>
      <x:c r="H47" s="23" t="n">
        <x:v>0.07505326471774242</x:v>
      </x:c>
      <x:c r="I47" s="23" t="n">
        <x:v>0.08646954197668302</x:v>
      </x:c>
      <x:c r="J47" s="23" t="n">
        <x:v>0.10699814715911982</x:v>
      </x:c>
      <x:c r="K47" s="23" t="n">
        <x:v>-0.00990053698975104</x:v>
      </x:c>
      <x:c r="L47" s="23" t="n">
        <x:v>0.10544991476744643</x:v>
      </x:c>
      <x:c r="M47" s="23" t="n">
        <x:v>-0.0012295700590053346</x:v>
      </x:c>
      <x:c r="N47" s="23" t="n">
        <x:v>0.16342837558393178</x:v>
      </x:c>
      <x:c r="O47" s="23" t="n">
        <x:v>0.0625038131694661</x:v>
      </x:c>
      <x:c r="P47" s="23" t="n">
        <x:v>0.003316530668743496</x:v>
      </x:c>
      <x:c r="Q47" s="23" t="n">
        <x:v>0.09204917925764497</x:v>
      </x:c>
      <x:c r="R47" s="23" t="n">
        <x:v>0.10619123945887558</x:v>
      </x:c>
      <x:c r="S47" s="23" t="n">
        <x:v>0.040670868502103795</x:v>
      </x:c>
      <x:c r="T47" s="23" t="n">
        <x:v>0.04596033918424778</x:v>
      </x:c>
      <x:c r="U47" s="23" t="n">
        <x:v>0.03905321045849909</x:v>
      </x:c>
      <x:c r="V47" s="23" t="n">
        <x:v>0.04064406238386464</x:v>
      </x:c>
    </x:row>
    <x:row r="48">
      <x:c r="A48" s="20" t="n">
        <x:v>45046</x:v>
      </x:c>
      <x:c r="B48" s="23" t="n">
        <x:v>-0.005897090150941323</x:v>
      </x:c>
      <x:c r="C48" s="23" t="n">
        <x:v>-0.019490066992034843</x:v>
      </x:c>
      <x:c r="D48" s="23" t="n">
        <x:v>-0.037922813336760376</x:v>
      </x:c>
      <x:c r="E48" s="23" t="n">
        <x:v>0.03318075189669081</x:v>
      </x:c>
      <x:c r="F48" s="23" t="n">
        <x:v>-0.011644197977993369</x:v>
      </x:c>
      <x:c r="G48" s="23" t="n">
        <x:v>-0.005031590524617668</x:v>
      </x:c>
      <x:c r="H48" s="23" t="n">
        <x:v>0.09726357473498923</x:v>
      </x:c>
      <x:c r="I48" s="23" t="n">
        <x:v>0.05637958577725821</x:v>
      </x:c>
      <x:c r="J48" s="23" t="n">
        <x:v>-0.022527239162869805</x:v>
      </x:c>
      <x:c r="K48" s="23" t="n">
        <x:v>-0.050709256425239865</x:v>
      </x:c>
      <x:c r="L48" s="23" t="n">
        <x:v>-0.003259937963117689</x:v>
      </x:c>
      <x:c r="M48" s="23" t="n">
        <x:v>-0.02407762843363572</x:v>
      </x:c>
      <x:c r="N48" s="23" t="n">
        <x:v>-0.005489642998093989</x:v>
      </x:c>
      <x:c r="O48" s="23" t="n">
        <x:v>-0.01854062214338067</x:v>
      </x:c>
      <x:c r="P48" s="23" t="n">
        <x:v>0.08757987217707212</x:v>
      </x:c>
      <x:c r="Q48" s="23" t="n">
        <x:v>0.03104559624667941</x:v>
      </x:c>
      <x:c r="R48" s="23" t="n">
        <x:v>0.05187265361703809</x:v>
      </x:c>
      <x:c r="S48" s="23" t="n">
        <x:v>0.1942432609515296</x:v>
      </x:c>
      <x:c r="T48" s="23" t="n">
        <x:v>0.05197912266333953</x:v>
      </x:c>
      <x:c r="U48" s="23" t="n">
        <x:v>-0.04352499059576988</x:v>
      </x:c>
      <x:c r="V48" s="23" t="n">
        <x:v>0.010725405805513604</x:v>
      </x:c>
    </x:row>
    <x:row r="49">
      <x:c r="A49" s="20" t="n">
        <x:v>45076</x:v>
      </x:c>
      <x:c r="B49" s="23" t="n">
        <x:v>-0.11961354268946224</x:v>
      </x:c>
      <x:c r="C49" s="23" t="n">
        <x:v>-0.12134213132167976</x:v>
      </x:c>
      <x:c r="D49" s="23" t="n">
        <x:v>-0.03962292246583212</x:v>
      </x:c>
      <x:c r="E49" s="23" t="n">
        <x:v>-0.07522273852372885</x:v>
      </x:c>
      <x:c r="F49" s="23" t="n">
        <x:v>-0.12825042915885065</x:v>
      </x:c>
      <x:c r="G49" s="23" t="n">
        <x:v>-0.0033498003760195558</x:v>
      </x:c>
      <x:c r="H49" s="23" t="n">
        <x:v>-0.029480866489171302</x:v>
      </x:c>
      <x:c r="I49" s="23" t="n">
        <x:v>-0.0686111001203428</x:v>
      </x:c>
      <x:c r="J49" s="23" t="n">
        <x:v>-0.07002792948204258</x:v>
      </x:c>
      <x:c r="K49" s="23" t="n">
        <x:v>-0.12222304830598174</x:v>
      </x:c>
      <x:c r="L49" s="23" t="n">
        <x:v>-0.05000696272358216</x:v>
      </x:c>
      <x:c r="M49" s="23" t="n">
        <x:v>-0.067276675901568</x:v>
      </x:c>
      <x:c r="N49" s="23" t="n">
        <x:v>-0.06646278044697576</x:v>
      </x:c>
      <x:c r="O49" s="23" t="n">
        <x:v>-0.12670690347623953</x:v>
      </x:c>
      <x:c r="P49" s="23" t="n">
        <x:v>-0.18128537469370032</x:v>
      </x:c>
      <x:c r="Q49" s="23" t="n">
        <x:v>-0.07185337459760986</x:v>
      </x:c>
      <x:c r="R49" s="23" t="n">
        <x:v>-0.03420854870154627</x:v>
      </x:c>
      <x:c r="S49" s="23" t="n">
        <x:v>-0.05358305075207365</x:v>
      </x:c>
      <x:c r="T49" s="23" t="n">
        <x:v>-0.11478733280572775</x:v>
      </x:c>
      <x:c r="U49" s="23" t="n">
        <x:v>-0.09161088586335578</x:v>
      </x:c>
      <x:c r="V49" s="23" t="n">
        <x:v>-0.05083394720984102</x:v>
      </x:c>
    </x:row>
    <x:row r="50">
      <x:c r="A50" s="20" t="n">
        <x:v>45107</x:v>
      </x:c>
      <x:c r="B50" s="23" t="n">
        <x:v>0.07903191399290445</x:v>
      </x:c>
      <x:c r="C50" s="23" t="n">
        <x:v>0.023656222746739765</x:v>
      </x:c>
      <x:c r="D50" s="23" t="n">
        <x:v>0.13337814789283622</x:v>
      </x:c>
      <x:c r="E50" s="23" t="n">
        <x:v>-0.05501950897128364</x:v>
      </x:c>
      <x:c r="F50" s="23" t="n">
        <x:v>-0.017788512466377</x:v>
      </x:c>
      <x:c r="G50" s="23" t="n">
        <x:v>0.009835877337781636</x:v>
      </x:c>
      <x:c r="H50" s="23" t="n">
        <x:v>0.006908447583703209</x:v>
      </x:c>
      <x:c r="I50" s="23" t="n">
        <x:v>-0.03574914451440273</x:v>
      </x:c>
      <x:c r="J50" s="23" t="n">
        <x:v>0.2413383337787725</x:v>
      </x:c>
      <x:c r="K50" s="23" t="n">
        <x:v>-0.0363698043661523</x:v>
      </x:c>
      <x:c r="L50" s="23" t="n">
        <x:v>0.056830042372649575</x:v>
      </x:c>
      <x:c r="M50" s="23" t="n">
        <x:v>0.12379062235686025</x:v>
      </x:c>
      <x:c r="N50" s="23" t="n">
        <x:v>0.00611412272273875</x:v>
      </x:c>
      <x:c r="O50" s="23" t="n">
        <x:v>0.11842277976478784</x:v>
      </x:c>
      <x:c r="P50" s="23" t="n">
        <x:v>0.0018234360425858562</x:v>
      </x:c>
      <x:c r="Q50" s="23" t="n">
        <x:v>-0.08719753084456769</x:v>
      </x:c>
      <x:c r="R50" s="23" t="n">
        <x:v>0.054739033967714706</x:v>
      </x:c>
      <x:c r="S50" s="23" t="n">
        <x:v>0.11257896673389875</x:v>
      </x:c>
      <x:c r="T50" s="23" t="n">
        <x:v>0.0402532505783504</x:v>
      </x:c>
      <x:c r="U50" s="23" t="n">
        <x:v>-0.0732313769672944</x:v>
      </x:c>
      <x:c r="V50" s="23" t="n">
        <x:v>0.04398559120030951</x:v>
      </x:c>
    </x:row>
    <x:row r="51">
      <x:c r="A51" s="20" t="n">
        <x:v>45137</x:v>
      </x:c>
      <x:c r="B51" s="23" t="n">
        <x:v>0.05669678553010588</x:v>
      </x:c>
      <x:c r="C51" s="23" t="n">
        <x:v>0.06283442260772582</x:v>
      </x:c>
      <x:c r="D51" s="23" t="n">
        <x:v>0.1461840121147449</x:v>
      </x:c>
      <x:c r="E51" s="23" t="n">
        <x:v>0.0446658355918519</x:v>
      </x:c>
      <x:c r="F51" s="23" t="n">
        <x:v>0.05270236955724971</x:v>
      </x:c>
      <x:c r="G51" s="23" t="n">
        <x:v>0.0394629633817373</x:v>
      </x:c>
      <x:c r="H51" s="23" t="n">
        <x:v>-0.005409074506569366</x:v>
      </x:c>
      <x:c r="I51" s="23" t="n">
        <x:v>-0.1740852771487431</x:v>
      </x:c>
      <x:c r="J51" s="23" t="n">
        <x:v>0.08750793577142649</x:v>
      </x:c>
      <x:c r="K51" s="23" t="n">
        <x:v>0.07068025686693838</x:v>
      </x:c>
      <x:c r="L51" s="23" t="n">
        <x:v>0.05257543678772886</x:v>
      </x:c>
      <x:c r="M51" s="23" t="n">
        <x:v>0.025012279632915732</x:v>
      </x:c>
      <x:c r="N51" s="23" t="n">
        <x:v>0.023548595147479416</x:v>
      </x:c>
      <x:c r="O51" s="23" t="n">
        <x:v>0.04752942316440138</x:v>
      </x:c>
      <x:c r="P51" s="23" t="n">
        <x:v>-0.07929386609386944</x:v>
      </x:c>
      <x:c r="Q51" s="23" t="n">
        <x:v>0.08735752306665498</x:v>
      </x:c>
      <x:c r="R51" s="23" t="n">
        <x:v>0.060468575769189195</x:v>
      </x:c>
      <x:c r="S51" s="23" t="n">
        <x:v>0.02232279625610747</x:v>
      </x:c>
      <x:c r="T51" s="23" t="n">
        <x:v>-0.0106994642777744</x:v>
      </x:c>
      <x:c r="U51" s="23" t="n">
        <x:v>0.18785620146375528</x:v>
      </x:c>
      <x:c r="V51" s="23" t="n">
        <x:v>0.02989450674766958</x:v>
      </x:c>
    </x:row>
    <x:row r="52">
      <x:c r="A52" s="20" t="n">
        <x:v>45168</x:v>
      </x:c>
      <x:c r="B52" s="23" t="n">
        <x:v>0.10974465628333802</x:v>
      </x:c>
      <x:c r="C52" s="23" t="n">
        <x:v>0.03544130181390354</x:v>
      </x:c>
      <x:c r="D52" s="23" t="n">
        <x:v>0.00618714725919544</x:v>
      </x:c>
      <x:c r="E52" s="23" t="n">
        <x:v>0.0919474543245741</x:v>
      </x:c>
      <x:c r="F52" s="23" t="n">
        <x:v>0.11140492110129147</x:v>
      </x:c>
      <x:c r="G52" s="23" t="n">
        <x:v>-0.0004375903340525372</x:v>
      </x:c>
      <x:c r="H52" s="23" t="n">
        <x:v>0.06404137166768704</x:v>
      </x:c>
      <x:c r="I52" s="23" t="n">
        <x:v>0.09671892884168037</x:v>
      </x:c>
      <x:c r="J52" s="23" t="n">
        <x:v>-0.061725145932769176</x:v>
      </x:c>
      <x:c r="K52" s="23" t="n">
        <x:v>-0.11052583800697789</x:v>
      </x:c>
      <x:c r="L52" s="23" t="n">
        <x:v>0.04146905330038749</x:v>
      </x:c>
      <x:c r="M52" s="23" t="n">
        <x:v>0.0713659117206202</x:v>
      </x:c>
      <x:c r="N52" s="23" t="n">
        <x:v>0.11288778348902782</x:v>
      </x:c>
      <x:c r="O52" s="23" t="n">
        <x:v>0.11616608102944674</x:v>
      </x:c>
      <x:c r="P52" s="23" t="n">
        <x:v>0.07696720733118154</x:v>
      </x:c>
      <x:c r="Q52" s="23" t="n">
        <x:v>-0.021031142184137784</x:v>
      </x:c>
      <x:c r="R52" s="23" t="n">
        <x:v>-0.06222318409680088</x:v>
      </x:c>
      <x:c r="S52" s="23" t="n">
        <x:v>0.019242534724448625</x:v>
      </x:c>
      <x:c r="T52" s="23" t="n">
        <x:v>0.03292869108638094</x:v>
      </x:c>
      <x:c r="U52" s="23" t="n">
        <x:v>0.050339667516530094</x:v>
      </x:c>
      <x:c r="V52" s="23" t="n">
        <x:v>0.016979027235959676</x:v>
      </x:c>
    </x:row>
    <x:row r="53">
      <x:c r="A53" s="20" t="n">
        <x:v>45199</x:v>
      </x:c>
      <x:c r="B53" s="23" t="n">
        <x:v>-0.10384787852824212</x:v>
      </x:c>
      <x:c r="C53" s="23" t="n">
        <x:v>-0.06678034099207639</x:v>
      </x:c>
      <x:c r="D53" s="23" t="n">
        <x:v>0.07167564169045529</x:v>
      </x:c>
      <x:c r="E53" s="23" t="n">
        <x:v>0.06366628616385732</x:v>
      </x:c>
      <x:c r="F53" s="23" t="n">
        <x:v>0.12259132270473429</x:v>
      </x:c>
      <x:c r="G53" s="23" t="n">
        <x:v>0.005347423508302293</x:v>
      </x:c>
      <x:c r="H53" s="23" t="n">
        <x:v>-0.021955089667551476</x:v>
      </x:c>
      <x:c r="I53" s="23" t="n">
        <x:v>-0.026471093958658428</x:v>
      </x:c>
      <x:c r="J53" s="23" t="n">
        <x:v>0.03454151690701883</x:v>
      </x:c>
      <x:c r="K53" s="23" t="n">
        <x:v>-0.19004568659016238</x:v>
      </x:c>
      <x:c r="L53" s="23" t="n">
        <x:v>0.02060508137825312</x:v>
      </x:c>
      <x:c r="M53" s="23" t="n">
        <x:v>-0.01012142687574678</x:v>
      </x:c>
      <x:c r="N53" s="23" t="n">
        <x:v>-0.11120165214546332</x:v>
      </x:c>
      <x:c r="O53" s="23" t="n">
        <x:v>-0.09793456594143715</x:v>
      </x:c>
      <x:c r="P53" s="23" t="n">
        <x:v>-0.016565798607157168</x:v>
      </x:c>
      <x:c r="Q53" s="23" t="n">
        <x:v>-0.041524090919118885</x:v>
      </x:c>
      <x:c r="R53" s="23" t="n">
        <x:v>0.024003912618215585</x:v>
      </x:c>
      <x:c r="S53" s="23" t="n">
        <x:v>0.005461960143544997</x:v>
      </x:c>
      <x:c r="T53" s="23" t="n">
        <x:v>0.003100586241885764</x:v>
      </x:c>
      <x:c r="U53" s="23" t="n">
        <x:v>-0.1486469666903933</x:v>
      </x:c>
      <x:c r="V53" s="23" t="n">
        <x:v>-0.03507446371823413</x:v>
      </x:c>
    </x:row>
    <x:row r="54">
      <x:c r="A54" s="20" t="n">
        <x:v>45229</x:v>
      </x:c>
      <x:c r="B54" s="23" t="n">
        <x:v>-0.003785999389833483</x:v>
      </x:c>
      <x:c r="C54" s="23" t="n">
        <x:v>-0.07621129179873838</x:v>
      </x:c>
      <x:c r="D54" s="23" t="n">
        <x:v>-0.05879470393254008</x:v>
      </x:c>
      <x:c r="E54" s="23" t="n">
        <x:v>0.004494696250782557</x:v>
      </x:c>
      <x:c r="F54" s="23" t="n">
        <x:v>-0.015767577570951055</x:v>
      </x:c>
      <x:c r="G54" s="23" t="n">
        <x:v>0.008083786030827572</x:v>
      </x:c>
      <x:c r="H54" s="23" t="n">
        <x:v>0.03631747055712621</x:v>
      </x:c>
      <x:c r="I54" s="23" t="n">
        <x:v>-0.001441146718085897</x:v>
      </x:c>
      <x:c r="J54" s="23" t="n">
        <x:v>0.04688539467032787</x:v>
      </x:c>
      <x:c r="K54" s="23" t="n">
        <x:v>-0.005866807198990093</x:v>
      </x:c>
      <x:c r="L54" s="23" t="n">
        <x:v>-0.11048682082723449</x:v>
      </x:c>
      <x:c r="M54" s="23" t="n">
        <x:v>-0.016883224783358335</x:v>
      </x:c>
      <x:c r="N54" s="23" t="n">
        <x:v>0.07166603857521531</x:v>
      </x:c>
      <x:c r="O54" s="23" t="n">
        <x:v>-0.0566880250568987</x:v>
      </x:c>
      <x:c r="P54" s="23" t="n">
        <x:v>-0.022771585568413223</x:v>
      </x:c>
      <x:c r="Q54" s="23" t="n">
        <x:v>0.037655117942459744</x:v>
      </x:c>
      <x:c r="R54" s="23" t="n">
        <x:v>-0.08212228649289394</x:v>
      </x:c>
      <x:c r="S54" s="23" t="n">
        <x:v>-0.06745232840307858</x:v>
      </x:c>
      <x:c r="T54" s="23" t="n">
        <x:v>-0.12448197128023918</x:v>
      </x:c>
      <x:c r="U54" s="23" t="n">
        <x:v>-0.08458961257592258</x:v>
      </x:c>
      <x:c r="V54" s="23" t="n">
        <x:v>-0.028779947750891977</x:v>
      </x:c>
    </x:row>
    <x:row r="55">
      <x:c r="A55" s="20" t="n">
        <x:v>45260</x:v>
      </x:c>
      <x:c r="B55" s="23" t="n">
        <x:v>0.022177619411951992</x:v>
      </x:c>
      <x:c r="C55" s="23" t="n">
        <x:v>-0.059846396116228794</x:v>
      </x:c>
      <x:c r="D55" s="23" t="n">
        <x:v>0.0751393868080382</x:v>
      </x:c>
      <x:c r="E55" s="23" t="n">
        <x:v>0.02789981888729479</x:v>
      </x:c>
      <x:c r="F55" s="23" t="n">
        <x:v>-0.014729442310125004</x:v>
      </x:c>
      <x:c r="G55" s="23" t="n">
        <x:v>0.0026944908106854987</x:v>
      </x:c>
      <x:c r="H55" s="23" t="n">
        <x:v>0.008194890448859841</x:v>
      </x:c>
      <x:c r="I55" s="23" t="n">
        <x:v>0.06287339463668708</x:v>
      </x:c>
      <x:c r="J55" s="23" t="n">
        <x:v>-0.08250372506652343</x:v>
      </x:c>
      <x:c r="K55" s="23" t="n">
        <x:v>-0.055052063691030405</x:v>
      </x:c>
      <x:c r="L55" s="23" t="n">
        <x:v>-0.0005140787806653876</x:v>
      </x:c>
      <x:c r="M55" s="23" t="n">
        <x:v>0.12078676778358996</x:v>
      </x:c>
      <x:c r="N55" s="23" t="n">
        <x:v>0.08804125974721934</x:v>
      </x:c>
      <x:c r="O55" s="23" t="n">
        <x:v>-0.025608312148256047</x:v>
      </x:c>
      <x:c r="P55" s="23" t="n">
        <x:v>0.05598225444968584</x:v>
      </x:c>
      <x:c r="Q55" s="23" t="n">
        <x:v>-0.00665047529440807</x:v>
      </x:c>
      <x:c r="R55" s="23" t="n">
        <x:v>0.08187410290474806</x:v>
      </x:c>
      <x:c r="S55" s="23" t="n">
        <x:v>0.18164726632407227</x:v>
      </x:c>
      <x:c r="T55" s="23" t="n">
        <x:v>0.16169352106883203</x:v>
      </x:c>
      <x:c r="U55" s="23" t="n">
        <x:v>0.10860685617980505</x:v>
      </x:c>
      <x:c r="V55" s="23" t="n">
        <x:v>0.047263100418649506</x:v>
      </x:c>
    </x:row>
    <x:row r="56">
      <x:c r="A56" s="20" t="n">
        <x:v>45290</x:v>
      </x:c>
      <x:c r="B56" s="23" t="n">
        <x:v>0.0025132311874498797</x:v>
      </x:c>
      <x:c r="C56" s="23" t="n">
        <x:v>0.08684076870507348</x:v>
      </x:c>
      <x:c r="D56" s="23" t="n">
        <x:v>0.025531053025711594</x:v>
      </x:c>
      <x:c r="E56" s="23" t="n">
        <x:v>0.0718925532372332</x:v>
      </x:c>
      <x:c r="F56" s="23" t="n">
        <x:v>0.04494379129650427</x:v>
      </x:c>
      <x:c r="G56" s="23" t="n">
        <x:v>0.056045133932045924</x:v>
      </x:c>
      <x:c r="H56" s="23" t="n">
        <x:v>0.10367471626359256</x:v>
      </x:c>
      <x:c r="I56" s="23" t="n">
        <x:v>-0.07347970201778956</x:v>
      </x:c>
      <x:c r="J56" s="23" t="n">
        <x:v>0.03784314036206356</x:v>
      </x:c>
      <x:c r="K56" s="23" t="n">
        <x:v>-0.005447667621887531</x:v>
      </x:c>
      <x:c r="L56" s="23" t="n">
        <x:v>0.0734439211527021</x:v>
      </x:c>
      <x:c r="M56" s="23" t="n">
        <x:v>0.0011218450071459815</x:v>
      </x:c>
      <x:c r="N56" s="23" t="n">
        <x:v>0.07944625121745606</x:v>
      </x:c>
      <x:c r="O56" s="23" t="n">
        <x:v>0.12211089458772903</x:v>
      </x:c>
      <x:c r="P56" s="23" t="n">
        <x:v>-0.0008126724245567096</x:v>
      </x:c>
      <x:c r="Q56" s="23" t="n">
        <x:v>0.07778624613772632</x:v>
      </x:c>
      <x:c r="R56" s="23" t="n">
        <x:v>0.07777484596018874</x:v>
      </x:c>
      <x:c r="S56" s="23" t="n">
        <x:v>0.021977373428751966</x:v>
      </x:c>
      <x:c r="T56" s="23" t="n">
        <x:v>0.044294363474141445</x:v>
      </x:c>
      <x:c r="U56" s="23" t="n">
        <x:v>0.0015809138894817415</x:v>
      </x:c>
      <x:c r="V56" s="23" t="n">
        <x:v>0.052932011939161076</x:v>
      </x:c>
    </x:row>
    <x:row r="57">
      <x:c r="A57" s="20" t="n">
        <x:v>45321</x:v>
      </x:c>
      <x:c r="B57" s="23" t="n">
        <x:v>0.011272929222912963</x:v>
      </x:c>
      <x:c r="C57" s="23" t="n">
        <x:v>0.04370182496820788</x:v>
      </x:c>
      <x:c r="D57" s="23" t="n">
        <x:v>0.012542806386533684</x:v>
      </x:c>
      <x:c r="E57" s="23" t="n">
        <x:v>0.012917186444443306</x:v>
      </x:c>
      <x:c r="F57" s="23" t="n">
        <x:v>-0.012010601502910119</x:v>
      </x:c>
      <x:c r="G57" s="23" t="n">
        <x:v>0.022110896590054014</x:v>
      </x:c>
      <x:c r="H57" s="23" t="n">
        <x:v>0.04456636751209307</x:v>
      </x:c>
      <x:c r="I57" s="23" t="n">
        <x:v>-0.05881908527841713</x:v>
      </x:c>
      <x:c r="J57" s="23" t="n">
        <x:v>0.01239083743281496</x:v>
      </x:c>
      <x:c r="K57" s="23" t="n">
        <x:v>0.11165837260939519</x:v>
      </x:c>
      <x:c r="L57" s="23" t="n">
        <x:v>0.09369696356509585</x:v>
      </x:c>
      <x:c r="M57" s="23" t="n">
        <x:v>0.05769214919676638</x:v>
      </x:c>
      <x:c r="N57" s="23" t="n">
        <x:v>-0.037808995164642915</x:v>
      </x:c>
      <x:c r="O57" s="23" t="n">
        <x:v>-0.10239290306810633</x:v>
      </x:c>
      <x:c r="P57" s="23" t="n">
        <x:v>0.20738442269320845</x:v>
      </x:c>
      <x:c r="Q57" s="23" t="n">
        <x:v>-0.0037788925694834524</x:v>
      </x:c>
      <x:c r="R57" s="23" t="n">
        <x:v>-0.046600680234336646</x:v>
      </x:c>
      <x:c r="S57" s="23" t="n">
        <x:v>0.02655944742587897</x:v>
      </x:c>
      <x:c r="T57" s="23" t="n">
        <x:v>0.13083149462434457</x:v>
      </x:c>
      <x:c r="U57" s="23" t="n">
        <x:v>-0.17028321736305754</x:v>
      </x:c>
      <x:c r="V57" s="23" t="n">
        <x:v>0.03918311251747933</x:v>
      </x:c>
    </x:row>
    <x:row r="58">
      <x:c r="A58" s="20" t="n">
        <x:v>45351</x:v>
      </x:c>
      <x:c r="B58" s="23" t="n">
        <x:v>0.04324622643353396</x:v>
      </x:c>
      <x:c r="C58" s="23" t="n">
        <x:v>0.03236161083640582</x:v>
      </x:c>
      <x:c r="D58" s="23" t="n">
        <x:v>0.0664471035829493</x:v>
      </x:c>
      <x:c r="E58" s="23" t="n">
        <x:v>0.026703225174116912</x:v>
      </x:c>
      <x:c r="F58" s="23" t="n">
        <x:v>0.018548470311564952</x:v>
      </x:c>
      <x:c r="G58" s="23" t="n">
        <x:v>0.00921793517120386</x:v>
      </x:c>
      <x:c r="H58" s="23" t="n">
        <x:v>0.04231784277509417</x:v>
      </x:c>
      <x:c r="I58" s="23" t="n">
        <x:v>0.10600287089584087</x:v>
      </x:c>
      <x:c r="J58" s="23" t="n">
        <x:v>0.006670901175751753</x:v>
      </x:c>
      <x:c r="K58" s="23" t="n">
        <x:v>0.06259868791408624</x:v>
      </x:c>
      <x:c r="L58" s="23" t="n">
        <x:v>-0.03993574692957042</x:v>
      </x:c>
      <x:c r="M58" s="23" t="n">
        <x:v>0.02897707252612496</x:v>
      </x:c>
      <x:c r="N58" s="23" t="n">
        <x:v>0.01910349377580463</x:v>
      </x:c>
      <x:c r="O58" s="23" t="n">
        <x:v>0.0026934950654068507</x:v>
      </x:c>
      <x:c r="P58" s="23" t="n">
        <x:v>0.047881454743694846</x:v>
      </x:c>
      <x:c r="Q58" s="23" t="n">
        <x:v>0.09433865270971228</x:v>
      </x:c>
      <x:c r="R58" s="23" t="n">
        <x:v>0.0026926453969525893</x:v>
      </x:c>
      <x:c r="S58" s="23" t="n">
        <x:v>0.05714189697173933</x:v>
      </x:c>
      <x:c r="T58" s="23" t="n">
        <x:v>0.13978782727616765</x:v>
      </x:c>
      <x:c r="U58" s="23" t="n">
        <x:v>-0.0466601383991282</x:v>
      </x:c>
      <x:c r="V58" s="23" t="n">
        <x:v>0.03155678304092669</x:v>
      </x:c>
    </x:row>
    <x:row r="59">
      <x:c r="A59" s="20" t="n">
        <x:v>45381</x:v>
      </x:c>
      <x:c r="B59" s="23" t="n">
        <x:v>0.027005799586170165</x:v>
      </x:c>
      <x:c r="C59" s="23" t="n">
        <x:v>0.009599587263308633</x:v>
      </x:c>
      <x:c r="D59" s="23" t="n">
        <x:v>0.14718108234599497</x:v>
      </x:c>
      <x:c r="E59" s="23" t="n">
        <x:v>-0.03844423196703683</x:v>
      </x:c>
      <x:c r="F59" s="23" t="n">
        <x:v>-0.06071759391515341</x:v>
      </x:c>
      <x:c r="G59" s="23" t="n">
        <x:v>0.03168899490021786</x:v>
      </x:c>
      <x:c r="H59" s="23" t="n">
        <x:v>-0.018870784935290458</x:v>
      </x:c>
      <x:c r="I59" s="23" t="n">
        <x:v>-0.06388853554986286</x:v>
      </x:c>
      <x:c r="J59" s="23" t="n">
        <x:v>-0.04765830430747052</x:v>
      </x:c>
      <x:c r="K59" s="23" t="n">
        <x:v>-0.018960867278855934</x:v>
      </x:c>
      <x:c r="L59" s="23" t="n">
        <x:v>-0.012084890758565791</x:v>
      </x:c>
      <x:c r="M59" s="23" t="n">
        <x:v>-0.0862842274466614</x:v>
      </x:c>
      <x:c r="N59" s="23" t="n">
        <x:v>0.027930271316798955</x:v>
      </x:c>
      <x:c r="O59" s="23" t="n">
        <x:v>0.08583336670470865</x:v>
      </x:c>
      <x:c r="P59" s="23" t="n">
        <x:v>0.09057775071227678</x:v>
      </x:c>
      <x:c r="Q59" s="23" t="n">
        <x:v>0.048260872611277414</x:v>
      </x:c>
      <x:c r="R59" s="23" t="n">
        <x:v>0.06291314904267714</x:v>
      </x:c>
      <x:c r="S59" s="23" t="n">
        <x:v>0.13567727152603637</x:v>
      </x:c>
      <x:c r="T59" s="23" t="n">
        <x:v>0.07126792193069564</x:v>
      </x:c>
      <x:c r="U59" s="23" t="n">
        <x:v>0.12406464623382236</x:v>
      </x:c>
      <x:c r="V59" s="23" t="n">
        <x:v>0.005482374269277876</x:v>
      </x:c>
    </x:row>
    <x:row r="60">
      <x:c r="A60" s="20" t="n">
        <x:v>45412</x:v>
      </x:c>
      <x:c r="B60" s="23" t="n">
        <x:v>0.1571514899380279</x:v>
      </x:c>
      <x:c r="C60" s="23" t="n">
        <x:v>0.06362647949619774</x:v>
      </x:c>
      <x:c r="D60" s="23" t="n">
        <x:v>0.14893680350296573</x:v>
      </x:c>
      <x:c r="E60" s="23" t="n">
        <x:v>0.11598105357484124</x:v>
      </x:c>
      <x:c r="F60" s="23" t="n">
        <x:v>0.17404947491327585</x:v>
      </x:c>
      <x:c r="G60" s="23" t="n">
        <x:v>0.10002116128546876</x:v>
      </x:c>
      <x:c r="H60" s="23" t="n">
        <x:v>0.0584767960612715</x:v>
      </x:c>
      <x:c r="I60" s="23" t="n">
        <x:v>0.12496158522134942</x:v>
      </x:c>
      <x:c r="J60" s="23" t="n">
        <x:v>0.04376365431428595</x:v>
      </x:c>
      <x:c r="K60" s="23" t="n">
        <x:v>0.007922628729496006</x:v>
      </x:c>
      <x:c r="L60" s="23" t="n">
        <x:v>0.0603835227210354</x:v>
      </x:c>
      <x:c r="M60" s="23" t="n">
        <x:v>0.07483896470293018</x:v>
      </x:c>
      <x:c r="N60" s="23" t="n">
        <x:v>0.07643127964965031</x:v>
      </x:c>
      <x:c r="O60" s="23" t="n">
        <x:v>0.16042083814458846</x:v>
      </x:c>
      <x:c r="P60" s="23" t="n">
        <x:v>0.11469296823793172</x:v>
      </x:c>
      <x:c r="Q60" s="23" t="n">
        <x:v>0.03726263502144748</x:v>
      </x:c>
      <x:c r="R60" s="23" t="n">
        <x:v>0.24244194031764413</x:v>
      </x:c>
      <x:c r="S60" s="23" t="n">
        <x:v>-0.041034453286813266</x:v>
      </x:c>
      <x:c r="T60" s="23" t="n">
        <x:v>0.21928723135241884</x:v>
      </x:c>
      <x:c r="U60" s="23" t="n">
        <x:v>0.1136029998750642</x:v>
      </x:c>
      <x:c r="V60" s="23" t="n">
        <x:v>0.07633765452145964</x:v>
      </x:c>
    </x:row>
    <x:row r="61">
      <x:c r="A61" s="20" t="n">
        <x:v>45442</x:v>
      </x:c>
      <x:c r="B61" s="23" t="n">
        <x:v>0.03511907444112642</x:v>
      </x:c>
      <x:c r="C61" s="23" t="n">
        <x:v>0.05642121047323474</x:v>
      </x:c>
      <x:c r="D61" s="23" t="n">
        <x:v>0.09663782512693678</x:v>
      </x:c>
      <x:c r="E61" s="23" t="n">
        <x:v>-0.04611413768548145</x:v>
      </x:c>
      <x:c r="F61" s="23" t="n">
        <x:v>0.07887904620438838</x:v>
      </x:c>
      <x:c r="G61" s="23" t="n">
        <x:v>-0.014712861475773255</x:v>
      </x:c>
      <x:c r="H61" s="23" t="n">
        <x:v>0.11112580887403217</x:v>
      </x:c>
      <x:c r="I61" s="23" t="n">
        <x:v>0.06973449281751143</x:v>
      </x:c>
      <x:c r="J61" s="23" t="n">
        <x:v>0.006118241956540177</x:v>
      </x:c>
      <x:c r="K61" s="23" t="n">
        <x:v>-0.04467497460098146</x:v>
      </x:c>
      <x:c r="L61" s="23" t="n">
        <x:v>0.031335475738098625</x:v>
      </x:c>
      <x:c r="M61" s="23" t="n">
        <x:v>0.13212957340795842</x:v>
      </x:c>
      <x:c r="N61" s="23" t="n">
        <x:v>0.019605212514633444</x:v>
      </x:c>
      <x:c r="O61" s="23" t="n">
        <x:v>-0.005434998073694887</x:v>
      </x:c>
      <x:c r="P61" s="23" t="n">
        <x:v>0.04799989944980955</x:v>
      </x:c>
      <x:c r="Q61" s="23" t="n">
        <x:v>0.10906746352415245</x:v>
      </x:c>
      <x:c r="R61" s="23" t="n">
        <x:v>0.029982846930451824</x:v>
      </x:c>
      <x:c r="S61" s="23" t="n">
        <x:v>-0.008132992964164282</x:v>
      </x:c>
      <x:c r="T61" s="23" t="n">
        <x:v>0.06610837109175462</x:v>
      </x:c>
      <x:c r="U61" s="23" t="n">
        <x:v>0.1912890331498625</x:v>
      </x:c>
      <x:c r="V61" s="23" t="n">
        <x:v>0.03592915420404174</x:v>
      </x:c>
    </x:row>
    <x:row r="62">
      <x:c r="A62" s="20" t="n">
        <x:v>45473</x:v>
      </x:c>
      <x:c r="B62" s="23" t="n">
        <x:v>0.10756210471275056</x:v>
      </x:c>
      <x:c r="C62" s="23" t="n">
        <x:v>0.10040297930589959</x:v>
      </x:c>
      <x:c r="D62" s="23" t="n">
        <x:v>0.08265622139911122</x:v>
      </x:c>
      <x:c r="E62" s="23" t="n">
        <x:v>0.20660627950887792</x:v>
      </x:c>
      <x:c r="F62" s="23" t="n">
        <x:v>-0.019419564209194974</x:v>
      </x:c>
      <x:c r="G62" s="23" t="n">
        <x:v>0.02435075189057216</x:v>
      </x:c>
      <x:c r="H62" s="23" t="n">
        <x:v>-0.045074482554063794</x:v>
      </x:c>
      <x:c r="I62" s="23" t="n">
        <x:v>0.045301879268234514</x:v>
      </x:c>
      <x:c r="J62" s="23" t="n">
        <x:v>-0.06105069695803905</x:v>
      </x:c>
      <x:c r="K62" s="23" t="n">
        <x:v>0.029015409294369875</x:v>
      </x:c>
      <x:c r="L62" s="23" t="n">
        <x:v>0.09606954873117907</x:v>
      </x:c>
      <x:c r="M62" s="23" t="n">
        <x:v>0.07345253329845822</x:v>
      </x:c>
      <x:c r="N62" s="23" t="n">
        <x:v>0.10427342851701843</x:v>
      </x:c>
      <x:c r="O62" s="23" t="n">
        <x:v>0.03716365007892869</x:v>
      </x:c>
      <x:c r="P62" s="23" t="n">
        <x:v>0.03599037055787247</x:v>
      </x:c>
      <x:c r="Q62" s="23" t="n">
        <x:v>0.1030702941901612</x:v>
      </x:c>
      <x:c r="R62" s="23" t="n">
        <x:v>0.08112575024240402</x:v>
      </x:c>
      <x:c r="S62" s="23" t="n">
        <x:v>0.1864672973077339</x:v>
      </x:c>
      <x:c r="T62" s="23" t="n">
        <x:v>0.18682308160706174</x:v>
      </x:c>
      <x:c r="U62" s="23" t="n">
        <x:v>0.07274576055139273</x:v>
      </x:c>
      <x:c r="V62" s="23" t="n">
        <x:v>0.052066683717254696</x:v>
      </x:c>
    </x:row>
    <x:row r="63">
      <x:c r="A63" s="20" t="n">
        <x:v>45503</x:v>
      </x:c>
      <x:c r="B63" s="23" t="n">
        <x:v>0.0024946248941985685</x:v>
      </x:c>
      <x:c r="C63" s="23" t="n">
        <x:v>-0.016014763405353256</x:v>
      </x:c>
      <x:c r="D63" s="23" t="n">
        <x:v>0.03415295750847218</x:v>
      </x:c>
      <x:c r="E63" s="23" t="n">
        <x:v>-0.03491969005070706</x:v>
      </x:c>
      <x:c r="F63" s="23" t="n">
        <x:v>0.1280499577153806</x:v>
      </x:c>
      <x:c r="G63" s="23" t="n">
        <x:v>0.02575027316568875</x:v>
      </x:c>
      <x:c r="H63" s="23" t="n">
        <x:v>0.04074067027541914</x:v>
      </x:c>
      <x:c r="I63" s="23" t="n">
        <x:v>0.01866090647976571</x:v>
      </x:c>
      <x:c r="J63" s="23" t="n">
        <x:v>-0.043756409836819825</x:v>
      </x:c>
      <x:c r="K63" s="23" t="n">
        <x:v>0.03410315071125931</x:v>
      </x:c>
      <x:c r="L63" s="23" t="n">
        <x:v>-0.015947861116976974</x:v>
      </x:c>
      <x:c r="M63" s="23" t="n">
        <x:v>-0.04370948328521135</x:v>
      </x:c>
      <x:c r="N63" s="23" t="n">
        <x:v>0.15717906103023954</x:v>
      </x:c>
      <x:c r="O63" s="23" t="n">
        <x:v>0.11893446622676718</x:v>
      </x:c>
      <x:c r="P63" s="23" t="n">
        <x:v>0.020289559306270126</x:v>
      </x:c>
      <x:c r="Q63" s="23" t="n">
        <x:v>0.14936987713760272</x:v>
      </x:c>
      <x:c r="R63" s="23" t="n">
        <x:v>0.040783616346532235</x:v>
      </x:c>
      <x:c r="S63" s="23" t="n">
        <x:v>-0.06504795134802883</x:v>
      </x:c>
      <x:c r="T63" s="23" t="n">
        <x:v>-0.029077506130155324</x:v>
      </x:c>
      <x:c r="U63" s="23" t="n">
        <x:v>0.024780389521811205</x:v>
      </x:c>
      <x:c r="V63" s="23" t="n">
        <x:v>0.007119488830998366</x:v>
      </x:c>
    </x:row>
    <x:row r="64">
      <x:c r="A64" s="20" t="n">
        <x:v>45534</x:v>
      </x:c>
      <x:c r="B64" s="23" t="n">
        <x:v>-0.11524359081400799</x:v>
      </x:c>
      <x:c r="C64" s="23" t="n">
        <x:v>0.033836313089883115</x:v>
      </x:c>
      <x:c r="D64" s="23" t="n">
        <x:v>-0.008651025301087766</x:v>
      </x:c>
      <x:c r="E64" s="23" t="n">
        <x:v>-0.01119158115389252</x:v>
      </x:c>
      <x:c r="F64" s="23" t="n">
        <x:v>0.11946784512777148</x:v>
      </x:c>
      <x:c r="G64" s="23" t="n">
        <x:v>0.05613846159273295</x:v>
      </x:c>
      <x:c r="H64" s="23" t="n">
        <x:v>-0.09118731128926261</x:v>
      </x:c>
      <x:c r="I64" s="23" t="n">
        <x:v>0.07388876051009531</x:v>
      </x:c>
      <x:c r="J64" s="23" t="n">
        <x:v>-0.1586846224904471</x:v>
      </x:c>
      <x:c r="K64" s="23" t="n">
        <x:v>-0.009100046955330308</x:v>
      </x:c>
      <x:c r="L64" s="23" t="n">
        <x:v>-0.005293243117125167</x:v>
      </x:c>
      <x:c r="M64" s="23" t="n">
        <x:v>-0.024500705345282526</x:v>
      </x:c>
      <x:c r="N64" s="23" t="n">
        <x:v>-0.002152765868387984</x:v>
      </x:c>
      <x:c r="O64" s="23" t="n">
        <x:v>-0.16482825571115492</x:v>
      </x:c>
      <x:c r="P64" s="23" t="n">
        <x:v>-0.13551476097626605</x:v>
      </x:c>
      <x:c r="Q64" s="23" t="n">
        <x:v>0.00010432829697433824</x:v>
      </x:c>
      <x:c r="R64" s="23" t="n">
        <x:v>-0.06678290948642696</x:v>
      </x:c>
      <x:c r="S64" s="23" t="n">
        <x:v>0.006140225559902186</x:v>
      </x:c>
      <x:c r="T64" s="23" t="n">
        <x:v>-0.08888066181795702</x:v>
      </x:c>
      <x:c r="U64" s="23" t="n">
        <x:v>-0.06548796951118195</x:v>
      </x:c>
      <x:c r="V64" s="23" t="n">
        <x:v>-0.011597838626480882</x:v>
      </x:c>
    </x:row>
    <x:row r="65">
      <x:c r="A65" s="20" t="n">
        <x:v>45565</x:v>
      </x:c>
      <x:c r="B65" s="23" t="n">
        <x:v>0.0067872697660742234</x:v>
      </x:c>
      <x:c r="C65" s="23" t="n">
        <x:v>-0.05793293220729409</x:v>
      </x:c>
      <x:c r="D65" s="23" t="n">
        <x:v>-0.060416088575115684</x:v>
      </x:c>
      <x:c r="E65" s="23" t="n">
        <x:v>0.014303771681782491</x:v>
      </x:c>
      <x:c r="F65" s="23" t="n">
        <x:v>-0.04561197612963127</x:v>
      </x:c>
      <x:c r="G65" s="23" t="n">
        <x:v>-0.035133722252627064</x:v>
      </x:c>
      <x:c r="H65" s="23" t="n">
        <x:v>0.05358915255479339</x:v>
      </x:c>
      <x:c r="I65" s="23" t="n">
        <x:v>-0.12976294640821628</x:v>
      </x:c>
      <x:c r="J65" s="23" t="n">
        <x:v>-0.026604395653367748</x:v>
      </x:c>
      <x:c r="K65" s="23" t="n">
        <x:v>-0.07126427431779062</x:v>
      </x:c>
      <x:c r="L65" s="23" t="n">
        <x:v>-0.16719814586398127</x:v>
      </x:c>
      <x:c r="M65" s="23" t="n">
        <x:v>-0.046738974204074885</x:v>
      </x:c>
      <x:c r="N65" s="23" t="n">
        <x:v>-0.089289789637466</x:v>
      </x:c>
      <x:c r="O65" s="23" t="n">
        <x:v>-0.05408739413347882</x:v>
      </x:c>
      <x:c r="P65" s="23" t="n">
        <x:v>-0.059570216622911</x:v>
      </x:c>
      <x:c r="Q65" s="23" t="n">
        <x:v>-0.1342827343183044</x:v>
      </x:c>
      <x:c r="R65" s="23" t="n">
        <x:v>-0.046575010581654745</x:v>
      </x:c>
      <x:c r="S65" s="23" t="n">
        <x:v>-0.1505881280300197</x:v>
      </x:c>
      <x:c r="T65" s="23" t="n">
        <x:v>-0.13190662133602277</x:v>
      </x:c>
      <x:c r="U65" s="23" t="n">
        <x:v>-0.04026112774031986</x:v>
      </x:c>
      <x:c r="V65" s="23" t="n">
        <x:v>-0.05382909558681906</x:v>
      </x:c>
    </x:row>
    <x:row r="66">
      <x:c r="A66" s="20" t="n">
        <x:v>45595</x:v>
      </x:c>
      <x:c r="B66" s="23" t="n">
        <x:v>-0.0787518425622222</x:v>
      </x:c>
      <x:c r="C66" s="23" t="n">
        <x:v>0.013698647335953912</x:v>
      </x:c>
      <x:c r="D66" s="23" t="n">
        <x:v>-0.007649479786403325</x:v>
      </x:c>
      <x:c r="E66" s="23" t="n">
        <x:v>-0.023432142068936467</x:v>
      </x:c>
      <x:c r="F66" s="23" t="n">
        <x:v>-0.013782698552051897</x:v>
      </x:c>
      <x:c r="G66" s="23" t="n">
        <x:v>-0.11107297472758995</x:v>
      </x:c>
      <x:c r="H66" s="23" t="n">
        <x:v>0.0006454155272854478</x:v>
      </x:c>
      <x:c r="I66" s="23" t="n">
        <x:v>-0.1026694960296429</x:v>
      </x:c>
      <x:c r="J66" s="23" t="n">
        <x:v>-0.16334490483040506</x:v>
      </x:c>
      <x:c r="K66" s="23" t="n">
        <x:v>-0.16384468620833884</x:v>
      </x:c>
      <x:c r="L66" s="23" t="n">
        <x:v>-0.02095621151441219</x:v>
      </x:c>
      <x:c r="M66" s="23" t="n">
        <x:v>-0.04788505423770525</x:v>
      </x:c>
      <x:c r="N66" s="23" t="n">
        <x:v>-0.09273643745155265</x:v>
      </x:c>
      <x:c r="O66" s="23" t="n">
        <x:v>-0.1517035924937168</x:v>
      </x:c>
      <x:c r="P66" s="23" t="n">
        <x:v>0.05062905740800219</x:v>
      </x:c>
      <x:c r="Q66" s="23" t="n">
        <x:v>-0.0499613890265766</x:v>
      </x:c>
      <x:c r="R66" s="23" t="n">
        <x:v>-0.09196287276622572</x:v>
      </x:c>
      <x:c r="S66" s="23" t="n">
        <x:v>-0.14175401313729563</x:v>
      </x:c>
      <x:c r="T66" s="23" t="n">
        <x:v>-0.16332422234115862</x:v>
      </x:c>
      <x:c r="U66" s="23" t="n">
        <x:v>-0.14964330266272752</x:v>
      </x:c>
      <x:c r="V66" s="23" t="n">
        <x:v>-0.05110949569515116</x:v>
      </x:c>
    </x:row>
    <x:row r="67">
      <x:c r="A67" s="20" t="n">
        <x:v>45626</x:v>
      </x:c>
      <x:c r="B67" s="23" t="n">
        <x:v>0.03467805741231923</x:v>
      </x:c>
      <x:c r="C67" s="23" t="n">
        <x:v>-0.00972163280476461</x:v>
      </x:c>
      <x:c r="D67" s="23" t="n">
        <x:v>0.05710618811956418</x:v>
      </x:c>
      <x:c r="E67" s="23" t="n">
        <x:v>-0.07155402796628356</x:v>
      </x:c>
      <x:c r="F67" s="23" t="n">
        <x:v>0.03693791064005223</x:v>
      </x:c>
      <x:c r="G67" s="23" t="n">
        <x:v>-0.012752267258214392</x:v>
      </x:c>
      <x:c r="H67" s="23" t="n">
        <x:v>0.07062848248405634</x:v>
      </x:c>
      <x:c r="I67" s="23" t="n">
        <x:v>0.07762925901390036</x:v>
      </x:c>
      <x:c r="J67" s="23" t="n">
        <x:v>0.10030048876582276</x:v>
      </x:c>
      <x:c r="K67" s="23" t="n">
        <x:v>0.023842625492634224</x:v>
      </x:c>
      <x:c r="L67" s="23" t="n">
        <x:v>0.07928329919383019</x:v>
      </x:c>
      <x:c r="M67" s="23" t="n">
        <x:v>0.11817349750738083</x:v>
      </x:c>
      <x:c r="N67" s="23" t="n">
        <x:v>0.08838372833257996</x:v>
      </x:c>
      <x:c r="O67" s="23" t="n">
        <x:v>0.23080936624205162</x:v>
      </x:c>
      <x:c r="P67" s="23" t="n">
        <x:v>0.14530200280285352</x:v>
      </x:c>
      <x:c r="Q67" s="23" t="n">
        <x:v>0.03768819285085334</x:v>
      </x:c>
      <x:c r="R67" s="23" t="n">
        <x:v>0.07924587290370824</x:v>
      </x:c>
      <x:c r="S67" s="23" t="n">
        <x:v>-0.016549122713768835</x:v>
      </x:c>
      <x:c r="T67" s="23" t="n">
        <x:v>0.15742151792476922</x:v>
      </x:c>
      <x:c r="U67" s="23" t="n">
        <x:v>-0.08683104303595746</x:v>
      </x:c>
      <x:c r="V67" s="23" t="n">
        <x:v>0.03955757613635891</x:v>
      </x:c>
    </x:row>
    <x:row r="68">
      <x:c r="A68" s="20" t="n">
        <x:v>45656</x:v>
      </x:c>
      <x:c r="B68" s="23" t="n">
        <x:v>0.06416145233147386</x:v>
      </x:c>
      <x:c r="C68" s="23" t="n">
        <x:v>-0.051167531326322985</x:v>
      </x:c>
      <x:c r="D68" s="23" t="n">
        <x:v>0.056334439426181965</x:v>
      </x:c>
      <x:c r="E68" s="23" t="n">
        <x:v>0.12152731569400958</x:v>
      </x:c>
      <x:c r="F68" s="23" t="n">
        <x:v>-0.09041250943015317</x:v>
      </x:c>
      <x:c r="G68" s="23" t="n">
        <x:v>0.14664883005280482</x:v>
      </x:c>
      <x:c r="H68" s="23" t="n">
        <x:v>0.06517406902830615</x:v>
      </x:c>
      <x:c r="I68" s="23" t="n">
        <x:v>0.14344336143968825</x:v>
      </x:c>
      <x:c r="J68" s="23" t="n">
        <x:v>0.0528053970398762</x:v>
      </x:c>
      <x:c r="K68" s="23" t="n">
        <x:v>0.11266936761599644</x:v>
      </x:c>
      <x:c r="L68" s="23" t="n">
        <x:v>-0.0375871052411874</x:v>
      </x:c>
      <x:c r="M68" s="23" t="n">
        <x:v>0.05710163951309926</x:v>
      </x:c>
      <x:c r="N68" s="23" t="n">
        <x:v>0.1512106491390936</x:v>
      </x:c>
      <x:c r="O68" s="23" t="n">
        <x:v>0.03487669240658668</x:v>
      </x:c>
      <x:c r="P68" s="23" t="n">
        <x:v>0.12468968691321619</x:v>
      </x:c>
      <x:c r="Q68" s="23" t="n">
        <x:v>0.12384302177983875</x:v>
      </x:c>
      <x:c r="R68" s="23" t="n">
        <x:v>0.0858350999510297</x:v>
      </x:c>
      <x:c r="S68" s="23" t="n">
        <x:v>0.17967566984561556</x:v>
      </x:c>
      <x:c r="T68" s="23" t="n">
        <x:v>0.05716978630753728</x:v>
      </x:c>
      <x:c r="U68" s="23" t="n">
        <x:v>0.10851022698587304</x:v>
      </x:c>
      <x:c r="V68" s="23" t="n">
        <x:v>0.033240915500724263</x:v>
      </x:c>
    </x:row>
    <x:row r="69">
      <x:c r="A69" s="20" t="n">
        <x:v>45687</x:v>
      </x:c>
      <x:c r="B69" s="23" t="n">
        <x:v>0.0067417262597893185</x:v>
      </x:c>
      <x:c r="C69" s="23" t="n">
        <x:v>0.05570516832257104</x:v>
      </x:c>
      <x:c r="D69" s="23" t="n">
        <x:v>0.028574590554418633</x:v>
      </x:c>
      <x:c r="E69" s="23" t="n">
        <x:v>-0.016494437403396456</x:v>
      </x:c>
      <x:c r="F69" s="23" t="n">
        <x:v>-0.02905003605904752</x:v>
      </x:c>
      <x:c r="G69" s="23" t="n">
        <x:v>-0.05777210694426628</x:v>
      </x:c>
      <x:c r="H69" s="23" t="n">
        <x:v>0.016262427757261593</x:v>
      </x:c>
      <x:c r="I69" s="23" t="n">
        <x:v>-0.06031495678226196</x:v>
      </x:c>
      <x:c r="J69" s="23" t="n">
        <x:v>-0.02182580140170952</x:v>
      </x:c>
      <x:c r="K69" s="23" t="n">
        <x:v>-0.17528296232609686</x:v>
      </x:c>
      <x:c r="L69" s="23" t="n">
        <x:v>-0.03863506054779525</x:v>
      </x:c>
      <x:c r="M69" s="23" t="n">
        <x:v>0.05820015775947781</x:v>
      </x:c>
      <x:c r="N69" s="23" t="n">
        <x:v>-0.06308241837467014</x:v>
      </x:c>
      <x:c r="O69" s="23" t="n">
        <x:v>0.01744930668671969</x:v>
      </x:c>
      <x:c r="P69" s="23" t="n">
        <x:v>0.030816641579989073</x:v>
      </x:c>
      <x:c r="Q69" s="23" t="n">
        <x:v>-0.016691635299317095</x:v>
      </x:c>
      <x:c r="R69" s="23" t="n">
        <x:v>0.05047281240700475</x:v>
      </x:c>
      <x:c r="S69" s="23" t="n">
        <x:v>-0.06933082294118854</x:v>
      </x:c>
      <x:c r="T69" s="23" t="n">
        <x:v>-0.0160109129241162</x:v>
      </x:c>
      <x:c r="U69" s="23" t="n">
        <x:v>-0.066382621633993</x:v>
      </x:c>
      <x:c r="V69" s="23" t="n">
        <x:v>-0.02730475426257723</x:v>
      </x:c>
    </x:row>
    <x:row r="70">
      <x:c r="A70" s="20" t="n">
        <x:v>45716</x:v>
      </x:c>
      <x:c r="B70" s="23" t="n">
        <x:v>0.015237350759393083</x:v>
      </x:c>
      <x:c r="C70" s="23" t="n">
        <x:v>0.08483977802971515</x:v>
      </x:c>
      <x:c r="D70" s="23" t="n">
        <x:v>-0.10797863455220648</x:v>
      </x:c>
      <x:c r="E70" s="23" t="n">
        <x:v>0.06146097830584708</x:v>
      </x:c>
      <x:c r="F70" s="23" t="n">
        <x:v>0.0542256401285609</x:v>
      </x:c>
      <x:c r="G70" s="23" t="n">
        <x:v>0.06002771737979251</x:v>
      </x:c>
      <x:c r="H70" s="23" t="n">
        <x:v>-0.03800358413791466</x:v>
      </x:c>
      <x:c r="I70" s="23" t="n">
        <x:v>0.18129245080062856</x:v>
      </x:c>
      <x:c r="J70" s="23" t="n">
        <x:v>0.029176648693245846</x:v>
      </x:c>
      <x:c r="K70" s="23" t="n">
        <x:v>0.06899328001600821</x:v>
      </x:c>
      <x:c r="L70" s="23" t="n">
        <x:v>-0.017246229026663458</x:v>
      </x:c>
      <x:c r="M70" s="23" t="n">
        <x:v>0.03466239704730507</x:v>
      </x:c>
      <x:c r="N70" s="23" t="n">
        <x:v>0.1606796786167931</x:v>
      </x:c>
      <x:c r="O70" s="23" t="n">
        <x:v>0.06589355077659305</x:v>
      </x:c>
      <x:c r="P70" s="23" t="n">
        <x:v>0.021513811997067478</x:v>
      </x:c>
      <x:c r="Q70" s="23" t="n">
        <x:v>0.06129904879862689</x:v>
      </x:c>
      <x:c r="R70" s="23" t="n">
        <x:v>-0.020563344179325982</x:v>
      </x:c>
      <x:c r="S70" s="23" t="n">
        <x:v>-0.014341168732458914</x:v>
      </x:c>
      <x:c r="T70" s="23" t="n">
        <x:v>0.12381315729493689</x:v>
      </x:c>
      <x:c r="U70" s="23" t="n">
        <x:v>0.026081515052869535</x:v>
      </x:c>
      <x:c r="V70" s="23" t="n">
        <x:v>0.04229708159054493</x:v>
      </x:c>
    </x:row>
    <x:row r="71">
      <x:c r="A71" s="20" t="n">
        <x:v>45746</x:v>
      </x:c>
      <x:c r="B71" s="23" t="n">
        <x:v>0.0531061918396662</x:v>
      </x:c>
      <x:c r="C71" s="23" t="n">
        <x:v>-0.08502778059981367</x:v>
      </x:c>
      <x:c r="D71" s="23" t="n">
        <x:v>-0.05288516115235182</x:v>
      </x:c>
      <x:c r="E71" s="23" t="n">
        <x:v>-0.08103304915868682</x:v>
      </x:c>
      <x:c r="F71" s="23" t="n">
        <x:v>-0.017785201738555613</x:v>
      </x:c>
      <x:c r="G71" s="23" t="n">
        <x:v>0.006118907109998743</x:v>
      </x:c>
      <x:c r="H71" s="23" t="n">
        <x:v>-0.0842232048493352</x:v>
      </x:c>
      <x:c r="I71" s="23" t="n">
        <x:v>0.05056312277353679</x:v>
      </x:c>
      <x:c r="J71" s="23" t="n">
        <x:v>-0.0666939790893474</x:v>
      </x:c>
      <x:c r="K71" s="23" t="n">
        <x:v>-0.045775160931176354</x:v>
      </x:c>
      <x:c r="L71" s="23" t="n">
        <x:v>0.05648620449237706</x:v>
      </x:c>
      <x:c r="M71" s="23" t="n">
        <x:v>0.03287040678772382</x:v>
      </x:c>
      <x:c r="N71" s="23" t="n">
        <x:v>-0.0698466468858237</x:v>
      </x:c>
      <x:c r="O71" s="23" t="n">
        <x:v>0.019351275854157135</x:v>
      </x:c>
      <x:c r="P71" s="23" t="n">
        <x:v>-0.15812424588683432</x:v>
      </x:c>
      <x:c r="Q71" s="23" t="n">
        <x:v>0.050247847783643294</x:v>
      </x:c>
      <x:c r="R71" s="23" t="n">
        <x:v>0.10698532266396743</x:v>
      </x:c>
      <x:c r="S71" s="23" t="n">
        <x:v>-0.13785602281357118</x:v>
      </x:c>
      <x:c r="T71" s="23" t="n">
        <x:v>0.03301862968960436</x:v>
      </x:c>
      <x:c r="U71" s="23" t="n">
        <x:v>0.04368446343930609</x:v>
      </x:c>
      <x:c r="V71" s="23" t="n">
        <x:v>-0.02594101892160976</x:v>
      </x:c>
    </x:row>
    <x:row r="72">
      <x:c r="A72" s="20" t="n">
        <x:v>45777</x:v>
      </x:c>
      <x:c r="B72" s="23" t="n">
        <x:v>-0.029020437576553298</x:v>
      </x:c>
      <x:c r="C72" s="23" t="n">
        <x:v>-0.05350974425605372</x:v>
      </x:c>
      <x:c r="D72" s="23" t="n">
        <x:v>-0.0186422048629776</x:v>
      </x:c>
      <x:c r="E72" s="23" t="n">
        <x:v>-0.2689401365684465</x:v>
      </x:c>
      <x:c r="F72" s="23" t="n">
        <x:v>0.03134304325889255</x:v>
      </x:c>
      <x:c r="G72" s="23" t="n">
        <x:v>-0.1240617346929277</x:v>
      </x:c>
      <x:c r="H72" s="23" t="n">
        <x:v>-0.16713831713249488</x:v>
      </x:c>
      <x:c r="I72" s="23" t="n">
        <x:v>0.04444282031908599</x:v>
      </x:c>
      <x:c r="J72" s="23" t="n">
        <x:v>-0.04396357025391868</x:v>
      </x:c>
      <x:c r="K72" s="23" t="n">
        <x:v>-0.10300315972951284</x:v>
      </x:c>
      <x:c r="L72" s="23" t="n">
        <x:v>-0.0494501014911041</x:v>
      </x:c>
      <x:c r="M72" s="23" t="n">
        <x:v>-0.08345038283812044</x:v>
      </x:c>
      <x:c r="N72" s="23" t="n">
        <x:v>-0.07690287181544729</x:v>
      </x:c>
      <x:c r="O72" s="23" t="n">
        <x:v>-0.2061204180644821</x:v>
      </x:c>
      <x:c r="P72" s="23" t="n">
        <x:v>-0.1734965494626491</x:v>
      </x:c>
      <x:c r="Q72" s="23" t="n">
        <x:v>-0.10104185992666198</x:v>
      </x:c>
      <x:c r="R72" s="23" t="n">
        <x:v>-0.12368549385676017</x:v>
      </x:c>
      <x:c r="S72" s="23" t="n">
        <x:v>-0.12088356206295431</x:v>
      </x:c>
      <x:c r="T72" s="23" t="n">
        <x:v>-0.13257766682417382</x:v>
      </x:c>
      <x:c r="U72" s="23" t="n">
        <x:v>-0.12922102756549786</x:v>
      </x:c>
      <x:c r="V72" s="23" t="n">
        <x:v>-0.07667399558389192</x:v>
      </x:c>
    </x:row>
    <x:row r="73">
      <x:c r="A73" s="20" t="n">
        <x:v>45807</x:v>
      </x:c>
      <x:c r="B73" s="23" t="n">
        <x:v>0.03339601056835979</x:v>
      </x:c>
      <x:c r="C73" s="23" t="n">
        <x:v>0.13343352446077633</x:v>
      </x:c>
      <x:c r="D73" s="23" t="n">
        <x:v>-0.046708223471937774</x:v>
      </x:c>
      <x:c r="E73" s="23" t="n">
        <x:v>0.02914077720608201</x:v>
      </x:c>
      <x:c r="F73" s="23" t="n">
        <x:v>-0.11593043271531506</x:v>
      </x:c>
      <x:c r="G73" s="23" t="n">
        <x:v>-0.02485624098546181</x:v>
      </x:c>
      <x:c r="H73" s="23" t="n">
        <x:v>-0.002231359867472806</x:v>
      </x:c>
      <x:c r="I73" s="23" t="n">
        <x:v>0.07771158224628953</x:v>
      </x:c>
      <x:c r="J73" s="23" t="n">
        <x:v>0.04710324112284994</x:v>
      </x:c>
      <x:c r="K73" s="23" t="n">
        <x:v>-0.06908602173017295</x:v>
      </x:c>
      <x:c r="L73" s="23" t="n">
        <x:v>0.07672299618341932</x:v>
      </x:c>
      <x:c r="M73" s="23" t="n">
        <x:v>-0.059301649495990066</x:v>
      </x:c>
      <x:c r="N73" s="23" t="n">
        <x:v>0.1272038111417669</x:v>
      </x:c>
      <x:c r="O73" s="23" t="n">
        <x:v>-0.09012973616074793</x:v>
      </x:c>
      <x:c r="P73" s="23" t="n">
        <x:v>-0.005225968447150255</x:v>
      </x:c>
      <x:c r="Q73" s="23" t="n">
        <x:v>0.04542039922865883</x:v>
      </x:c>
      <x:c r="R73" s="23" t="n">
        <x:v>-0.07725060786893927</x:v>
      </x:c>
      <x:c r="S73" s="23" t="n">
        <x:v>0.004031393739911713</x:v>
      </x:c>
      <x:c r="T73" s="23" t="n">
        <x:v>-0.24671845794873534</x:v>
      </x:c>
      <x:c r="U73" s="23" t="n">
        <x:v>0.09064341377470556</x:v>
      </x:c>
      <x:c r="V73" s="23" t="n">
        <x:v>-0.0109808081734338</x:v>
      </x:c>
    </x:row>
    <x:row r="74">
      <x:c r="A74" s="20" t="n">
        <x:v>45838</x:v>
      </x:c>
      <x:c r="B74" s="23" t="n">
        <x:v>0.15182111211894428</x:v>
      </x:c>
      <x:c r="C74" s="23" t="n">
        <x:v>-0.201075050078662</x:v>
      </x:c>
      <x:c r="D74" s="23" t="n">
        <x:v>0.04089530781984198</x:v>
      </x:c>
      <x:c r="E74" s="23" t="n">
        <x:v>-0.05914912383991486</x:v>
      </x:c>
      <x:c r="F74" s="23" t="n">
        <x:v>0.012695821350660896</x:v>
      </x:c>
      <x:c r="G74" s="23" t="n">
        <x:v>-0.021386587109263864</x:v>
      </x:c>
      <x:c r="H74" s="23" t="n">
        <x:v>-0.0018994109483116209</x:v>
      </x:c>
      <x:c r="I74" s="23" t="n">
        <x:v>-0.007989771546685913</x:v>
      </x:c>
      <x:c r="J74" s="23" t="n">
        <x:v>-0.1443175931950349</x:v>
      </x:c>
      <x:c r="K74" s="23" t="n">
        <x:v>0.06306047869244055</x:v>
      </x:c>
      <x:c r="L74" s="23" t="n">
        <x:v>-0.1930590252211518</x:v>
      </x:c>
      <x:c r="M74" s="23" t="n">
        <x:v>-0.21859986109095952</x:v>
      </x:c>
      <x:c r="N74" s="23" t="n">
        <x:v>-0.012979705074030214</x:v>
      </x:c>
      <x:c r="O74" s="23" t="n">
        <x:v>0.03791562006417587</x:v>
      </x:c>
      <x:c r="P74" s="23" t="n">
        <x:v>0.10899703878931563</x:v>
      </x:c>
      <x:c r="Q74" s="23" t="n">
        <x:v>-0.054040746762503075</x:v>
      </x:c>
      <x:c r="R74" s="23" t="n">
        <x:v>-0.05930106444728663</x:v>
      </x:c>
      <x:c r="S74" s="23" t="n">
        <x:v>-0.08929467783616796</x:v>
      </x:c>
      <x:c r="T74" s="23" t="n">
        <x:v>-0.030624626478416895</x:v>
      </x:c>
      <x:c r="U74" s="23" t="n">
        <x:v>0.13906521490957077</x:v>
      </x:c>
      <x:c r="V74" s="23" t="n">
        <x:v>-0.042748880054786935</x:v>
      </x:c>
    </x:row>
    <x:row r="75">
      <x:c r="A75" s="20" t="n">
        <x:v>45868</x:v>
      </x:c>
      <x:c r="B75" s="23" t="n">
        <x:v>0.03963691929211332</x:v>
      </x:c>
      <x:c r="C75" s="23" t="n">
        <x:v>0.012935469917019875</x:v>
      </x:c>
      <x:c r="D75" s="23" t="n">
        <x:v>0.05564418209328578</x:v>
      </x:c>
      <x:c r="E75" s="23" t="n">
        <x:v>0.06357031009157772</x:v>
      </x:c>
      <x:c r="F75" s="23" t="n">
        <x:v>0.02704866293546777</x:v>
      </x:c>
      <x:c r="G75" s="23" t="n">
        <x:v>-0.025048805887999938</x:v>
      </x:c>
      <x:c r="H75" s="23" t="n">
        <x:v>0.09516940497366286</x:v>
      </x:c>
      <x:c r="I75" s="23" t="n">
        <x:v>0.07406275837921204</x:v>
      </x:c>
      <x:c r="J75" s="23" t="n">
        <x:v>0.037527740844650895</x:v>
      </x:c>
      <x:c r="K75" s="23" t="n">
        <x:v>0.31049935828480413</x:v>
      </x:c>
      <x:c r="L75" s="23" t="n">
        <x:v>0.05094455062634567</x:v>
      </x:c>
      <x:c r="M75" s="23" t="n">
        <x:v>-0.08066089474730734</x:v>
      </x:c>
      <x:c r="N75" s="23" t="n">
        <x:v>0.14888634075224005</x:v>
      </x:c>
      <x:c r="O75" s="23" t="n">
        <x:v>0.04427431391634502</x:v>
      </x:c>
      <x:c r="P75" s="23" t="n">
        <x:v>-0.015490501567627504</x:v>
      </x:c>
      <x:c r="Q75" s="23" t="n">
        <x:v>0.15159152208946602</x:v>
      </x:c>
      <x:c r="R75" s="23" t="n">
        <x:v>0.18204263416686337</x:v>
      </x:c>
      <x:c r="S75" s="23" t="n">
        <x:v>0.04897168803067547</x:v>
      </x:c>
      <x:c r="T75" s="23" t="n">
        <x:v>0.05829166285990898</x:v>
      </x:c>
      <x:c r="U75" s="23" t="n">
        <x:v>0.06913950939753415</x:v>
      </x:c>
      <x:c r="V75" s="23" t="n">
        <x:v>0.04491109843207535</x:v>
      </x:c>
    </x:row>
    <x:row r="76">
      <x:c r="A76" s="20" t="n">
        <x:v>45899</x:v>
      </x:c>
      <x:c r="B76" s="23" t="n">
        <x:v>0.03440034838803463</x:v>
      </x:c>
      <x:c r="C76" s="23" t="n">
        <x:v>-0.01602020195588621</x:v>
      </x:c>
      <x:c r="D76" s="23" t="n">
        <x:v>-0.0337726454872265</x:v>
      </x:c>
      <x:c r="E76" s="23" t="n">
        <x:v>-0.0710577526954174</x:v>
      </x:c>
      <x:c r="F76" s="23" t="n">
        <x:v>0.04581016647224726</x:v>
      </x:c>
      <x:c r="G76" s="23" t="n">
        <x:v>0.011380210837599693</x:v>
      </x:c>
      <x:c r="H76" s="23" t="n">
        <x:v>-0.07564224200848135</x:v>
      </x:c>
      <x:c r="I76" s="23" t="n">
        <x:v>-0.03791258804688332</x:v>
      </x:c>
      <x:c r="J76" s="23" t="n">
        <x:v>0.0030512599729093162</x:v>
      </x:c>
      <x:c r="K76" s="23" t="n">
        <x:v>0.0004664576378232421</x:v>
      </x:c>
      <x:c r="L76" s="23" t="n">
        <x:v>-0.059388541710724926</x:v>
      </x:c>
      <x:c r="M76" s="23" t="n">
        <x:v>-0.02204913224906468</x:v>
      </x:c>
      <x:c r="N76" s="23" t="n">
        <x:v>-0.07683236105989005</x:v>
      </x:c>
      <x:c r="O76" s="23" t="n">
        <x:v>0.07010659640292827</x:v>
      </x:c>
      <x:c r="P76" s="23" t="n">
        <x:v>-0.11717845118878528</x:v>
      </x:c>
      <x:c r="Q76" s="23" t="n">
        <x:v>-0.04634053457063084</x:v>
      </x:c>
      <x:c r="R76" s="23" t="n">
        <x:v>-0.1078601401103686</x:v>
      </x:c>
      <x:c r="S76" s="23" t="n">
        <x:v>0.04314019962710969</x:v>
      </x:c>
      <x:c r="T76" s="23" t="n">
        <x:v>0.02260400324321668</x:v>
      </x:c>
      <x:c r="U76" s="23" t="n">
        <x:v>0.11594725158883112</x:v>
      </x:c>
      <x:c r="V76" s="23" t="n">
        <x:v>-0.028347254354292334</x:v>
      </x:c>
    </x:row>
    <x:row r="77">
      <x:c r="A77" s="20" t="n">
        <x:v>45930</x:v>
      </x:c>
      <x:c r="B77" s="23" t="n">
        <x:v>0.054127196536440006</x:v>
      </x:c>
      <x:c r="C77" s="23" t="n">
        <x:v>-0.018413117073866163</x:v>
      </x:c>
      <x:c r="D77" s="23" t="n">
        <x:v>0.026638196838889617</x:v>
      </x:c>
      <x:c r="E77" s="23" t="n">
        <x:v>-0.023516082086278988</x:v>
      </x:c>
      <x:c r="F77" s="23" t="n">
        <x:v>-0.03363043605315996</x:v>
      </x:c>
      <x:c r="G77" s="23" t="n">
        <x:v>0.031429334465868014</x:v>
      </x:c>
      <x:c r="H77" s="23" t="n">
        <x:v>-0.007656871720483837</x:v>
      </x:c>
      <x:c r="I77" s="23" t="n">
        <x:v>0.07817250672647684</x:v>
      </x:c>
      <x:c r="J77" s="23" t="n">
        <x:v>-0.12513612809291877</x:v>
      </x:c>
      <x:c r="K77" s="23" t="n">
        <x:v>-0.0010971976939029935</x:v>
      </x:c>
      <x:c r="L77" s="23" t="n">
        <x:v>-0.06443109018096013</x:v>
      </x:c>
      <x:c r="M77" s="23" t="n">
        <x:v>-0.009875894471165696</x:v>
      </x:c>
      <x:c r="N77" s="23" t="n">
        <x:v>0.027393752757446373</x:v>
      </x:c>
      <x:c r="O77" s="23" t="n">
        <x:v>0.04691914570421721</x:v>
      </x:c>
      <x:c r="P77" s="23" t="n">
        <x:v>-0.05186776281527662</x:v>
      </x:c>
      <x:c r="Q77" s="23" t="n">
        <x:v>-0.057760632840167886</x:v>
      </x:c>
      <x:c r="R77" s="23" t="n">
        <x:v>-0.04220358273886124</x:v>
      </x:c>
      <x:c r="S77" s="23" t="n">
        <x:v>0.0884357666121833</x:v>
      </x:c>
      <x:c r="T77" s="23" t="n">
        <x:v>0.02288281783002932</x:v>
      </x:c>
      <x:c r="U77" s="23" t="n">
        <x:v>0.06704407754805972</x:v>
      </x:c>
      <x:c r="V77" s="23" t="n">
        <x:v>0.005618313917534074</x:v>
      </x:c>
    </x:row>
    <x:row r="78">
      <x:c r="A78" s="20" t="n">
        <x:v>45960</x:v>
      </x:c>
      <x:c r="B78" s="23" t="n">
        <x:v>-0.04834440401986577</x:v>
      </x:c>
      <x:c r="C78" s="23" t="n">
        <x:v>0.020562628780356956</x:v>
      </x:c>
      <x:c r="D78" s="23" t="n">
        <x:v>0.021898162634937948</x:v>
      </x:c>
      <x:c r="E78" s="23" t="n">
        <x:v>-0.06305909510167573</x:v>
      </x:c>
      <x:c r="F78" s="23" t="n">
        <x:v>0.008230878733478197</x:v>
      </x:c>
      <x:c r="G78" s="23" t="n">
        <x:v>0.013541128267755165</x:v>
      </x:c>
      <x:c r="H78" s="23" t="n">
        <x:v>0.07472466642554229</x:v>
      </x:c>
      <x:c r="I78" s="23" t="n">
        <x:v>0.008878367230512564</x:v>
      </x:c>
      <x:c r="J78" s="23" t="n">
        <x:v>0.05837530745074192</x:v>
      </x:c>
      <x:c r="K78" s="23" t="n">
        <x:v>0.08269859605168126</x:v>
      </x:c>
      <x:c r="L78" s="23" t="n">
        <x:v>0.0038374781327582576</x:v>
      </x:c>
      <x:c r="M78" s="23" t="n">
        <x:v>-0.058852504080183395</x:v>
      </x:c>
      <x:c r="N78" s="23" t="n">
        <x:v>-0.0703372691616347</x:v>
      </x:c>
      <x:c r="O78" s="23" t="n">
        <x:v>-0.04588919230332045</x:v>
      </x:c>
      <x:c r="P78" s="23" t="n">
        <x:v>-0.015879354300473807</x:v>
      </x:c>
      <x:c r="Q78" s="23" t="n">
        <x:v>-0.03573078706475337</x:v>
      </x:c>
      <x:c r="R78" s="23" t="n">
        <x:v>0.06504892085630012</x:v>
      </x:c>
      <x:c r="S78" s="23" t="n">
        <x:v>-0.009081932192046765</x:v>
      </x:c>
      <x:c r="T78" s="23" t="n">
        <x:v>0.016199072301649985</x:v>
      </x:c>
      <x:c r="U78" s="23" t="n">
        <x:v>0.06659344275617621</x:v>
      </x:c>
      <x:c r="V78" s="23" t="n">
        <x:v>0.03528394881197473</x:v>
      </x:c>
    </x:row>
    <x:row r="79">
      <x:c r="A79" s="20" t="n">
        <x:v>45991</x:v>
      </x:c>
      <x:c r="B79" s="23" t="n">
        <x:v>0.007375016019245663</x:v>
      </x:c>
      <x:c r="C79" s="23" t="n">
        <x:v>0.11286302453216995</x:v>
      </x:c>
      <x:c r="D79" s="23" t="n">
        <x:v>-0.14773500772875506</x:v>
      </x:c>
      <x:c r="E79" s="23" t="n">
        <x:v>0.06170144107620752</x:v>
      </x:c>
      <x:c r="F79" s="23" t="n">
        <x:v>0.058602579208403116</x:v>
      </x:c>
      <x:c r="G79" s="23" t="n">
        <x:v>0.011102678171350005</x:v>
      </x:c>
      <x:c r="H79" s="23" t="n">
        <x:v>-0.053127021597337655</x:v>
      </x:c>
      <x:c r="I79" s="23" t="n">
        <x:v>0.050182719844096495</x:v>
      </x:c>
      <x:c r="J79" s="23" t="n">
        <x:v>0.030352344079868036</x:v>
      </x:c>
      <x:c r="K79" s="23" t="n">
        <x:v>-0.04126323764600476</x:v>
      </x:c>
      <x:c r="L79" s="23" t="n">
        <x:v>0.05921828842225478</x:v>
      </x:c>
      <x:c r="M79" s="23" t="n">
        <x:v>0.11896274772106247</x:v>
      </x:c>
      <x:c r="N79" s="23" t="n">
        <x:v>0.051765509164614316</x:v>
      </x:c>
      <x:c r="O79" s="23" t="n">
        <x:v>0.030269263480628347</x:v>
      </x:c>
      <x:c r="P79" s="23" t="n">
        <x:v>0.014180273637673473</x:v>
      </x:c>
      <x:c r="Q79" s="23" t="n">
        <x:v>0.0007783757684302287</x:v>
      </x:c>
      <x:c r="R79" s="23" t="n">
        <x:v>0.014395566450229151</x:v>
      </x:c>
      <x:c r="S79" s="23" t="n">
        <x:v>0.03472162951198775</x:v>
      </x:c>
      <x:c r="T79" s="23" t="n">
        <x:v>0.09645970687533732</x:v>
      </x:c>
      <x:c r="U79" s="23" t="n">
        <x:v>-0.01921933017617894</x:v>
      </x:c>
      <x:c r="V79" s="23" t="n">
        <x:v>0.010172219655388443</x:v>
      </x:c>
    </x:row>
    <x:row r="80">
      <x:c r="A80" s="20" t="n">
        <x:v>46021</x:v>
      </x:c>
      <x:c r="B80" s="23" t="n">
        <x:v>-0.03485790974000053</x:v>
      </x:c>
      <x:c r="C80" s="23" t="n">
        <x:v>-0.08691116481124264</x:v>
      </x:c>
      <x:c r="D80" s="23" t="n">
        <x:v>-0.024089680701695072</x:v>
      </x:c>
      <x:c r="E80" s="23" t="n">
        <x:v>-0.09905720285167285</x:v>
      </x:c>
      <x:c r="F80" s="23" t="n">
        <x:v>-0.09398668211657814</x:v>
      </x:c>
      <x:c r="G80" s="23" t="n">
        <x:v>-0.0454850806018219</x:v>
      </x:c>
      <x:c r="H80" s="23" t="n">
        <x:v>-0.12689672447948736</x:v>
      </x:c>
      <x:c r="I80" s="23" t="n">
        <x:v>-0.07971936704549712</x:v>
      </x:c>
      <x:c r="J80" s="23" t="n">
        <x:v>-0.015390366648146483</x:v>
      </x:c>
      <x:c r="K80" s="23" t="n">
        <x:v>-0.06766791729538056</x:v>
      </x:c>
      <x:c r="L80" s="23" t="n">
        <x:v>-0.08943860447152635</x:v>
      </x:c>
      <x:c r="M80" s="23" t="n">
        <x:v>0.03427285202160478</x:v>
      </x:c>
      <x:c r="N80" s="23" t="n">
        <x:v>-0.16845780686596096</x:v>
      </x:c>
      <x:c r="O80" s="23" t="n">
        <x:v>-0.19292829728457025</x:v>
      </x:c>
      <x:c r="P80" s="23" t="n">
        <x:v>-0.09449398682591696</x:v>
      </x:c>
      <x:c r="Q80" s="23" t="n">
        <x:v>-0.15779636376209316</x:v>
      </x:c>
      <x:c r="R80" s="23" t="n">
        <x:v>-0.15482412216884672</x:v>
      </x:c>
      <x:c r="S80" s="23" t="n">
        <x:v>-0.1469586617047787</x:v>
      </x:c>
      <x:c r="T80" s="23" t="n">
        <x:v>-0.08966040386475665</x:v>
      </x:c>
      <x:c r="U80" s="23" t="n">
        <x:v>-0.022211215009947674</x:v>
      </x:c>
      <x:c r="V80" s="23" t="n">
        <x:v>-0.09973462496427518</x:v>
      </x:c>
    </x:row>
    <x:row r="81">
      <x:c r="A81" s="20" t="n">
        <x:v>46052</x:v>
      </x:c>
      <x:c r="B81" s="23" t="n">
        <x:v>0.07885691431987772</x:v>
      </x:c>
      <x:c r="C81" s="23" t="n">
        <x:v>-0.011455247628018021</x:v>
      </x:c>
      <x:c r="D81" s="23" t="n">
        <x:v>-0.040397312911870355</x:v>
      </x:c>
      <x:c r="E81" s="23" t="n">
        <x:v>0.08630875615934092</x:v>
      </x:c>
      <x:c r="F81" s="23" t="n">
        <x:v>0.04834709692553982</x:v>
      </x:c>
      <x:c r="G81" s="23" t="n">
        <x:v>-0.06765551731153369</x:v>
      </x:c>
      <x:c r="H81" s="23" t="n">
        <x:v>0.0464114971261886</x:v>
      </x:c>
      <x:c r="I81" s="23" t="n">
        <x:v>-0.06709841254416603</x:v>
      </x:c>
      <x:c r="J81" s="23" t="n">
        <x:v>0.017411082919143225</x:v>
      </x:c>
      <x:c r="K81" s="23" t="n">
        <x:v>-0.11001812137991897</x:v>
      </x:c>
      <x:c r="L81" s="23" t="n">
        <x:v>-0.008767312966914966</x:v>
      </x:c>
      <x:c r="M81" s="23" t="n">
        <x:v>0.09522893629783324</x:v>
      </x:c>
      <x:c r="N81" s="23" t="n">
        <x:v>0.044493918280240324</x:v>
      </x:c>
      <x:c r="O81" s="23" t="n">
        <x:v>-0.059078794284657815</x:v>
      </x:c>
      <x:c r="P81" s="23" t="n">
        <x:v>0.02313869333279748</x:v>
      </x:c>
      <x:c r="Q81" s="23" t="n">
        <x:v>-0.08206370087521844</x:v>
      </x:c>
      <x:c r="R81" s="23" t="n">
        <x:v>-0.005734471345395387</x:v>
      </x:c>
      <x:c r="S81" s="23" t="n">
        <x:v>-0.02051504574746714</x:v>
      </x:c>
      <x:c r="T81" s="23" t="n">
        <x:v>0.026938589415694665</x:v>
      </x:c>
      <x:c r="U81" s="23" t="n">
        <x:v>-0.028344843340534873</x:v>
      </x:c>
      <x:c r="V81" s="23" t="n">
        <x:v>0.00832775555765167</x:v>
      </x:c>
    </x:row>
    <x:row r="82">
      <x:c r="A82" s="20" t="n">
        <x:v>46081</x:v>
      </x:c>
      <x:c r="B82" s="23" t="n">
        <x:v>0.011554443357735554</x:v>
      </x:c>
      <x:c r="C82" s="23" t="n">
        <x:v>-0.08705501186520256</x:v>
      </x:c>
      <x:c r="D82" s="23" t="n">
        <x:v>-0.02924387592104688</x:v>
      </x:c>
      <x:c r="E82" s="23" t="n">
        <x:v>-0.04901661225096264</x:v>
      </x:c>
      <x:c r="F82" s="23" t="n">
        <x:v>0.06797913761118951</x:v>
      </x:c>
      <x:c r="G82" s="23" t="n">
        <x:v>0.06655964156631974</x:v>
      </x:c>
      <x:c r="H82" s="23" t="n">
        <x:v>0.031047770516586692</x:v>
      </x:c>
      <x:c r="I82" s="23" t="n">
        <x:v>-0.009478879536318728</x:v>
      </x:c>
      <x:c r="J82" s="23" t="n">
        <x:v>0.1002570352776202</x:v>
      </x:c>
      <x:c r="K82" s="23" t="n">
        <x:v>-0.09969700078256719</x:v>
      </x:c>
      <x:c r="L82" s="23" t="n">
        <x:v>0.002112405397879811</x:v>
      </x:c>
      <x:c r="M82" s="23" t="n">
        <x:v>0.12466808457216202</x:v>
      </x:c>
      <x:c r="N82" s="23" t="n">
        <x:v>0.017881081578936635</x:v>
      </x:c>
      <x:c r="O82" s="23" t="n">
        <x:v>-0.06845969827357666</x:v>
      </x:c>
      <x:c r="P82" s="23" t="n">
        <x:v>-0.03908327321576236</x:v>
      </x:c>
      <x:c r="Q82" s="23" t="n">
        <x:v>0.1049128159114882</x:v>
      </x:c>
      <x:c r="R82" s="23" t="n">
        <x:v>0.03706470803932281</x:v>
      </x:c>
      <x:c r="S82" s="23" t="n">
        <x:v>-0.04107089384399527</x:v>
      </x:c>
      <x:c r="T82" s="23" t="n">
        <x:v>0.07462528058505338</x:v>
      </x:c>
      <x:c r="U82" s="23" t="n">
        <x:v>0.052544303228434806</x:v>
      </x:c>
      <x:c r="V82" s="23" t="n">
        <x:v>-0.004206483537514312</x:v>
      </x:c>
    </x:row>
    <x:row r="83">
      <x:c r="A83" s="20" t="n">
        <x:v>46111</x:v>
      </x:c>
      <x:c r="B83" s="23" t="n">
        <x:v>0.08423706748457772</x:v>
      </x:c>
      <x:c r="C83" s="23" t="n">
        <x:v>0.0008466795300188512</x:v>
      </x:c>
      <x:c r="D83" s="23" t="n">
        <x:v>0.07850738853069929</x:v>
      </x:c>
      <x:c r="E83" s="23" t="n">
        <x:v>0.023194495399435917</x:v>
      </x:c>
      <x:c r="F83" s="23" t="n">
        <x:v>0.0296392261574112</x:v>
      </x:c>
      <x:c r="G83" s="23" t="n">
        <x:v>0.07081026545434546</x:v>
      </x:c>
      <x:c r="H83" s="23" t="n">
        <x:v>0.1673622299755777</x:v>
      </x:c>
      <x:c r="I83" s="23" t="n">
        <x:v>0.04754497624167535</x:v>
      </x:c>
      <x:c r="J83" s="23" t="n">
        <x:v>0.05929922027374891</x:v>
      </x:c>
      <x:c r="K83" s="23" t="n">
        <x:v>0.06812201904010835</x:v>
      </x:c>
      <x:c r="L83" s="23" t="n">
        <x:v>0.11907260922258392</x:v>
      </x:c>
      <x:c r="M83" s="23" t="n">
        <x:v>0.19959065709628687</x:v>
      </x:c>
      <x:c r="N83" s="23" t="n">
        <x:v>0.07879855791633796</x:v>
      </x:c>
      <x:c r="O83" s="23" t="n">
        <x:v>0.0476951702179947</x:v>
      </x:c>
      <x:c r="P83" s="23" t="n">
        <x:v>0.047898413693154715</x:v>
      </x:c>
      <x:c r="Q83" s="23" t="n">
        <x:v>0.07282636141087076</x:v>
      </x:c>
      <x:c r="R83" s="23" t="n">
        <x:v>0.06020744634919135</x:v>
      </x:c>
      <x:c r="S83" s="23" t="n">
        <x:v>0.11920335526141479</x:v>
      </x:c>
      <x:c r="T83" s="23" t="n">
        <x:v>0.09308418689317341</x:v>
      </x:c>
      <x:c r="U83" s="23" t="n">
        <x:v>0.115093816082145</x:v>
      </x:c>
      <x:c r="V83" s="23" t="n">
        <x:v>0.09903868665291538</x:v>
      </x:c>
    </x:row>
    <x:row r="84">
      <x:c r="A84" s="20" t="n">
        <x:v>46142</x:v>
      </x:c>
      <x:c r="B84" s="23" t="n">
        <x:v>-0.06123505553444599</x:v>
      </x:c>
      <x:c r="C84" s="23" t="n">
        <x:v>-0.0797102341771647</x:v>
      </x:c>
      <x:c r="D84" s="23" t="n">
        <x:v>-0.04279401754996827</x:v>
      </x:c>
      <x:c r="E84" s="23" t="n">
        <x:v>0.13645060901053446</x:v>
      </x:c>
      <x:c r="F84" s="23" t="n">
        <x:v>0.008504509628396592</x:v>
      </x:c>
      <x:c r="G84" s="23" t="n">
        <x:v>-0.047112060293038216</x:v>
      </x:c>
      <x:c r="H84" s="23" t="n">
        <x:v>0.027186121450718137</x:v>
      </x:c>
      <x:c r="I84" s="23" t="n">
        <x:v>-0.05280332213003354</x:v>
      </x:c>
      <x:c r="J84" s="23" t="n">
        <x:v>0.035454903277066394</x:v>
      </x:c>
      <x:c r="K84" s="23" t="n">
        <x:v>-0.07573944925152018</x:v>
      </x:c>
      <x:c r="L84" s="23" t="n">
        <x:v>-0.09785526581929423</x:v>
      </x:c>
      <x:c r="M84" s="23" t="n">
        <x:v>0.02844009254546434</x:v>
      </x:c>
      <x:c r="N84" s="23" t="n">
        <x:v>-0.03478499774153573</x:v>
      </x:c>
      <x:c r="O84" s="23" t="n">
        <x:v>-0.06852759725801667</x:v>
      </x:c>
      <x:c r="P84" s="23" t="n">
        <x:v>0.012367499111187365</x:v>
      </x:c>
      <x:c r="Q84" s="23" t="n">
        <x:v>-0.07548176712729017</x:v>
      </x:c>
      <x:c r="R84" s="23" t="n">
        <x:v>-0.026714888536105947</x:v>
      </x:c>
      <x:c r="S84" s="23" t="n">
        <x:v>-0.04515047639606279</x:v>
      </x:c>
      <x:c r="T84" s="23" t="n">
        <x:v>-0.026332176940313083</x:v>
      </x:c>
      <x:c r="U84" s="23" t="n">
        <x:v>0.013276540411466156</x:v>
      </x:c>
      <x:c r="V84" s="23" t="n">
        <x:v>-0.02521017809572491</x:v>
      </x:c>
    </x:row>
    <x:row r="85">
      <x:c r="A85" s="20" t="n">
        <x:v>46172</x:v>
      </x:c>
      <x:c r="B85" s="23" t="n">
        <x:v>0.07230433171939885</x:v>
      </x:c>
      <x:c r="C85" s="23" t="n">
        <x:v>0.05767247655527777</x:v>
      </x:c>
      <x:c r="D85" s="23" t="n">
        <x:v>0.10275523253834776</x:v>
      </x:c>
      <x:c r="E85" s="23" t="n">
        <x:v>0.05452598361421148</x:v>
      </x:c>
      <x:c r="F85" s="23" t="n">
        <x:v>-0.012335593991904786</x:v>
      </x:c>
      <x:c r="G85" s="23" t="n">
        <x:v>-0.015307321780289047</x:v>
      </x:c>
      <x:c r="H85" s="23" t="n">
        <x:v>-0.027730988564386785</x:v>
      </x:c>
      <x:c r="I85" s="23" t="n">
        <x:v>0.051859850457032265</x:v>
      </x:c>
      <x:c r="J85" s="23" t="n">
        <x:v>-0.02868595250700126</x:v>
      </x:c>
      <x:c r="K85" s="23" t="n">
        <x:v>-0.006569605064681509</x:v>
      </x:c>
      <x:c r="L85" s="23" t="n">
        <x:v>0.05688294339716296</x:v>
      </x:c>
      <x:c r="M85" s="23" t="n">
        <x:v>-0.0016905252838272239</x:v>
      </x:c>
      <x:c r="N85" s="23" t="n">
        <x:v>-0.000977812083670905</x:v>
      </x:c>
      <x:c r="O85" s="23" t="n">
        <x:v>0.14267307082177982</x:v>
      </x:c>
      <x:c r="P85" s="23" t="n">
        <x:v>0.05317227552184497</x:v>
      </x:c>
      <x:c r="Q85" s="23" t="n">
        <x:v>0.10385879512126313</x:v>
      </x:c>
      <x:c r="R85" s="23" t="n">
        <x:v>0.017592989435884616</x:v>
      </x:c>
      <x:c r="S85" s="23" t="n">
        <x:v>0.10707971445217683</x:v>
      </x:c>
      <x:c r="T85" s="23" t="n">
        <x:v>-0.04278685794994842</x:v>
      </x:c>
      <x:c r="U85" s="23" t="n">
        <x:v>-0.07519255349919769</x:v>
      </x:c>
      <x:c r="V85" s="23" t="n">
        <x:v>0.05495929478260367</x:v>
      </x:c>
    </x:row>
    <x:row r="86">
      <x:c r="A86" s="20" t="n">
        <x:v>46203</x:v>
      </x:c>
      <x:c r="B86" s="23" t="n">
        <x:v>0.16509587471864873</x:v>
      </x:c>
      <x:c r="C86" s="23" t="n">
        <x:v>0.05393589036435502</x:v>
      </x:c>
      <x:c r="D86" s="23" t="n">
        <x:v>0.11379891966123473</x:v>
      </x:c>
      <x:c r="E86" s="23" t="n">
        <x:v>0.14284192606412288</x:v>
      </x:c>
      <x:c r="F86" s="23" t="n">
        <x:v>0.09948624498221971</x:v>
      </x:c>
      <x:c r="G86" s="23" t="n">
        <x:v>0.10975775825334247</x:v>
      </x:c>
      <x:c r="H86" s="23" t="n">
        <x:v>0.12946827142709436</x:v>
      </x:c>
      <x:c r="I86" s="23" t="n">
        <x:v>0.006329601230575951</x:v>
      </x:c>
      <x:c r="J86" s="23" t="n">
        <x:v>0.13587263615276118</x:v>
      </x:c>
      <x:c r="K86" s="23" t="n">
        <x:v>-0.08554964508424329</x:v>
      </x:c>
      <x:c r="L86" s="23" t="n">
        <x:v>0.053253064334753915</x:v>
      </x:c>
      <x:c r="M86" s="23" t="n">
        <x:v>0.04580705110738863</x:v>
      </x:c>
      <x:c r="N86" s="23" t="n">
        <x:v>0.0466047012619169</x:v>
      </x:c>
      <x:c r="O86" s="23" t="n">
        <x:v>0.08769836232651342</x:v>
      </x:c>
      <x:c r="P86" s="23" t="n">
        <x:v>0.15206841657666548</x:v>
      </x:c>
      <x:c r="Q86" s="23" t="n">
        <x:v>0.012021618248550775</x:v>
      </x:c>
      <x:c r="R86" s="23" t="n">
        <x:v>0.2518821999513926</x:v>
      </x:c>
      <x:c r="S86" s="23" t="n">
        <x:v>0.07097815571752829</x:v>
      </x:c>
      <x:c r="T86" s="23" t="n">
        <x:v>0.1419373939841204</x:v>
      </x:c>
      <x:c r="U86" s="23" t="n">
        <x:v>0.11551331872069048</x:v>
      </x:c>
      <x:c r="V86" s="23" t="n">
        <x:v>0.06782936413299093</x:v>
      </x:c>
    </x:row>
    <x:row r="87">
      <x:c r="A87" s="20" t="n">
        <x:v>46233</x:v>
      </x:c>
      <x:c r="B87" s="23" t="n">
        <x:v>0.01634807735154758</x:v>
      </x:c>
      <x:c r="C87" s="23" t="n">
        <x:v>-0.05800099485151093</x:v>
      </x:c>
      <x:c r="D87" s="23" t="n">
        <x:v>0.035580467726107484</x:v>
      </x:c>
      <x:c r="E87" s="23" t="n">
        <x:v>0.06324273032096989</x:v>
      </x:c>
      <x:c r="F87" s="23" t="n">
        <x:v>-0.09049204732418815</x:v>
      </x:c>
      <x:c r="G87" s="23" t="n">
        <x:v>0.01590031766424154</x:v>
      </x:c>
      <x:c r="H87" s="23" t="n">
        <x:v>-0.06257495528330287</x:v>
      </x:c>
      <x:c r="I87" s="23" t="n">
        <x:v>0.024808974660808253</x:v>
      </x:c>
      <x:c r="J87" s="23" t="n">
        <x:v>-0.004994193319369473</x:v>
      </x:c>
      <x:c r="K87" s="23" t="n">
        <x:v>0.13365250476490947</x:v>
      </x:c>
      <x:c r="L87" s="23" t="n">
        <x:v>-0.006077568637360987</x:v>
      </x:c>
      <x:c r="M87" s="23" t="n">
        <x:v>0.024369053926263172</x:v>
      </x:c>
      <x:c r="N87" s="23" t="n">
        <x:v>-0.019268843588361284</x:v>
      </x:c>
      <x:c r="O87" s="23" t="n">
        <x:v>-0.02866282995566638</x:v>
      </x:c>
      <x:c r="P87" s="23" t="n">
        <x:v>-0.13943914329828985</x:v>
      </x:c>
      <x:c r="Q87" s="23" t="n">
        <x:v>0.029222001806862234</x:v>
      </x:c>
      <x:c r="R87" s="23" t="n">
        <x:v>0.007285864533537266</x:v>
      </x:c>
      <x:c r="S87" s="23" t="n">
        <x:v>-0.06192356253954227</x:v>
      </x:c>
      <x:c r="T87" s="23" t="n">
        <x:v>-0.05332706687779713</x:v>
      </x:c>
      <x:c r="U87" s="23" t="n">
        <x:v>-0.09822215116115027</x:v>
      </x:c>
      <x:c r="V87" s="23" t="n">
        <x:v>-0.026527662767111975</x:v>
      </x:c>
    </x:row>
    <x:row r="88">
      <x:c r="A88" s="20" t="n">
        <x:v>46264</x:v>
      </x:c>
      <x:c r="B88" s="23" t="n">
        <x:v>-0.018226065896251545</x:v>
      </x:c>
      <x:c r="C88" s="23" t="n">
        <x:v>0.09388945392696715</x:v>
      </x:c>
      <x:c r="D88" s="23" t="n">
        <x:v>-0.013249195257555677</x:v>
      </x:c>
      <x:c r="E88" s="23" t="n">
        <x:v>0.050161112830387156</x:v>
      </x:c>
      <x:c r="F88" s="23" t="n">
        <x:v>0.07271615638532411</x:v>
      </x:c>
      <x:c r="G88" s="23" t="n">
        <x:v>-0.06439044784296927</x:v>
      </x:c>
      <x:c r="H88" s="23" t="n">
        <x:v>-0.03381830938157855</x:v>
      </x:c>
      <x:c r="I88" s="23" t="n">
        <x:v>-0.10626329793269765</x:v>
      </x:c>
      <x:c r="J88" s="23" t="n">
        <x:v>-0.05036598593733516</x:v>
      </x:c>
      <x:c r="K88" s="23" t="n">
        <x:v>0.029680278877659123</x:v>
      </x:c>
      <x:c r="L88" s="23" t="n">
        <x:v>-0.00004715375272948408</x:v>
      </x:c>
      <x:c r="M88" s="23" t="n">
        <x:v>0.05530737080122544</x:v>
      </x:c>
      <x:c r="N88" s="23" t="n">
        <x:v>0.13766005431062955</x:v>
      </x:c>
      <x:c r="O88" s="23" t="n">
        <x:v>0.07150054524939795</x:v>
      </x:c>
      <x:c r="P88" s="23" t="n">
        <x:v>0.1455465888075601</x:v>
      </x:c>
      <x:c r="Q88" s="23" t="n">
        <x:v>0.03146821076438222</x:v>
      </x:c>
      <x:c r="R88" s="23" t="n">
        <x:v>0.04582650265219557</x:v>
      </x:c>
      <x:c r="S88" s="23" t="n">
        <x:v>0.021191051164545546</x:v>
      </x:c>
      <x:c r="T88" s="23" t="n">
        <x:v>-0.04876874288080241</x:v>
      </x:c>
      <x:c r="U88" s="23" t="n">
        <x:v>0.114463377664393</x:v>
      </x:c>
      <x:c r="V88" s="23" t="n">
        <x:v>0.036282829580164155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 ht="27" customHeight="1">
      <x:c r="A1" s="3" t="str">
        <x:v>12-1 Momentum Signal &amp; Ranking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3">
      <x:c r="A3" s="17" t="str">
        <x:v>Formation Month</x:v>
      </x:c>
      <x:c r="B3" s="17" t="str">
        <x:v>AAPL</x:v>
      </x:c>
      <x:c r="C3" s="17" t="str">
        <x:v>MSFT</x:v>
      </x:c>
      <x:c r="D3" s="17" t="str">
        <x:v>NVDA</x:v>
      </x:c>
      <x:c r="E3" s="17" t="str">
        <x:v>AMZN</x:v>
      </x:c>
      <x:c r="F3" s="17" t="str">
        <x:v>META</x:v>
      </x:c>
      <x:c r="G3" s="17" t="str">
        <x:v>GOOGL</x:v>
      </x:c>
      <x:c r="H3" s="17" t="str">
        <x:v>AVGO</x:v>
      </x:c>
      <x:c r="I3" s="17" t="str">
        <x:v>JPM</x:v>
      </x:c>
      <x:c r="J3" s="17" t="str">
        <x:v>V</x:v>
      </x:c>
      <x:c r="K3" s="17" t="str">
        <x:v>COST</x:v>
      </x:c>
      <x:c r="L3" s="17" t="str">
        <x:v>WMT</x:v>
      </x:c>
      <x:c r="M3" s="17" t="str">
        <x:v>LLY</x:v>
      </x:c>
      <x:c r="N3" s="17" t="str">
        <x:v>XOM</x:v>
      </x:c>
      <x:c r="O3" s="17" t="str">
        <x:v>NFLX</x:v>
      </x:c>
      <x:c r="P3" s="17" t="str">
        <x:v>MA</x:v>
      </x:c>
      <x:c r="Q3" s="17" t="str">
        <x:v>ORCL</x:v>
      </x:c>
      <x:c r="R3" s="17" t="str">
        <x:v>HD</x:v>
      </x:c>
      <x:c r="S3" s="17" t="str">
        <x:v>PG</x:v>
      </x:c>
      <x:c r="T3" s="17" t="str">
        <x:v>JNJ</x:v>
      </x:c>
      <x:c r="U3" s="17" t="str">
        <x:v>KO</x:v>
      </x:c>
      <x:c r="V3" s="17" t="str">
        <x:v>Benchmark</x:v>
      </x:c>
    </x:row>
    <x:row r="4">
      <x:c r="A4" s="20" t="n">
        <x:f>'Return Data'!A17</x:f>
        <x:v>44104</x:v>
      </x:c>
      <x:c r="B4" s="26" t="n">
        <x:f>PRODUCT(1+'Return Data'!B5:B15)-1</x:f>
        <x:v>0.5382009166626789</x:v>
      </x:c>
      <x:c r="C4" s="26" t="n">
        <x:f>PRODUCT(1+'Return Data'!C5:C15)-1</x:f>
        <x:v>0.2340554348215167</x:v>
      </x:c>
      <x:c r="D4" s="26" t="n">
        <x:f>PRODUCT(1+'Return Data'!D5:D15)-1</x:f>
        <x:v>0.1789937651186826</x:v>
      </x:c>
      <x:c r="E4" s="26" t="n">
        <x:f>PRODUCT(1+'Return Data'!E5:E15)-1</x:f>
        <x:v>0.7765468471092805</x:v>
      </x:c>
      <x:c r="F4" s="26" t="n">
        <x:f>PRODUCT(1+'Return Data'!F5:F15)-1</x:f>
        <x:v>-0.13571974004547116</x:v>
      </x:c>
      <x:c r="G4" s="26" t="n">
        <x:f>PRODUCT(1+'Return Data'!G5:G15)-1</x:f>
        <x:v>0.18353772729794393</x:v>
      </x:c>
      <x:c r="H4" s="26" t="n">
        <x:f>PRODUCT(1+'Return Data'!H5:H15)-1</x:f>
        <x:v>0.3727816056941653</x:v>
      </x:c>
      <x:c r="I4" s="26" t="n">
        <x:f>PRODUCT(1+'Return Data'!I5:I15)-1</x:f>
        <x:v>0.763506915530114</x:v>
      </x:c>
      <x:c r="J4" s="26" t="n">
        <x:f>PRODUCT(1+'Return Data'!J5:J15)-1</x:f>
        <x:v>-0.10934681371117316</x:v>
      </x:c>
      <x:c r="K4" s="26" t="n">
        <x:f>PRODUCT(1+'Return Data'!K5:K15)-1</x:f>
        <x:v>0.2842708369805371</x:v>
      </x:c>
      <x:c r="L4" s="26" t="n">
        <x:f>PRODUCT(1+'Return Data'!L5:L15)-1</x:f>
        <x:v>0.10562529590146941</x:v>
      </x:c>
      <x:c r="M4" s="26" t="n">
        <x:f>PRODUCT(1+'Return Data'!M5:M15)-1</x:f>
        <x:v>0.4607394453691236</x:v>
      </x:c>
      <x:c r="N4" s="26" t="n">
        <x:f>PRODUCT(1+'Return Data'!N5:N15)-1</x:f>
        <x:v>0.7137128565627755</x:v>
      </x:c>
      <x:c r="O4" s="26" t="n">
        <x:f>PRODUCT(1+'Return Data'!O5:O15)-1</x:f>
        <x:v>0.26355703445087353</x:v>
      </x:c>
      <x:c r="P4" s="26" t="n">
        <x:f>PRODUCT(1+'Return Data'!P5:P15)-1</x:f>
        <x:v>0.0866787531241544</x:v>
      </x:c>
      <x:c r="Q4" s="26" t="n">
        <x:f>PRODUCT(1+'Return Data'!Q5:Q15)-1</x:f>
        <x:v>0.2031440887555056</x:v>
      </x:c>
      <x:c r="R4" s="26" t="n">
        <x:f>PRODUCT(1+'Return Data'!R5:R15)-1</x:f>
        <x:v>0.5973345903377534</x:v>
      </x:c>
      <x:c r="S4" s="26" t="n">
        <x:f>PRODUCT(1+'Return Data'!S5:S15)-1</x:f>
        <x:v>0.4205489965103615</x:v>
      </x:c>
      <x:c r="T4" s="26" t="n">
        <x:f>PRODUCT(1+'Return Data'!T5:T15)-1</x:f>
        <x:v>-0.1157612013252779</x:v>
      </x:c>
      <x:c r="U4" s="26" t="n">
        <x:f>PRODUCT(1+'Return Data'!U5:U15)-1</x:f>
        <x:v>0.9181103380427482</x:v>
      </x:c>
    </x:row>
    <x:row r="5">
      <x:c r="A5" s="20" t="n">
        <x:f>'Return Data'!A18</x:f>
        <x:v>44134</x:v>
      </x:c>
      <x:c r="B5" s="26" t="n">
        <x:f>PRODUCT(1+'Return Data'!B6:B16)-1</x:f>
        <x:v>0.5175320479683139</x:v>
      </x:c>
      <x:c r="C5" s="26" t="n">
        <x:f>PRODUCT(1+'Return Data'!C6:C16)-1</x:f>
        <x:v>0.25582585954620973</x:v>
      </x:c>
      <x:c r="D5" s="26" t="n">
        <x:f>PRODUCT(1+'Return Data'!D6:D16)-1</x:f>
        <x:v>0.06282961852427627</x:v>
      </x:c>
      <x:c r="E5" s="26" t="n">
        <x:f>PRODUCT(1+'Return Data'!E6:E16)-1</x:f>
        <x:v>0.7230340182814257</x:v>
      </x:c>
      <x:c r="F5" s="26" t="n">
        <x:f>PRODUCT(1+'Return Data'!F6:F16)-1</x:f>
        <x:v>-0.006872330140934357</x:v>
      </x:c>
      <x:c r="G5" s="26" t="n">
        <x:f>PRODUCT(1+'Return Data'!G6:G16)-1</x:f>
        <x:v>0.07879514862211634</x:v>
      </x:c>
      <x:c r="H5" s="26" t="n">
        <x:f>PRODUCT(1+'Return Data'!H6:H16)-1</x:f>
        <x:v>0.21041389222477314</x:v>
      </x:c>
      <x:c r="I5" s="26" t="n">
        <x:f>PRODUCT(1+'Return Data'!I6:I16)-1</x:f>
        <x:v>0.38450341454711157</x:v>
      </x:c>
      <x:c r="J5" s="26" t="n">
        <x:f>PRODUCT(1+'Return Data'!J6:J16)-1</x:f>
        <x:v>-0.17390277349775562</x:v>
      </x:c>
      <x:c r="K5" s="26" t="n">
        <x:f>PRODUCT(1+'Return Data'!K6:K16)-1</x:f>
        <x:v>0.17442540347822288</x:v>
      </x:c>
      <x:c r="L5" s="26" t="n">
        <x:f>PRODUCT(1+'Return Data'!L6:L16)-1</x:f>
        <x:v>0.009264650144069853</x:v>
      </x:c>
      <x:c r="M5" s="26" t="n">
        <x:f>PRODUCT(1+'Return Data'!M6:M16)-1</x:f>
        <x:v>0.3500350058366477</x:v>
      </x:c>
      <x:c r="N5" s="26" t="n">
        <x:f>PRODUCT(1+'Return Data'!N6:N16)-1</x:f>
        <x:v>0.744871186357791</x:v>
      </x:c>
      <x:c r="O5" s="26" t="n">
        <x:f>PRODUCT(1+'Return Data'!O6:O16)-1</x:f>
        <x:v>0.20716994892039353</x:v>
      </x:c>
      <x:c r="P5" s="26" t="n">
        <x:f>PRODUCT(1+'Return Data'!P6:P16)-1</x:f>
        <x:v>0.005232274710554874</x:v>
      </x:c>
      <x:c r="Q5" s="26" t="n">
        <x:f>PRODUCT(1+'Return Data'!Q6:Q16)-1</x:f>
        <x:v>0.11358308657959748</x:v>
      </x:c>
      <x:c r="R5" s="26" t="n">
        <x:f>PRODUCT(1+'Return Data'!R6:R16)-1</x:f>
        <x:v>0.30544386882951513</x:v>
      </x:c>
      <x:c r="S5" s="26" t="n">
        <x:f>PRODUCT(1+'Return Data'!S6:S16)-1</x:f>
        <x:v>0.37583649930946716</x:v>
      </x:c>
      <x:c r="T5" s="26" t="n">
        <x:f>PRODUCT(1+'Return Data'!T6:T16)-1</x:f>
        <x:v>-0.0001268180595874746</x:v>
      </x:c>
      <x:c r="U5" s="26" t="n">
        <x:f>PRODUCT(1+'Return Data'!U6:U16)-1</x:f>
        <x:v>0.7296650661744724</x:v>
      </x:c>
    </x:row>
    <x:row r="6">
      <x:c r="A6" s="20" t="n">
        <x:f>'Return Data'!A19</x:f>
        <x:v>44165</x:v>
      </x:c>
      <x:c r="B6" s="26" t="n">
        <x:f>PRODUCT(1+'Return Data'!B7:B17)-1</x:f>
        <x:v>0.5670664355010231</x:v>
      </x:c>
      <x:c r="C6" s="26" t="n">
        <x:f>PRODUCT(1+'Return Data'!C7:C17)-1</x:f>
        <x:v>0.29303892859147496</x:v>
      </x:c>
      <x:c r="D6" s="26" t="n">
        <x:f>PRODUCT(1+'Return Data'!D7:D17)-1</x:f>
        <x:v>0.15805240461245162</x:v>
      </x:c>
      <x:c r="E6" s="26" t="n">
        <x:f>PRODUCT(1+'Return Data'!E7:E17)-1</x:f>
        <x:v>0.672834180530512</x:v>
      </x:c>
      <x:c r="F6" s="26" t="n">
        <x:f>PRODUCT(1+'Return Data'!F7:F17)-1</x:f>
        <x:v>0.02155377000722325</x:v>
      </x:c>
      <x:c r="G6" s="26" t="n">
        <x:f>PRODUCT(1+'Return Data'!G7:G17)-1</x:f>
        <x:v>0.22176532135220395</x:v>
      </x:c>
      <x:c r="H6" s="26" t="n">
        <x:f>PRODUCT(1+'Return Data'!H7:H17)-1</x:f>
        <x:v>0.316764165131749</x:v>
      </x:c>
      <x:c r="I6" s="26" t="n">
        <x:f>PRODUCT(1+'Return Data'!I7:I17)-1</x:f>
        <x:v>0.5569040715209779</x:v>
      </x:c>
      <x:c r="J6" s="26" t="n">
        <x:f>PRODUCT(1+'Return Data'!J7:J17)-1</x:f>
        <x:v>-0.18588661585804112</x:v>
      </x:c>
      <x:c r="K6" s="26" t="n">
        <x:f>PRODUCT(1+'Return Data'!K7:K17)-1</x:f>
        <x:v>0.3557205348643415</x:v>
      </x:c>
      <x:c r="L6" s="26" t="n">
        <x:f>PRODUCT(1+'Return Data'!L7:L17)-1</x:f>
        <x:v>-0.0783244790971116</x:v>
      </x:c>
      <x:c r="M6" s="26" t="n">
        <x:f>PRODUCT(1+'Return Data'!M7:M17)-1</x:f>
        <x:v>0.2391147318920397</x:v>
      </x:c>
      <x:c r="N6" s="26" t="n">
        <x:f>PRODUCT(1+'Return Data'!N7:N17)-1</x:f>
        <x:v>0.6710579695955543</x:v>
      </x:c>
      <x:c r="O6" s="26" t="n">
        <x:f>PRODUCT(1+'Return Data'!O7:O17)-1</x:f>
        <x:v>0.08083903175969653</x:v>
      </x:c>
      <x:c r="P6" s="26" t="n">
        <x:f>PRODUCT(1+'Return Data'!P7:P17)-1</x:f>
        <x:v>-0.010029207801421802</x:v>
      </x:c>
      <x:c r="Q6" s="26" t="n">
        <x:f>PRODUCT(1+'Return Data'!Q7:Q17)-1</x:f>
        <x:v>0.26122426542978805</x:v>
      </x:c>
      <x:c r="R6" s="26" t="n">
        <x:f>PRODUCT(1+'Return Data'!R7:R17)-1</x:f>
        <x:v>0.37140311348718225</x:v>
      </x:c>
      <x:c r="S6" s="26" t="n">
        <x:f>PRODUCT(1+'Return Data'!S7:S17)-1</x:f>
        <x:v>0.43542213052143675</x:v>
      </x:c>
      <x:c r="T6" s="26" t="n">
        <x:f>PRODUCT(1+'Return Data'!T7:T17)-1</x:f>
        <x:v>-0.00569606878162221</x:v>
      </x:c>
      <x:c r="U6" s="26" t="n">
        <x:f>PRODUCT(1+'Return Data'!U7:U17)-1</x:f>
        <x:v>0.4326697649229483</x:v>
      </x:c>
    </x:row>
    <x:row r="7">
      <x:c r="A7" s="20" t="n">
        <x:f>'Return Data'!A20</x:f>
        <x:v>44195</x:v>
      </x:c>
      <x:c r="B7" s="26" t="n">
        <x:f>PRODUCT(1+'Return Data'!B8:B18)-1</x:f>
        <x:v>0.6606484025151484</x:v>
      </x:c>
      <x:c r="C7" s="26" t="n">
        <x:f>PRODUCT(1+'Return Data'!C8:C18)-1</x:f>
        <x:v>0.27951222755413574</x:v>
      </x:c>
      <x:c r="D7" s="26" t="n">
        <x:f>PRODUCT(1+'Return Data'!D8:D18)-1</x:f>
        <x:v>0.07775800328052074</x:v>
      </x:c>
      <x:c r="E7" s="26" t="n">
        <x:f>PRODUCT(1+'Return Data'!E8:E18)-1</x:f>
        <x:v>0.7925890432082847</x:v>
      </x:c>
      <x:c r="F7" s="26" t="n">
        <x:f>PRODUCT(1+'Return Data'!F8:F18)-1</x:f>
        <x:v>0.41431618283784744</x:v>
      </x:c>
      <x:c r="G7" s="26" t="n">
        <x:f>PRODUCT(1+'Return Data'!G8:G18)-1</x:f>
        <x:v>0.24006403257612718</x:v>
      </x:c>
      <x:c r="H7" s="26" t="n">
        <x:f>PRODUCT(1+'Return Data'!H8:H18)-1</x:f>
        <x:v>0.4780095348908644</x:v>
      </x:c>
      <x:c r="I7" s="26" t="n">
        <x:f>PRODUCT(1+'Return Data'!I8:I18)-1</x:f>
        <x:v>0.47636047714134655</x:v>
      </x:c>
      <x:c r="J7" s="26" t="n">
        <x:f>PRODUCT(1+'Return Data'!J8:J18)-1</x:f>
        <x:v>-0.15233597908848096</x:v>
      </x:c>
      <x:c r="K7" s="26" t="n">
        <x:f>PRODUCT(1+'Return Data'!K8:K18)-1</x:f>
        <x:v>0.43714648564314484</x:v>
      </x:c>
      <x:c r="L7" s="26" t="n">
        <x:f>PRODUCT(1+'Return Data'!L8:L18)-1</x:f>
        <x:v>-0.051215311879506564</x:v>
      </x:c>
      <x:c r="M7" s="26" t="n">
        <x:f>PRODUCT(1+'Return Data'!M8:M18)-1</x:f>
        <x:v>0.2874528860192771</x:v>
      </x:c>
      <x:c r="N7" s="26" t="n">
        <x:f>PRODUCT(1+'Return Data'!N8:N18)-1</x:f>
        <x:v>0.6031373067048502</x:v>
      </x:c>
      <x:c r="O7" s="26" t="n">
        <x:f>PRODUCT(1+'Return Data'!O8:O18)-1</x:f>
        <x:v>0.289812676009664</x:v>
      </x:c>
      <x:c r="P7" s="26" t="n">
        <x:f>PRODUCT(1+'Return Data'!P8:P18)-1</x:f>
        <x:v>-0.043814277483182895</x:v>
      </x:c>
      <x:c r="Q7" s="26" t="n">
        <x:f>PRODUCT(1+'Return Data'!Q8:Q18)-1</x:f>
        <x:v>0.10336071813651126</x:v>
      </x:c>
      <x:c r="R7" s="26" t="n">
        <x:f>PRODUCT(1+'Return Data'!R8:R18)-1</x:f>
        <x:v>0.3270210930850175</x:v>
      </x:c>
      <x:c r="S7" s="26" t="n">
        <x:f>PRODUCT(1+'Return Data'!S8:S18)-1</x:f>
        <x:v>0.46831558962288033</x:v>
      </x:c>
      <x:c r="T7" s="26" t="n">
        <x:f>PRODUCT(1+'Return Data'!T8:T18)-1</x:f>
        <x:v>0.05484584221501865</x:v>
      </x:c>
      <x:c r="U7" s="26" t="n">
        <x:f>PRODUCT(1+'Return Data'!U8:U18)-1</x:f>
        <x:v>0.4809308147274207</x:v>
      </x:c>
    </x:row>
    <x:row r="8">
      <x:c r="A8" s="20" t="n">
        <x:f>'Return Data'!A21</x:f>
        <x:v>44226</x:v>
      </x:c>
      <x:c r="B8" s="26" t="n">
        <x:f>PRODUCT(1+'Return Data'!B9:B19)-1</x:f>
        <x:v>0.5872290355079626</x:v>
      </x:c>
      <x:c r="C8" s="26" t="n">
        <x:f>PRODUCT(1+'Return Data'!C9:C19)-1</x:f>
        <x:v>0.2814288130743485</x:v>
      </x:c>
      <x:c r="D8" s="26" t="n">
        <x:f>PRODUCT(1+'Return Data'!D9:D19)-1</x:f>
        <x:v>0.11376426088353675</x:v>
      </x:c>
      <x:c r="E8" s="26" t="n">
        <x:f>PRODUCT(1+'Return Data'!E9:E19)-1</x:f>
        <x:v>0.7823045219569873</x:v>
      </x:c>
      <x:c r="F8" s="26" t="n">
        <x:f>PRODUCT(1+'Return Data'!F9:F19)-1</x:f>
        <x:v>0.35702144756163734</x:v>
      </x:c>
      <x:c r="G8" s="26" t="n">
        <x:f>PRODUCT(1+'Return Data'!G9:G19)-1</x:f>
        <x:v>0.42784293346555957</x:v>
      </x:c>
      <x:c r="H8" s="26" t="n">
        <x:f>PRODUCT(1+'Return Data'!H9:H19)-1</x:f>
        <x:v>0.38321135610046975</x:v>
      </x:c>
      <x:c r="I8" s="26" t="n">
        <x:f>PRODUCT(1+'Return Data'!I9:I19)-1</x:f>
        <x:v>0.568006444702859</x:v>
      </x:c>
      <x:c r="J8" s="26" t="n">
        <x:f>PRODUCT(1+'Return Data'!J9:J19)-1</x:f>
        <x:v>-0.19311355664732777</x:v>
      </x:c>
      <x:c r="K8" s="26" t="n">
        <x:f>PRODUCT(1+'Return Data'!K9:K19)-1</x:f>
        <x:v>0.46545905833625656</x:v>
      </x:c>
      <x:c r="L8" s="26" t="n">
        <x:f>PRODUCT(1+'Return Data'!L9:L19)-1</x:f>
        <x:v>0.110347029439684</x:v>
      </x:c>
      <x:c r="M8" s="26" t="n">
        <x:f>PRODUCT(1+'Return Data'!M9:M19)-1</x:f>
        <x:v>0.4833240544982744</x:v>
      </x:c>
      <x:c r="N8" s="26" t="n">
        <x:f>PRODUCT(1+'Return Data'!N9:N19)-1</x:f>
        <x:v>0.5549328939309095</x:v>
      </x:c>
      <x:c r="O8" s="26" t="n">
        <x:f>PRODUCT(1+'Return Data'!O9:O19)-1</x:f>
        <x:v>0.44501427694658724</x:v>
      </x:c>
      <x:c r="P8" s="26" t="n">
        <x:f>PRODUCT(1+'Return Data'!P9:P19)-1</x:f>
        <x:v>-0.07170024823560572</x:v>
      </x:c>
      <x:c r="Q8" s="26" t="n">
        <x:f>PRODUCT(1+'Return Data'!Q9:Q19)-1</x:f>
        <x:v>0.2744983523099447</x:v>
      </x:c>
      <x:c r="R8" s="26" t="n">
        <x:f>PRODUCT(1+'Return Data'!R9:R19)-1</x:f>
        <x:v>0.5286894031847955</x:v>
      </x:c>
      <x:c r="S8" s="26" t="n">
        <x:f>PRODUCT(1+'Return Data'!S9:S19)-1</x:f>
        <x:v>0.6269045745184276</x:v>
      </x:c>
      <x:c r="T8" s="26" t="n">
        <x:f>PRODUCT(1+'Return Data'!T9:T19)-1</x:f>
        <x:v>0.25425011034798417</x:v>
      </x:c>
      <x:c r="U8" s="26" t="n">
        <x:f>PRODUCT(1+'Return Data'!U9:U19)-1</x:f>
        <x:v>0.6567022230630322</x:v>
      </x:c>
    </x:row>
    <x:row r="9">
      <x:c r="A9" s="20" t="n">
        <x:f>'Return Data'!A22</x:f>
        <x:v>44255</x:v>
      </x:c>
      <x:c r="B9" s="26" t="n">
        <x:f>PRODUCT(1+'Return Data'!B10:B20)-1</x:f>
        <x:v>0.4330108023477277</x:v>
      </x:c>
      <x:c r="C9" s="26" t="n">
        <x:f>PRODUCT(1+'Return Data'!C10:C20)-1</x:f>
        <x:v>0.2590221515658233</x:v>
      </x:c>
      <x:c r="D9" s="26" t="n">
        <x:f>PRODUCT(1+'Return Data'!D10:D20)-1</x:f>
        <x:v>0.16107825371072093</x:v>
      </x:c>
      <x:c r="E9" s="26" t="n">
        <x:f>PRODUCT(1+'Return Data'!E10:E20)-1</x:f>
        <x:v>0.763007616821155</x:v>
      </x:c>
      <x:c r="F9" s="26" t="n">
        <x:f>PRODUCT(1+'Return Data'!F10:F20)-1</x:f>
        <x:v>0.3970103004173593</x:v>
      </x:c>
      <x:c r="G9" s="26" t="n">
        <x:f>PRODUCT(1+'Return Data'!G10:G20)-1</x:f>
        <x:v>0.20664557498565306</x:v>
      </x:c>
      <x:c r="H9" s="26" t="n">
        <x:f>PRODUCT(1+'Return Data'!H10:H20)-1</x:f>
        <x:v>0.33847358683785833</x:v>
      </x:c>
      <x:c r="I9" s="26" t="n">
        <x:f>PRODUCT(1+'Return Data'!I10:I20)-1</x:f>
        <x:v>0.34777782823427894</x:v>
      </x:c>
      <x:c r="J9" s="26" t="n">
        <x:f>PRODUCT(1+'Return Data'!J10:J20)-1</x:f>
        <x:v>-0.18485815997623722</x:v>
      </x:c>
      <x:c r="K9" s="26" t="n">
        <x:f>PRODUCT(1+'Return Data'!K10:K20)-1</x:f>
        <x:v>0.4531708321658403</x:v>
      </x:c>
      <x:c r="L9" s="26" t="n">
        <x:f>PRODUCT(1+'Return Data'!L10:L20)-1</x:f>
        <x:v>0.07871156105288968</x:v>
      </x:c>
      <x:c r="M9" s="26" t="n">
        <x:f>PRODUCT(1+'Return Data'!M10:M20)-1</x:f>
        <x:v>0.29204988997477543</x:v>
      </x:c>
      <x:c r="N9" s="26" t="n">
        <x:f>PRODUCT(1+'Return Data'!N10:N20)-1</x:f>
        <x:v>0.4331490823520947</x:v>
      </x:c>
      <x:c r="O9" s="26" t="n">
        <x:f>PRODUCT(1+'Return Data'!O10:O20)-1</x:f>
        <x:v>0.08858679656363111</x:v>
      </x:c>
      <x:c r="P9" s="26" t="n">
        <x:f>PRODUCT(1+'Return Data'!P10:P20)-1</x:f>
        <x:v>-0.17121563727636124</x:v>
      </x:c>
      <x:c r="Q9" s="26" t="n">
        <x:f>PRODUCT(1+'Return Data'!Q10:Q20)-1</x:f>
        <x:v>0.20048188295316627</x:v>
      </x:c>
      <x:c r="R9" s="26" t="n">
        <x:f>PRODUCT(1+'Return Data'!R10:R20)-1</x:f>
        <x:v>0.12207168106962518</x:v>
      </x:c>
      <x:c r="S9" s="26" t="n">
        <x:f>PRODUCT(1+'Return Data'!S10:S20)-1</x:f>
        <x:v>0.5713411749260162</x:v>
      </x:c>
      <x:c r="T9" s="26" t="n">
        <x:f>PRODUCT(1+'Return Data'!T10:T20)-1</x:f>
        <x:v>0.08125179371315694</x:v>
      </x:c>
      <x:c r="U9" s="26" t="n">
        <x:f>PRODUCT(1+'Return Data'!U10:U20)-1</x:f>
        <x:v>0.5654776745046295</x:v>
      </x:c>
    </x:row>
    <x:row r="10">
      <x:c r="A10" s="20" t="n">
        <x:f>'Return Data'!A23</x:f>
        <x:v>44285</x:v>
      </x:c>
      <x:c r="B10" s="26" t="n">
        <x:f>PRODUCT(1+'Return Data'!B11:B21)-1</x:f>
        <x:v>0.1924002783958767</x:v>
      </x:c>
      <x:c r="C10" s="26" t="n">
        <x:f>PRODUCT(1+'Return Data'!C11:C21)-1</x:f>
        <x:v>0.18476827078946867</x:v>
      </x:c>
      <x:c r="D10" s="26" t="n">
        <x:f>PRODUCT(1+'Return Data'!D11:D21)-1</x:f>
        <x:v>0.06563504550506072</x:v>
      </x:c>
      <x:c r="E10" s="26" t="n">
        <x:f>PRODUCT(1+'Return Data'!E11:E21)-1</x:f>
        <x:v>0.5685834343107583</x:v>
      </x:c>
      <x:c r="F10" s="26" t="n">
        <x:f>PRODUCT(1+'Return Data'!F11:F21)-1</x:f>
        <x:v>0.3348435890841719</x:v>
      </x:c>
      <x:c r="G10" s="26" t="n">
        <x:f>PRODUCT(1+'Return Data'!G11:G21)-1</x:f>
        <x:v>0.1124339318769505</x:v>
      </x:c>
      <x:c r="H10" s="26" t="n">
        <x:f>PRODUCT(1+'Return Data'!H11:H21)-1</x:f>
        <x:v>0.15054946404240477</x:v>
      </x:c>
      <x:c r="I10" s="26" t="n">
        <x:f>PRODUCT(1+'Return Data'!I11:I21)-1</x:f>
        <x:v>0.1423403746393388</x:v>
      </x:c>
      <x:c r="J10" s="26" t="n">
        <x:f>PRODUCT(1+'Return Data'!J11:J21)-1</x:f>
        <x:v>-0.31268859492895706</x:v>
      </x:c>
      <x:c r="K10" s="26" t="n">
        <x:f>PRODUCT(1+'Return Data'!K11:K21)-1</x:f>
        <x:v>0.21523788842153313</x:v>
      </x:c>
      <x:c r="L10" s="26" t="n">
        <x:f>PRODUCT(1+'Return Data'!L11:L21)-1</x:f>
        <x:v>0.10121514611337923</x:v>
      </x:c>
      <x:c r="M10" s="26" t="n">
        <x:f>PRODUCT(1+'Return Data'!M11:M21)-1</x:f>
        <x:v>0.19021761313873164</x:v>
      </x:c>
      <x:c r="N10" s="26" t="n">
        <x:f>PRODUCT(1+'Return Data'!N11:N21)-1</x:f>
        <x:v>0.26699132560506156</x:v>
      </x:c>
      <x:c r="O10" s="26" t="n">
        <x:f>PRODUCT(1+'Return Data'!O11:O21)-1</x:f>
        <x:v>-0.0888049661572331</x:v>
      </x:c>
      <x:c r="P10" s="26" t="n">
        <x:f>PRODUCT(1+'Return Data'!P11:P21)-1</x:f>
        <x:v>-0.1989575122427173</x:v>
      </x:c>
      <x:c r="Q10" s="26" t="n">
        <x:f>PRODUCT(1+'Return Data'!Q11:Q21)-1</x:f>
        <x:v>0.11660868170939898</x:v>
      </x:c>
      <x:c r="R10" s="26" t="n">
        <x:f>PRODUCT(1+'Return Data'!R11:R21)-1</x:f>
        <x:v>-0.05037547355127481</x:v>
      </x:c>
      <x:c r="S10" s="26" t="n">
        <x:f>PRODUCT(1+'Return Data'!S11:S21)-1</x:f>
        <x:v>0.35428782872206366</x:v>
      </x:c>
      <x:c r="T10" s="26" t="n">
        <x:f>PRODUCT(1+'Return Data'!T11:T21)-1</x:f>
        <x:v>0.05786373067972139</x:v>
      </x:c>
      <x:c r="U10" s="26" t="n">
        <x:f>PRODUCT(1+'Return Data'!U11:U21)-1</x:f>
        <x:v>0.3231676832818402</x:v>
      </x:c>
    </x:row>
    <x:row r="11">
      <x:c r="A11" s="20" t="n">
        <x:f>'Return Data'!A24</x:f>
        <x:v>44316</x:v>
      </x:c>
      <x:c r="B11" s="26" t="n">
        <x:f>PRODUCT(1+'Return Data'!B12:B22)-1</x:f>
        <x:v>0.1942137607752794</x:v>
      </x:c>
      <x:c r="C11" s="26" t="n">
        <x:f>PRODUCT(1+'Return Data'!C12:C22)-1</x:f>
        <x:v>0.04848078082608098</x:v>
      </x:c>
      <x:c r="D11" s="26" t="n">
        <x:f>PRODUCT(1+'Return Data'!D12:D22)-1</x:f>
        <x:v>0.04269116727969546</x:v>
      </x:c>
      <x:c r="E11" s="26" t="n">
        <x:f>PRODUCT(1+'Return Data'!E12:E22)-1</x:f>
        <x:v>0.2520798173565295</x:v>
      </x:c>
      <x:c r="F11" s="26" t="n">
        <x:f>PRODUCT(1+'Return Data'!F12:F22)-1</x:f>
        <x:v>0.18478946954884967</x:v>
      </x:c>
      <x:c r="G11" s="26" t="n">
        <x:f>PRODUCT(1+'Return Data'!G12:G22)-1</x:f>
        <x:v>-0.15857860853982808</x:v>
      </x:c>
      <x:c r="H11" s="26" t="n">
        <x:f>PRODUCT(1+'Return Data'!H12:H22)-1</x:f>
        <x:v>0.08040395926241861</x:v>
      </x:c>
      <x:c r="I11" s="26" t="n">
        <x:f>PRODUCT(1+'Return Data'!I12:I22)-1</x:f>
        <x:v>-0.060738260133327504</x:v>
      </x:c>
      <x:c r="J11" s="26" t="n">
        <x:f>PRODUCT(1+'Return Data'!J12:J22)-1</x:f>
        <x:v>-0.313237961715191</x:v>
      </x:c>
      <x:c r="K11" s="26" t="n">
        <x:f>PRODUCT(1+'Return Data'!K12:K22)-1</x:f>
        <x:v>-0.012016853231671898</x:v>
      </x:c>
      <x:c r="L11" s="26" t="n">
        <x:f>PRODUCT(1+'Return Data'!L12:L22)-1</x:f>
        <x:v>0.08282075988045379</x:v>
      </x:c>
      <x:c r="M11" s="26" t="n">
        <x:f>PRODUCT(1+'Return Data'!M12:M22)-1</x:f>
        <x:v>-0.047513425596271475</x:v>
      </x:c>
      <x:c r="N11" s="26" t="n">
        <x:f>PRODUCT(1+'Return Data'!N12:N22)-1</x:f>
        <x:v>0.056759601888784594</x:v>
      </x:c>
      <x:c r="O11" s="26" t="n">
        <x:f>PRODUCT(1+'Return Data'!O12:O22)-1</x:f>
        <x:v>-0.15337108757894724</x:v>
      </x:c>
      <x:c r="P11" s="26" t="n">
        <x:f>PRODUCT(1+'Return Data'!P12:P22)-1</x:f>
        <x:v>-0.26770403938174436</x:v>
      </x:c>
      <x:c r="Q11" s="26" t="n">
        <x:f>PRODUCT(1+'Return Data'!Q12:Q22)-1</x:f>
        <x:v>0.03395201953796789</x:v>
      </x:c>
      <x:c r="R11" s="26" t="n">
        <x:f>PRODUCT(1+'Return Data'!R12:R22)-1</x:f>
        <x:v>-0.25865571235836093</x:v>
      </x:c>
      <x:c r="S11" s="26" t="n">
        <x:f>PRODUCT(1+'Return Data'!S12:S22)-1</x:f>
        <x:v>0.14329021655424468</x:v>
      </x:c>
      <x:c r="T11" s="26" t="n">
        <x:f>PRODUCT(1+'Return Data'!T12:T22)-1</x:f>
        <x:v>-0.04509082823659272</x:v>
      </x:c>
      <x:c r="U11" s="26" t="n">
        <x:f>PRODUCT(1+'Return Data'!U12:U22)-1</x:f>
        <x:v>0.055682806178426913</x:v>
      </x:c>
    </x:row>
    <x:row r="12">
      <x:c r="A12" s="20" t="n">
        <x:f>'Return Data'!A25</x:f>
        <x:v>44346</x:v>
      </x:c>
      <x:c r="B12" s="26" t="n">
        <x:f>PRODUCT(1+'Return Data'!B13:B23)-1</x:f>
        <x:v>0.14156645203205565</x:v>
      </x:c>
      <x:c r="C12" s="26" t="n">
        <x:f>PRODUCT(1+'Return Data'!C13:C23)-1</x:f>
        <x:v>0.023312764878903103</x:v>
      </x:c>
      <x:c r="D12" s="26" t="n">
        <x:f>PRODUCT(1+'Return Data'!D13:D23)-1</x:f>
        <x:v>-0.03195197609682077</x:v>
      </x:c>
      <x:c r="E12" s="26" t="n">
        <x:f>PRODUCT(1+'Return Data'!E13:E23)-1</x:f>
        <x:v>0.1794930218896471</x:v>
      </x:c>
      <x:c r="F12" s="26" t="n">
        <x:f>PRODUCT(1+'Return Data'!F13:F23)-1</x:f>
        <x:v>0.3435037699219492</x:v>
      </x:c>
      <x:c r="G12" s="26" t="n">
        <x:f>PRODUCT(1+'Return Data'!G13:G23)-1</x:f>
        <x:v>-0.20778491706711466</x:v>
      </x:c>
      <x:c r="H12" s="26" t="n">
        <x:f>PRODUCT(1+'Return Data'!H13:H23)-1</x:f>
        <x:v>0.08161191711615823</x:v>
      </x:c>
      <x:c r="I12" s="26" t="n">
        <x:f>PRODUCT(1+'Return Data'!I13:I23)-1</x:f>
        <x:v>-0.08086801938818955</x:v>
      </x:c>
      <x:c r="J12" s="26" t="n">
        <x:f>PRODUCT(1+'Return Data'!J13:J23)-1</x:f>
        <x:v>-0.36297708876784485</x:v>
      </x:c>
      <x:c r="K12" s="26" t="n">
        <x:f>PRODUCT(1+'Return Data'!K13:K23)-1</x:f>
        <x:v>0.008936174593002555</x:v>
      </x:c>
      <x:c r="L12" s="26" t="n">
        <x:f>PRODUCT(1+'Return Data'!L13:L23)-1</x:f>
        <x:v>0.09136200448318355</x:v>
      </x:c>
      <x:c r="M12" s="26" t="n">
        <x:f>PRODUCT(1+'Return Data'!M13:M23)-1</x:f>
        <x:v>-0.005231261290788103</x:v>
      </x:c>
      <x:c r="N12" s="26" t="n">
        <x:f>PRODUCT(1+'Return Data'!N13:N23)-1</x:f>
        <x:v>0.23838471881683732</x:v>
      </x:c>
      <x:c r="O12" s="26" t="n">
        <x:f>PRODUCT(1+'Return Data'!O13:O23)-1</x:f>
        <x:v>-0.1102074604577723</x:v>
      </x:c>
      <x:c r="P12" s="26" t="n">
        <x:f>PRODUCT(1+'Return Data'!P13:P23)-1</x:f>
        <x:v>-0.14017345479484988</x:v>
      </x:c>
      <x:c r="Q12" s="26" t="n">
        <x:f>PRODUCT(1+'Return Data'!Q13:Q23)-1</x:f>
        <x:v>-0.048129925003996266</x:v>
      </x:c>
      <x:c r="R12" s="26" t="n">
        <x:f>PRODUCT(1+'Return Data'!R13:R23)-1</x:f>
        <x:v>-0.21628977935723281</x:v>
      </x:c>
      <x:c r="S12" s="26" t="n">
        <x:f>PRODUCT(1+'Return Data'!S13:S23)-1</x:f>
        <x:v>0.11617058791368184</x:v>
      </x:c>
      <x:c r="T12" s="26" t="n">
        <x:f>PRODUCT(1+'Return Data'!T13:T23)-1</x:f>
        <x:v>-0.17729728525025945</x:v>
      </x:c>
      <x:c r="U12" s="26" t="n">
        <x:f>PRODUCT(1+'Return Data'!U13:U23)-1</x:f>
        <x:v>0.05541544739494042</x:v>
      </x:c>
    </x:row>
    <x:row r="13">
      <x:c r="A13" s="20" t="n">
        <x:f>'Return Data'!A26</x:f>
        <x:v>44377</x:v>
      </x:c>
      <x:c r="B13" s="26" t="n">
        <x:f>PRODUCT(1+'Return Data'!B14:B24)-1</x:f>
        <x:v>0.10008467941586274</x:v>
      </x:c>
      <x:c r="C13" s="26" t="n">
        <x:f>PRODUCT(1+'Return Data'!C14:C24)-1</x:f>
        <x:v>-0.15598074127630757</x:v>
      </x:c>
      <x:c r="D13" s="26" t="n">
        <x:f>PRODUCT(1+'Return Data'!D14:D24)-1</x:f>
        <x:v>-0.15765182336456085</x:v>
      </x:c>
      <x:c r="E13" s="26" t="n">
        <x:f>PRODUCT(1+'Return Data'!E14:E24)-1</x:f>
        <x:v>0.17095749972771812</x:v>
      </x:c>
      <x:c r="F13" s="26" t="n">
        <x:f>PRODUCT(1+'Return Data'!F14:F24)-1</x:f>
        <x:v>0.4876285515025849</x:v>
      </x:c>
      <x:c r="G13" s="26" t="n">
        <x:f>PRODUCT(1+'Return Data'!G14:G24)-1</x:f>
        <x:v>-0.28986420800752555</x:v>
      </x:c>
      <x:c r="H13" s="26" t="n">
        <x:f>PRODUCT(1+'Return Data'!H14:H24)-1</x:f>
        <x:v>0.1440552178400114</x:v>
      </x:c>
      <x:c r="I13" s="26" t="n">
        <x:f>PRODUCT(1+'Return Data'!I14:I24)-1</x:f>
        <x:v>-0.06868169380830424</x:v>
      </x:c>
      <x:c r="J13" s="26" t="n">
        <x:f>PRODUCT(1+'Return Data'!J14:J24)-1</x:f>
        <x:v>-0.35289048542956314</x:v>
      </x:c>
      <x:c r="K13" s="26" t="n">
        <x:f>PRODUCT(1+'Return Data'!K14:K24)-1</x:f>
        <x:v>0.029151275089763118</x:v>
      </x:c>
      <x:c r="L13" s="26" t="n">
        <x:f>PRODUCT(1+'Return Data'!L14:L24)-1</x:f>
        <x:v>0.03582849194214477</x:v>
      </x:c>
      <x:c r="M13" s="26" t="n">
        <x:f>PRODUCT(1+'Return Data'!M14:M24)-1</x:f>
        <x:v>0.03552168232548514</x:v>
      </x:c>
      <x:c r="N13" s="26" t="n">
        <x:f>PRODUCT(1+'Return Data'!N14:N24)-1</x:f>
        <x:v>0.23022646347585551</x:v>
      </x:c>
      <x:c r="O13" s="26" t="n">
        <x:f>PRODUCT(1+'Return Data'!O14:O24)-1</x:f>
        <x:v>-0.03578584703843546</x:v>
      </x:c>
      <x:c r="P13" s="26" t="n">
        <x:f>PRODUCT(1+'Return Data'!P14:P24)-1</x:f>
        <x:v>-0.0018755383500697054</x:v>
      </x:c>
      <x:c r="Q13" s="26" t="n">
        <x:f>PRODUCT(1+'Return Data'!Q14:Q24)-1</x:f>
        <x:v>-0.16305303997490395</x:v>
      </x:c>
      <x:c r="R13" s="26" t="n">
        <x:f>PRODUCT(1+'Return Data'!R14:R24)-1</x:f>
        <x:v>-0.2617554168781516</x:v>
      </x:c>
      <x:c r="S13" s="26" t="n">
        <x:f>PRODUCT(1+'Return Data'!S14:S24)-1</x:f>
        <x:v>0.15902711501241362</x:v>
      </x:c>
      <x:c r="T13" s="26" t="n">
        <x:f>PRODUCT(1+'Return Data'!T14:T24)-1</x:f>
        <x:v>-0.04769387106608791</x:v>
      </x:c>
      <x:c r="U13" s="26" t="n">
        <x:f>PRODUCT(1+'Return Data'!U14:U24)-1</x:f>
        <x:v>0.07312097617250579</x:v>
      </x:c>
    </x:row>
    <x:row r="14">
      <x:c r="A14" s="20" t="n">
        <x:f>'Return Data'!A27</x:f>
        <x:v>44407</x:v>
      </x:c>
      <x:c r="B14" s="26" t="n">
        <x:f>PRODUCT(1+'Return Data'!B15:B25)-1</x:f>
        <x:v>0.047808262158309134</x:v>
      </x:c>
      <x:c r="C14" s="26" t="n">
        <x:f>PRODUCT(1+'Return Data'!C15:C25)-1</x:f>
        <x:v>-0.16803831185318907</x:v>
      </x:c>
      <x:c r="D14" s="26" t="n">
        <x:f>PRODUCT(1+'Return Data'!D15:D25)-1</x:f>
        <x:v>-0.1721689335019555</x:v>
      </x:c>
      <x:c r="E14" s="26" t="n">
        <x:f>PRODUCT(1+'Return Data'!E15:E25)-1</x:f>
        <x:v>0.07825531225479954</x:v>
      </x:c>
      <x:c r="F14" s="26" t="n">
        <x:f>PRODUCT(1+'Return Data'!F15:F25)-1</x:f>
        <x:v>0.5751936983919312</x:v>
      </x:c>
      <x:c r="G14" s="26" t="n">
        <x:f>PRODUCT(1+'Return Data'!G15:G25)-1</x:f>
        <x:v>-0.2324289560768672</x:v>
      </x:c>
      <x:c r="H14" s="26" t="n">
        <x:f>PRODUCT(1+'Return Data'!H15:H25)-1</x:f>
        <x:v>0.010953553704069474</x:v>
      </x:c>
      <x:c r="I14" s="26" t="n">
        <x:f>PRODUCT(1+'Return Data'!I15:I25)-1</x:f>
        <x:v>-0.06842852513136854</x:v>
      </x:c>
      <x:c r="J14" s="26" t="n">
        <x:f>PRODUCT(1+'Return Data'!J15:J25)-1</x:f>
        <x:v>-0.37888065091647705</x:v>
      </x:c>
      <x:c r="K14" s="26" t="n">
        <x:f>PRODUCT(1+'Return Data'!K15:K25)-1</x:f>
        <x:v>-0.15090203213560283</x:v>
      </x:c>
      <x:c r="L14" s="26" t="n">
        <x:f>PRODUCT(1+'Return Data'!L15:L25)-1</x:f>
        <x:v>-0.041390567928489164</x:v>
      </x:c>
      <x:c r="M14" s="26" t="n">
        <x:f>PRODUCT(1+'Return Data'!M15:M25)-1</x:f>
        <x:v>0.017361534998408867</x:v>
      </x:c>
      <x:c r="N14" s="26" t="n">
        <x:f>PRODUCT(1+'Return Data'!N15:N25)-1</x:f>
        <x:v>0.014241474050787906</x:v>
      </x:c>
      <x:c r="O14" s="26" t="n">
        <x:f>PRODUCT(1+'Return Data'!O15:O25)-1</x:f>
        <x:v>-0.05410065174369327</x:v>
      </x:c>
      <x:c r="P14" s="26" t="n">
        <x:f>PRODUCT(1+'Return Data'!P15:P25)-1</x:f>
        <x:v>0.1584036901948429</x:v>
      </x:c>
      <x:c r="Q14" s="26" t="n">
        <x:f>PRODUCT(1+'Return Data'!Q15:Q25)-1</x:f>
        <x:v>-0.0965553795751386</x:v>
      </x:c>
      <x:c r="R14" s="26" t="n">
        <x:f>PRODUCT(1+'Return Data'!R15:R25)-1</x:f>
        <x:v>-0.29218370674126903</x:v>
      </x:c>
      <x:c r="S14" s="26" t="n">
        <x:f>PRODUCT(1+'Return Data'!S15:S25)-1</x:f>
        <x:v>0.13684663455610768</x:v>
      </x:c>
      <x:c r="T14" s="26" t="n">
        <x:f>PRODUCT(1+'Return Data'!T15:T25)-1</x:f>
        <x:v>0.1501784132630246</x:v>
      </x:c>
      <x:c r="U14" s="26" t="n">
        <x:f>PRODUCT(1+'Return Data'!U15:U25)-1</x:f>
        <x:v>0.21084045583185707</x:v>
      </x:c>
    </x:row>
    <x:row r="15">
      <x:c r="A15" s="20" t="n">
        <x:f>'Return Data'!A28</x:f>
        <x:v>44438</x:v>
      </x:c>
      <x:c r="B15" s="26" t="n">
        <x:f>PRODUCT(1+'Return Data'!B16:B26)-1</x:f>
        <x:v>0.006531908557544153</x:v>
      </x:c>
      <x:c r="C15" s="26" t="n">
        <x:f>PRODUCT(1+'Return Data'!C16:C26)-1</x:f>
        <x:v>-0.28979844115578723</x:v>
      </x:c>
      <x:c r="D15" s="26" t="n">
        <x:f>PRODUCT(1+'Return Data'!D16:D26)-1</x:f>
        <x:v>-0.14599279868267356</x:v>
      </x:c>
      <x:c r="E15" s="26" t="n">
        <x:f>PRODUCT(1+'Return Data'!E16:E26)-1</x:f>
        <x:v>0.08181972810631799</x:v>
      </x:c>
      <x:c r="F15" s="26" t="n">
        <x:f>PRODUCT(1+'Return Data'!F16:F26)-1</x:f>
        <x:v>0.32557700185336413</x:v>
      </x:c>
      <x:c r="G15" s="26" t="n">
        <x:f>PRODUCT(1+'Return Data'!G16:G26)-1</x:f>
        <x:v>-0.1997098855605829</x:v>
      </x:c>
      <x:c r="H15" s="26" t="n">
        <x:f>PRODUCT(1+'Return Data'!H16:H26)-1</x:f>
        <x:v>0.008461610073168035</x:v>
      </x:c>
      <x:c r="I15" s="26" t="n">
        <x:f>PRODUCT(1+'Return Data'!I16:I26)-1</x:f>
        <x:v>-0.014597652615974566</x:v>
      </x:c>
      <x:c r="J15" s="26" t="n">
        <x:f>PRODUCT(1+'Return Data'!J16:J26)-1</x:f>
        <x:v>-0.2553849640843161</x:v>
      </x:c>
      <x:c r="K15" s="26" t="n">
        <x:f>PRODUCT(1+'Return Data'!K16:K26)-1</x:f>
        <x:v>-0.22214896526748662</x:v>
      </x:c>
      <x:c r="L15" s="26" t="n">
        <x:f>PRODUCT(1+'Return Data'!L16:L26)-1</x:f>
        <x:v>-0.03473077142366121</x:v>
      </x:c>
      <x:c r="M15" s="26" t="n">
        <x:f>PRODUCT(1+'Return Data'!M16:M26)-1</x:f>
        <x:v>-0.12433318015893335</x:v>
      </x:c>
      <x:c r="N15" s="26" t="n">
        <x:f>PRODUCT(1+'Return Data'!N16:N26)-1</x:f>
        <x:v>-0.1670857682421878</x:v>
      </x:c>
      <x:c r="O15" s="26" t="n">
        <x:f>PRODUCT(1+'Return Data'!O16:O26)-1</x:f>
        <x:v>-0.1323125369426521</x:v>
      </x:c>
      <x:c r="P15" s="26" t="n">
        <x:f>PRODUCT(1+'Return Data'!P16:P26)-1</x:f>
        <x:v>-0.03376420827587556</x:v>
      </x:c>
      <x:c r="Q15" s="26" t="n">
        <x:f>PRODUCT(1+'Return Data'!Q16:Q26)-1</x:f>
        <x:v>-0.21653236043986568</x:v>
      </x:c>
      <x:c r="R15" s="26" t="n">
        <x:f>PRODUCT(1+'Return Data'!R16:R26)-1</x:f>
        <x:v>-0.31553052864040465</x:v>
      </x:c>
      <x:c r="S15" s="26" t="n">
        <x:f>PRODUCT(1+'Return Data'!S16:S26)-1</x:f>
        <x:v>0.038353562539689356</x:v>
      </x:c>
      <x:c r="T15" s="26" t="n">
        <x:f>PRODUCT(1+'Return Data'!T16:T26)-1</x:f>
        <x:v>0.1958903073143048</x:v>
      </x:c>
      <x:c r="U15" s="26" t="n">
        <x:f>PRODUCT(1+'Return Data'!U16:U26)-1</x:f>
        <x:v>0.10755611009109733</x:v>
      </x:c>
    </x:row>
    <x:row r="16">
      <x:c r="A16" s="20" t="n">
        <x:f>'Return Data'!A29</x:f>
        <x:v>44469</x:v>
      </x:c>
      <x:c r="B16" s="26" t="n">
        <x:f>PRODUCT(1+'Return Data'!B17:B27)-1</x:f>
        <x:v>0.11315792211385212</x:v>
      </x:c>
      <x:c r="C16" s="26" t="n">
        <x:f>PRODUCT(1+'Return Data'!C17:C27)-1</x:f>
        <x:v>-0.3086846750756679</x:v>
      </x:c>
      <x:c r="D16" s="26" t="n">
        <x:f>PRODUCT(1+'Return Data'!D17:D27)-1</x:f>
        <x:v>-0.09836903044955347</x:v>
      </x:c>
      <x:c r="E16" s="26" t="n">
        <x:f>PRODUCT(1+'Return Data'!E17:E27)-1</x:f>
        <x:v>0.33530705305219777</x:v>
      </x:c>
      <x:c r="F16" s="26" t="n">
        <x:f>PRODUCT(1+'Return Data'!F17:F27)-1</x:f>
        <x:v>0.3337794467224544</x:v>
      </x:c>
      <x:c r="G16" s="26" t="n">
        <x:f>PRODUCT(1+'Return Data'!G17:G27)-1</x:f>
        <x:v>-0.17058366059860375</x:v>
      </x:c>
      <x:c r="H16" s="26" t="n">
        <x:f>PRODUCT(1+'Return Data'!H17:H27)-1</x:f>
        <x:v>0.15418553142892177</x:v>
      </x:c>
      <x:c r="I16" s="26" t="n">
        <x:f>PRODUCT(1+'Return Data'!I17:I27)-1</x:f>
        <x:v>0.2609307015946283</x:v>
      </x:c>
      <x:c r="J16" s="26" t="n">
        <x:f>PRODUCT(1+'Return Data'!J17:J27)-1</x:f>
        <x:v>-0.12811160559264356</x:v>
      </x:c>
      <x:c r="K16" s="26" t="n">
        <x:f>PRODUCT(1+'Return Data'!K17:K27)-1</x:f>
        <x:v>-0.1413033883561957</x:v>
      </x:c>
      <x:c r="L16" s="26" t="n">
        <x:f>PRODUCT(1+'Return Data'!L17:L27)-1</x:f>
        <x:v>0.14526353787644464</x:v>
      </x:c>
      <x:c r="M16" s="26" t="n">
        <x:f>PRODUCT(1+'Return Data'!M17:M27)-1</x:f>
        <x:v>-0.026502649585371962</x:v>
      </x:c>
      <x:c r="N16" s="26" t="n">
        <x:f>PRODUCT(1+'Return Data'!N17:N27)-1</x:f>
        <x:v>-0.16278921214129916</x:v>
      </x:c>
      <x:c r="O16" s="26" t="n">
        <x:f>PRODUCT(1+'Return Data'!O17:O27)-1</x:f>
        <x:v>0.12723649413734117</x:v>
      </x:c>
      <x:c r="P16" s="26" t="n">
        <x:f>PRODUCT(1+'Return Data'!P17:P27)-1</x:f>
        <x:v>0.11672048739804697</x:v>
      </x:c>
      <x:c r="Q16" s="26" t="n">
        <x:f>PRODUCT(1+'Return Data'!Q17:Q27)-1</x:f>
        <x:v>-0.16082952671447592</x:v>
      </x:c>
      <x:c r="R16" s="26" t="n">
        <x:f>PRODUCT(1+'Return Data'!R17:R27)-1</x:f>
        <x:v>-0.19866968527586049</x:v>
      </x:c>
      <x:c r="S16" s="26" t="n">
        <x:f>PRODUCT(1+'Return Data'!S17:S27)-1</x:f>
        <x:v>0.18481013608905728</x:v>
      </x:c>
      <x:c r="T16" s="26" t="n">
        <x:f>PRODUCT(1+'Return Data'!T17:T27)-1</x:f>
        <x:v>0.5396615490400241</x:v>
      </x:c>
      <x:c r="U16" s="26" t="n">
        <x:f>PRODUCT(1+'Return Data'!U17:U27)-1</x:f>
        <x:v>0.32355414573360086</x:v>
      </x:c>
    </x:row>
    <x:row r="17">
      <x:c r="A17" s="20" t="n">
        <x:f>'Return Data'!A30</x:f>
        <x:v>44499</x:v>
      </x:c>
      <x:c r="B17" s="26" t="n">
        <x:f>PRODUCT(1+'Return Data'!B18:B28)-1</x:f>
        <x:v>0.14018512503973768</x:v>
      </x:c>
      <x:c r="C17" s="26" t="n">
        <x:f>PRODUCT(1+'Return Data'!C18:C28)-1</x:f>
        <x:v>-0.2893231510608344</x:v>
      </x:c>
      <x:c r="D17" s="26" t="n">
        <x:f>PRODUCT(1+'Return Data'!D18:D28)-1</x:f>
        <x:v>-0.07112348465288543</x:v>
      </x:c>
      <x:c r="E17" s="26" t="n">
        <x:f>PRODUCT(1+'Return Data'!E18:E28)-1</x:f>
        <x:v>0.44138694303397386</x:v>
      </x:c>
      <x:c r="F17" s="26" t="n">
        <x:f>PRODUCT(1+'Return Data'!F18:F28)-1</x:f>
        <x:v>0.41159075151523905</x:v>
      </x:c>
      <x:c r="G17" s="26" t="n">
        <x:f>PRODUCT(1+'Return Data'!G18:G28)-1</x:f>
        <x:v>-0.18970617141420265</x:v>
      </x:c>
      <x:c r="H17" s="26" t="n">
        <x:f>PRODUCT(1+'Return Data'!H18:H28)-1</x:f>
        <x:v>0.21275995894370792</x:v>
      </x:c>
      <x:c r="I17" s="26" t="n">
        <x:f>PRODUCT(1+'Return Data'!I18:I28)-1</x:f>
        <x:v>0.2170415852302512</x:v>
      </x:c>
      <x:c r="J17" s="26" t="n">
        <x:f>PRODUCT(1+'Return Data'!J18:J28)-1</x:f>
        <x:v>-0.017361217430149622</x:v>
      </x:c>
      <x:c r="K17" s="26" t="n">
        <x:f>PRODUCT(1+'Return Data'!K18:K28)-1</x:f>
        <x:v>-0.27139480619148426</x:v>
      </x:c>
      <x:c r="L17" s="26" t="n">
        <x:f>PRODUCT(1+'Return Data'!L18:L28)-1</x:f>
        <x:v>0.3271093192359684</x:v>
      </x:c>
      <x:c r="M17" s="26" t="n">
        <x:f>PRODUCT(1+'Return Data'!M18:M28)-1</x:f>
        <x:v>-0.02603175086909615</x:v>
      </x:c>
      <x:c r="N17" s="26" t="n">
        <x:f>PRODUCT(1+'Return Data'!N18:N28)-1</x:f>
        <x:v>-0.15501155197909056</x:v>
      </x:c>
      <x:c r="O17" s="26" t="n">
        <x:f>PRODUCT(1+'Return Data'!O18:O28)-1</x:f>
        <x:v>0.22011031556419414</x:v>
      </x:c>
      <x:c r="P17" s="26" t="n">
        <x:f>PRODUCT(1+'Return Data'!P18:P28)-1</x:f>
        <x:v>0.17610358638405854</x:v>
      </x:c>
      <x:c r="Q17" s="26" t="n">
        <x:f>PRODUCT(1+'Return Data'!Q18:Q28)-1</x:f>
        <x:v>-0.07148408048097044</x:v>
      </x:c>
      <x:c r="R17" s="26" t="n">
        <x:f>PRODUCT(1+'Return Data'!R18:R28)-1</x:f>
        <x:v>-0.09921514418151678</x:v>
      </x:c>
      <x:c r="S17" s="26" t="n">
        <x:f>PRODUCT(1+'Return Data'!S18:S28)-1</x:f>
        <x:v>0.14879615375851363</x:v>
      </x:c>
      <x:c r="T17" s="26" t="n">
        <x:f>PRODUCT(1+'Return Data'!T18:T28)-1</x:f>
        <x:v>0.6760906706918386</x:v>
      </x:c>
      <x:c r="U17" s="26" t="n">
        <x:f>PRODUCT(1+'Return Data'!U18:U28)-1</x:f>
        <x:v>0.65958171299457</x:v>
      </x:c>
    </x:row>
    <x:row r="18">
      <x:c r="A18" s="20" t="n">
        <x:f>'Return Data'!A31</x:f>
        <x:v>44530</x:v>
      </x:c>
      <x:c r="B18" s="26" t="n">
        <x:f>PRODUCT(1+'Return Data'!B19:B29)-1</x:f>
        <x:v>-0.0715975347742498</x:v>
      </x:c>
      <x:c r="C18" s="26" t="n">
        <x:f>PRODUCT(1+'Return Data'!C19:C29)-1</x:f>
        <x:v>-0.2999750600413048</x:v>
      </x:c>
      <x:c r="D18" s="26" t="n">
        <x:f>PRODUCT(1+'Return Data'!D19:D29)-1</x:f>
        <x:v>-0.09986309199698207</x:v>
      </x:c>
      <x:c r="E18" s="26" t="n">
        <x:f>PRODUCT(1+'Return Data'!E19:E29)-1</x:f>
        <x:v>0.5379301398013048</x:v>
      </x:c>
      <x:c r="F18" s="26" t="n">
        <x:f>PRODUCT(1+'Return Data'!F19:F29)-1</x:f>
        <x:v>0.19768825322335748</x:v>
      </x:c>
      <x:c r="G18" s="26" t="n">
        <x:f>PRODUCT(1+'Return Data'!G19:G29)-1</x:f>
        <x:v>-0.2846774324492275</x:v>
      </x:c>
      <x:c r="H18" s="26" t="n">
        <x:f>PRODUCT(1+'Return Data'!H19:H29)-1</x:f>
        <x:v>-0.04666038501999137</x:v>
      </x:c>
      <x:c r="I18" s="26" t="n">
        <x:f>PRODUCT(1+'Return Data'!I19:I29)-1</x:f>
        <x:v>0.20134764929092142</x:v>
      </x:c>
      <x:c r="J18" s="26" t="n">
        <x:f>PRODUCT(1+'Return Data'!J19:J29)-1</x:f>
        <x:v>-0.0697878067592338</x:v>
      </x:c>
      <x:c r="K18" s="26" t="n">
        <x:f>PRODUCT(1+'Return Data'!K19:K29)-1</x:f>
        <x:v>-0.3534202678680287</x:v>
      </x:c>
      <x:c r="L18" s="26" t="n">
        <x:f>PRODUCT(1+'Return Data'!L19:L29)-1</x:f>
        <x:v>0.0606429099716268</x:v>
      </x:c>
      <x:c r="M18" s="26" t="n">
        <x:f>PRODUCT(1+'Return Data'!M19:M29)-1</x:f>
        <x:v>-0.2238278134120959</x:v>
      </x:c>
      <x:c r="N18" s="26" t="n">
        <x:f>PRODUCT(1+'Return Data'!N19:N29)-1</x:f>
        <x:v>-0.3171377824625564</x:v>
      </x:c>
      <x:c r="O18" s="26" t="n">
        <x:f>PRODUCT(1+'Return Data'!O19:O29)-1</x:f>
        <x:v>-0.10536662027447863</x:v>
      </x:c>
      <x:c r="P18" s="26" t="n">
        <x:f>PRODUCT(1+'Return Data'!P19:P29)-1</x:f>
        <x:v>-0.054692003645040455</x:v>
      </x:c>
      <x:c r="Q18" s="26" t="n">
        <x:f>PRODUCT(1+'Return Data'!Q19:Q29)-1</x:f>
        <x:v>-0.2362179079545227</x:v>
      </x:c>
      <x:c r="R18" s="26" t="n">
        <x:f>PRODUCT(1+'Return Data'!R19:R29)-1</x:f>
        <x:v>-0.2021266353736978</x:v>
      </x:c>
      <x:c r="S18" s="26" t="n">
        <x:f>PRODUCT(1+'Return Data'!S19:S29)-1</x:f>
        <x:v>-0.048452715666838064</x:v>
      </x:c>
      <x:c r="T18" s="26" t="n">
        <x:f>PRODUCT(1+'Return Data'!T19:T29)-1</x:f>
        <x:v>0.21527853649821416</x:v>
      </x:c>
      <x:c r="U18" s="26" t="n">
        <x:f>PRODUCT(1+'Return Data'!U19:U29)-1</x:f>
        <x:v>0.44813950701896044</x:v>
      </x:c>
    </x:row>
    <x:row r="19">
      <x:c r="A19" s="20" t="n">
        <x:f>'Return Data'!A32</x:f>
        <x:v>44560</x:v>
      </x:c>
      <x:c r="B19" s="26" t="n">
        <x:f>PRODUCT(1+'Return Data'!B20:B30)-1</x:f>
        <x:v>-0.06866271034253568</x:v>
      </x:c>
      <x:c r="C19" s="26" t="n">
        <x:f>PRODUCT(1+'Return Data'!C20:C30)-1</x:f>
        <x:v>-0.26381103610325984</x:v>
      </x:c>
      <x:c r="D19" s="26" t="n">
        <x:f>PRODUCT(1+'Return Data'!D20:D30)-1</x:f>
        <x:v>-0.09339912088031777</x:v>
      </x:c>
      <x:c r="E19" s="26" t="n">
        <x:f>PRODUCT(1+'Return Data'!E20:E30)-1</x:f>
        <x:v>0.6085511704199493</x:v>
      </x:c>
      <x:c r="F19" s="26" t="n">
        <x:f>PRODUCT(1+'Return Data'!F20:F30)-1</x:f>
        <x:v>0.23726379592586588</x:v>
      </x:c>
      <x:c r="G19" s="26" t="n">
        <x:f>PRODUCT(1+'Return Data'!G20:G30)-1</x:f>
        <x:v>-0.36315368727270414</x:v>
      </x:c>
      <x:c r="H19" s="26" t="n">
        <x:f>PRODUCT(1+'Return Data'!H20:H30)-1</x:f>
        <x:v>-0.0803202970709711</x:v>
      </x:c>
      <x:c r="I19" s="26" t="n">
        <x:f>PRODUCT(1+'Return Data'!I20:I30)-1</x:f>
        <x:v>0.37410549617526123</x:v>
      </x:c>
      <x:c r="J19" s="26" t="n">
        <x:f>PRODUCT(1+'Return Data'!J20:J30)-1</x:f>
        <x:v>0.09425060229054494</x:v>
      </x:c>
      <x:c r="K19" s="26" t="n">
        <x:f>PRODUCT(1+'Return Data'!K20:K30)-1</x:f>
        <x:v>-0.3183231497605217</x:v>
      </x:c>
      <x:c r="L19" s="26" t="n">
        <x:f>PRODUCT(1+'Return Data'!L20:L30)-1</x:f>
        <x:v>0.045875104714593995</x:v>
      </x:c>
      <x:c r="M19" s="26" t="n">
        <x:f>PRODUCT(1+'Return Data'!M20:M30)-1</x:f>
        <x:v>-0.24183509478271392</x:v>
      </x:c>
      <x:c r="N19" s="26" t="n">
        <x:f>PRODUCT(1+'Return Data'!N20:N30)-1</x:f>
        <x:v>-0.34103809099997373</x:v>
      </x:c>
      <x:c r="O19" s="26" t="n">
        <x:f>PRODUCT(1+'Return Data'!O20:O30)-1</x:f>
        <x:v>-0.23346385014828885</x:v>
      </x:c>
      <x:c r="P19" s="26" t="n">
        <x:f>PRODUCT(1+'Return Data'!P20:P30)-1</x:f>
        <x:v>-0.03288847422296792</x:v>
      </x:c>
      <x:c r="Q19" s="26" t="n">
        <x:f>PRODUCT(1+'Return Data'!Q20:Q30)-1</x:f>
        <x:v>-0.2988666311022554</x:v>
      </x:c>
      <x:c r="R19" s="26" t="n">
        <x:f>PRODUCT(1+'Return Data'!R20:R30)-1</x:f>
        <x:v>-0.09163996609815284</x:v>
      </x:c>
      <x:c r="S19" s="26" t="n">
        <x:f>PRODUCT(1+'Return Data'!S20:S30)-1</x:f>
        <x:v>-0.017676400022129224</x:v>
      </x:c>
      <x:c r="T19" s="26" t="n">
        <x:f>PRODUCT(1+'Return Data'!T20:T30)-1</x:f>
        <x:v>0.23741897316831206</x:v>
      </x:c>
      <x:c r="U19" s="26" t="n">
        <x:f>PRODUCT(1+'Return Data'!U20:U30)-1</x:f>
        <x:v>0.565881406981465</x:v>
      </x:c>
    </x:row>
    <x:row r="20">
      <x:c r="A20" s="20" t="n">
        <x:f>'Return Data'!A33</x:f>
        <x:v>44591</x:v>
      </x:c>
      <x:c r="B20" s="26" t="n">
        <x:f>PRODUCT(1+'Return Data'!B21:B31)-1</x:f>
        <x:v>-0.012014129304719567</x:v>
      </x:c>
      <x:c r="C20" s="26" t="n">
        <x:f>PRODUCT(1+'Return Data'!C21:C31)-1</x:f>
        <x:v>-0.11956917241220821</x:v>
      </x:c>
      <x:c r="D20" s="26" t="n">
        <x:f>PRODUCT(1+'Return Data'!D21:D31)-1</x:f>
        <x:v>0.06025900412289853</x:v>
      </x:c>
      <x:c r="E20" s="26" t="n">
        <x:f>PRODUCT(1+'Return Data'!E21:E31)-1</x:f>
        <x:v>0.457349511389171</x:v>
      </x:c>
      <x:c r="F20" s="26" t="n">
        <x:f>PRODUCT(1+'Return Data'!F21:F31)-1</x:f>
        <x:v>0.3433993144730154</x:v>
      </x:c>
      <x:c r="G20" s="26" t="n">
        <x:f>PRODUCT(1+'Return Data'!G21:G31)-1</x:f>
        <x:v>-0.209377207227329</x:v>
      </x:c>
      <x:c r="H20" s="26" t="n">
        <x:f>PRODUCT(1+'Return Data'!H21:H31)-1</x:f>
        <x:v>0.05722686486794726</x:v>
      </x:c>
      <x:c r="I20" s="26" t="n">
        <x:f>PRODUCT(1+'Return Data'!I21:I31)-1</x:f>
        <x:v>0.6135666744683284</x:v>
      </x:c>
      <x:c r="J20" s="26" t="n">
        <x:f>PRODUCT(1+'Return Data'!J21:J31)-1</x:f>
        <x:v>0.20932249799875247</x:v>
      </x:c>
      <x:c r="K20" s="26" t="n">
        <x:f>PRODUCT(1+'Return Data'!K21:K31)-1</x:f>
        <x:v>-0.27779777611525747</x:v>
      </x:c>
      <x:c r="L20" s="26" t="n">
        <x:f>PRODUCT(1+'Return Data'!L21:L31)-1</x:f>
        <x:v>0.13766604410314698</x:v>
      </x:c>
      <x:c r="M20" s="26" t="n">
        <x:f>PRODUCT(1+'Return Data'!M21:M31)-1</x:f>
        <x:v>-0.09480873799703582</x:v>
      </x:c>
      <x:c r="N20" s="26" t="n">
        <x:f>PRODUCT(1+'Return Data'!N21:N31)-1</x:f>
        <x:v>-0.22390705563613333</x:v>
      </x:c>
      <x:c r="O20" s="26" t="n">
        <x:f>PRODUCT(1+'Return Data'!O21:O31)-1</x:f>
        <x:v>0.14243164125772978</x:v>
      </x:c>
      <x:c r="P20" s="26" t="n">
        <x:f>PRODUCT(1+'Return Data'!P21:P31)-1</x:f>
        <x:v>0.24473332993430041</x:v>
      </x:c>
      <x:c r="Q20" s="26" t="n">
        <x:f>PRODUCT(1+'Return Data'!Q21:Q31)-1</x:f>
        <x:v>-0.11085928052889682</x:v>
      </x:c>
      <x:c r="R20" s="26" t="n">
        <x:f>PRODUCT(1+'Return Data'!R21:R31)-1</x:f>
        <x:v>0.265855169812123</x:v>
      </x:c>
      <x:c r="S20" s="26" t="n">
        <x:f>PRODUCT(1+'Return Data'!S21:S31)-1</x:f>
        <x:v>0.23809178599566483</x:v>
      </x:c>
      <x:c r="T20" s="26" t="n">
        <x:f>PRODUCT(1+'Return Data'!T21:T31)-1</x:f>
        <x:v>0.7540660372438066</x:v>
      </x:c>
      <x:c r="U20" s="26" t="n">
        <x:f>PRODUCT(1+'Return Data'!U21:U31)-1</x:f>
        <x:v>0.9650039630933809</x:v>
      </x:c>
    </x:row>
    <x:row r="21">
      <x:c r="A21" s="20" t="n">
        <x:f>'Return Data'!A34</x:f>
        <x:v>44620</x:v>
      </x:c>
      <x:c r="B21" s="26" t="n">
        <x:f>PRODUCT(1+'Return Data'!B22:B32)-1</x:f>
        <x:v>0.09308351603531895</x:v>
      </x:c>
      <x:c r="C21" s="26" t="n">
        <x:f>PRODUCT(1+'Return Data'!C22:C32)-1</x:f>
        <x:v>-0.07509085906977508</x:v>
      </x:c>
      <x:c r="D21" s="26" t="n">
        <x:f>PRODUCT(1+'Return Data'!D22:D32)-1</x:f>
        <x:v>0.270401424509332</x:v>
      </x:c>
      <x:c r="E21" s="26" t="n">
        <x:f>PRODUCT(1+'Return Data'!E22:E32)-1</x:f>
        <x:v>0.5614908877897751</x:v>
      </x:c>
      <x:c r="F21" s="26" t="n">
        <x:f>PRODUCT(1+'Return Data'!F22:F32)-1</x:f>
        <x:v>0.3911829545144052</x:v>
      </x:c>
      <x:c r="G21" s="26" t="n">
        <x:f>PRODUCT(1+'Return Data'!G22:G32)-1</x:f>
        <x:v>-0.15151082405462402</x:v>
      </x:c>
      <x:c r="H21" s="26" t="n">
        <x:f>PRODUCT(1+'Return Data'!H22:H32)-1</x:f>
        <x:v>0.2924221952986419</x:v>
      </x:c>
      <x:c r="I21" s="26" t="n">
        <x:f>PRODUCT(1+'Return Data'!I22:I32)-1</x:f>
        <x:v>0.7759405088048699</x:v>
      </x:c>
      <x:c r="J21" s="26" t="n">
        <x:f>PRODUCT(1+'Return Data'!J22:J32)-1</x:f>
        <x:v>0.5359096979236784</x:v>
      </x:c>
      <x:c r="K21" s="26" t="n">
        <x:f>PRODUCT(1+'Return Data'!K22:K32)-1</x:f>
        <x:v>-0.05999678891482263</x:v>
      </x:c>
      <x:c r="L21" s="26" t="n">
        <x:f>PRODUCT(1+'Return Data'!L22:L32)-1</x:f>
        <x:v>0.3612204804371555</x:v>
      </x:c>
      <x:c r="M21" s="26" t="n">
        <x:f>PRODUCT(1+'Return Data'!M22:M32)-1</x:f>
        <x:v>-0.09320217713018575</x:v>
      </x:c>
      <x:c r="N21" s="26" t="n">
        <x:f>PRODUCT(1+'Return Data'!N22:N32)-1</x:f>
        <x:v>-0.19440391525242506</x:v>
      </x:c>
      <x:c r="O21" s="26" t="n">
        <x:f>PRODUCT(1+'Return Data'!O22:O32)-1</x:f>
        <x:v>0.3821715073788041</x:v>
      </x:c>
      <x:c r="P21" s="26" t="n">
        <x:f>PRODUCT(1+'Return Data'!P22:P32)-1</x:f>
        <x:v>0.18338606176490102</x:v>
      </x:c>
      <x:c r="Q21" s="26" t="n">
        <x:f>PRODUCT(1+'Return Data'!Q22:Q32)-1</x:f>
        <x:v>0.01233452385426026</x:v>
      </x:c>
      <x:c r="R21" s="26" t="n">
        <x:f>PRODUCT(1+'Return Data'!R22:R32)-1</x:f>
        <x:v>0.34094363673119266</x:v>
      </x:c>
      <x:c r="S21" s="26" t="n">
        <x:f>PRODUCT(1+'Return Data'!S22:S32)-1</x:f>
        <x:v>0.2575812713585428</x:v>
      </x:c>
      <x:c r="T21" s="26" t="n">
        <x:f>PRODUCT(1+'Return Data'!T22:T32)-1</x:f>
        <x:v>0.7263199038452228</x:v>
      </x:c>
      <x:c r="U21" s="26" t="n">
        <x:f>PRODUCT(1+'Return Data'!U22:U32)-1</x:f>
        <x:v>1.0171940052556998</x:v>
      </x:c>
    </x:row>
    <x:row r="22">
      <x:c r="A22" s="20" t="n">
        <x:f>'Return Data'!A35</x:f>
        <x:v>44650</x:v>
      </x:c>
      <x:c r="B22" s="26" t="n">
        <x:f>PRODUCT(1+'Return Data'!B23:B33)-1</x:f>
        <x:v>0.10714337654517658</x:v>
      </x:c>
      <x:c r="C22" s="26" t="n">
        <x:f>PRODUCT(1+'Return Data'!C23:C33)-1</x:f>
        <x:v>0.04248631864511032</x:v>
      </x:c>
      <x:c r="D22" s="26" t="n">
        <x:f>PRODUCT(1+'Return Data'!D23:D33)-1</x:f>
        <x:v>0.19990960263660318</x:v>
      </x:c>
      <x:c r="E22" s="26" t="n">
        <x:f>PRODUCT(1+'Return Data'!E23:E33)-1</x:f>
        <x:v>0.5427278379537284</x:v>
      </x:c>
      <x:c r="F22" s="26" t="n">
        <x:f>PRODUCT(1+'Return Data'!F23:F33)-1</x:f>
        <x:v>0.3245251901628312</x:v>
      </x:c>
      <x:c r="G22" s="26" t="n">
        <x:f>PRODUCT(1+'Return Data'!G23:G33)-1</x:f>
        <x:v>-0.12818803292690062</x:v>
      </x:c>
      <x:c r="H22" s="26" t="n">
        <x:f>PRODUCT(1+'Return Data'!H23:H33)-1</x:f>
        <x:v>0.35230450479756303</x:v>
      </x:c>
      <x:c r="I22" s="26" t="n">
        <x:f>PRODUCT(1+'Return Data'!I23:I33)-1</x:f>
        <x:v>0.9700933285668767</x:v>
      </x:c>
      <x:c r="J22" s="26" t="n">
        <x:f>PRODUCT(1+'Return Data'!J23:J33)-1</x:f>
        <x:v>0.47795199994185156</x:v>
      </x:c>
      <x:c r="K22" s="26" t="n">
        <x:f>PRODUCT(1+'Return Data'!K23:K33)-1</x:f>
        <x:v>-0.046700826055066424</x:v>
      </x:c>
      <x:c r="L22" s="26" t="n">
        <x:f>PRODUCT(1+'Return Data'!L23:L33)-1</x:f>
        <x:v>0.35421597851745434</x:v>
      </x:c>
      <x:c r="M22" s="26" t="n">
        <x:f>PRODUCT(1+'Return Data'!M23:M33)-1</x:f>
        <x:v>-0.07126699383929402</x:v>
      </x:c>
      <x:c r="N22" s="26" t="n">
        <x:f>PRODUCT(1+'Return Data'!N23:N33)-1</x:f>
        <x:v>-0.140611794515338</x:v>
      </x:c>
      <x:c r="O22" s="26" t="n">
        <x:f>PRODUCT(1+'Return Data'!O23:O33)-1</x:f>
        <x:v>0.26828395498014057</x:v>
      </x:c>
      <x:c r="P22" s="26" t="n">
        <x:f>PRODUCT(1+'Return Data'!P23:P33)-1</x:f>
        <x:v>-0.03108901842322176</x:v>
      </x:c>
      <x:c r="Q22" s="26" t="n">
        <x:f>PRODUCT(1+'Return Data'!Q23:Q33)-1</x:f>
        <x:v>-0.06151458875221949</x:v>
      </x:c>
      <x:c r="R22" s="26" t="n">
        <x:f>PRODUCT(1+'Return Data'!R23:R33)-1</x:f>
        <x:v>0.4395999773125432</x:v>
      </x:c>
      <x:c r="S22" s="26" t="n">
        <x:f>PRODUCT(1+'Return Data'!S23:S33)-1</x:f>
        <x:v>0.2578441572070247</x:v>
      </x:c>
      <x:c r="T22" s="26" t="n">
        <x:f>PRODUCT(1+'Return Data'!T23:T33)-1</x:f>
        <x:v>0.5522650327011085</x:v>
      </x:c>
      <x:c r="U22" s="26" t="n">
        <x:f>PRODUCT(1+'Return Data'!U23:U33)-1</x:f>
        <x:v>0.9033352087681172</x:v>
      </x:c>
    </x:row>
    <x:row r="23">
      <x:c r="A23" s="20" t="n">
        <x:f>'Return Data'!A36</x:f>
        <x:v>44681</x:v>
      </x:c>
      <x:c r="B23" s="26" t="n">
        <x:f>PRODUCT(1+'Return Data'!B24:B34)-1</x:f>
        <x:v>0.010076757317561968</x:v>
      </x:c>
      <x:c r="C23" s="26" t="n">
        <x:f>PRODUCT(1+'Return Data'!C24:C34)-1</x:f>
        <x:v>-0.13095962521925142</x:v>
      </x:c>
      <x:c r="D23" s="26" t="n">
        <x:f>PRODUCT(1+'Return Data'!D24:D34)-1</x:f>
        <x:v>0.12249199723893334</x:v>
      </x:c>
      <x:c r="E23" s="26" t="n">
        <x:f>PRODUCT(1+'Return Data'!E24:E34)-1</x:f>
        <x:v>0.5423829969651484</x:v>
      </x:c>
      <x:c r="F23" s="26" t="n">
        <x:f>PRODUCT(1+'Return Data'!F24:F34)-1</x:f>
        <x:v>0.09107212697673761</x:v>
      </x:c>
      <x:c r="G23" s="26" t="n">
        <x:f>PRODUCT(1+'Return Data'!G24:G34)-1</x:f>
        <x:v>-0.1596061299103788</x:v>
      </x:c>
      <x:c r="H23" s="26" t="n">
        <x:f>PRODUCT(1+'Return Data'!H24:H34)-1</x:f>
        <x:v>0.2764134294510403</x:v>
      </x:c>
      <x:c r="I23" s="26" t="n">
        <x:f>PRODUCT(1+'Return Data'!I24:I34)-1</x:f>
        <x:v>0.700979700615403</x:v>
      </x:c>
      <x:c r="J23" s="26" t="n">
        <x:f>PRODUCT(1+'Return Data'!J24:J34)-1</x:f>
        <x:v>0.6161673493986435</x:v>
      </x:c>
      <x:c r="K23" s="26" t="n">
        <x:f>PRODUCT(1+'Return Data'!K24:K34)-1</x:f>
        <x:v>-0.1412876229183837</x:v>
      </x:c>
      <x:c r="L23" s="26" t="n">
        <x:f>PRODUCT(1+'Return Data'!L24:L34)-1</x:f>
        <x:v>0.23237449301022517</x:v>
      </x:c>
      <x:c r="M23" s="26" t="n">
        <x:f>PRODUCT(1+'Return Data'!M24:M34)-1</x:f>
        <x:v>-0.23319047717926122</x:v>
      </x:c>
      <x:c r="N23" s="26" t="n">
        <x:f>PRODUCT(1+'Return Data'!N24:N34)-1</x:f>
        <x:v>-0.34252141129625013</x:v>
      </x:c>
      <x:c r="O23" s="26" t="n">
        <x:f>PRODUCT(1+'Return Data'!O24:O34)-1</x:f>
        <x:v>0.2555399790673798</x:v>
      </x:c>
      <x:c r="P23" s="26" t="n">
        <x:f>PRODUCT(1+'Return Data'!P24:P34)-1</x:f>
        <x:v>-0.12477008167888859</x:v>
      </x:c>
      <x:c r="Q23" s="26" t="n">
        <x:f>PRODUCT(1+'Return Data'!Q24:Q34)-1</x:f>
        <x:v>0.0037308136007574433</x:v>
      </x:c>
      <x:c r="R23" s="26" t="n">
        <x:f>PRODUCT(1+'Return Data'!R24:R34)-1</x:f>
        <x:v>0.1112938751688457</x:v>
      </x:c>
      <x:c r="S23" s="26" t="n">
        <x:f>PRODUCT(1+'Return Data'!S24:S34)-1</x:f>
        <x:v>0.10594152867671247</x:v>
      </x:c>
      <x:c r="T23" s="26" t="n">
        <x:f>PRODUCT(1+'Return Data'!T24:T34)-1</x:f>
        <x:v>0.3961014687904376</x:v>
      </x:c>
      <x:c r="U23" s="26" t="n">
        <x:f>PRODUCT(1+'Return Data'!U24:U34)-1</x:f>
        <x:v>0.7606112101715574</x:v>
      </x:c>
    </x:row>
    <x:row r="24">
      <x:c r="A24" s="20" t="n">
        <x:f>'Return Data'!A37</x:f>
        <x:v>44711</x:v>
      </x:c>
      <x:c r="B24" s="26" t="n">
        <x:f>PRODUCT(1+'Return Data'!B25:B35)-1</x:f>
        <x:v>0.0541071120528811</x:v>
      </x:c>
      <x:c r="C24" s="26" t="n">
        <x:f>PRODUCT(1+'Return Data'!C25:C35)-1</x:f>
        <x:v>0.1440224997770696</x:v>
      </x:c>
      <x:c r="D24" s="26" t="n">
        <x:f>PRODUCT(1+'Return Data'!D25:D35)-1</x:f>
        <x:v>0.03222919237567923</x:v>
      </x:c>
      <x:c r="E24" s="26" t="n">
        <x:f>PRODUCT(1+'Return Data'!E25:E35)-1</x:f>
        <x:v>0.7625042357924103</x:v>
      </x:c>
      <x:c r="F24" s="26" t="n">
        <x:f>PRODUCT(1+'Return Data'!F25:F35)-1</x:f>
        <x:v>0.02958036721232138</x:v>
      </x:c>
      <x:c r="G24" s="26" t="n">
        <x:f>PRODUCT(1+'Return Data'!G25:G35)-1</x:f>
        <x:v>0.012512853317706796</x:v>
      </x:c>
      <x:c r="H24" s="26" t="n">
        <x:f>PRODUCT(1+'Return Data'!H25:H35)-1</x:f>
        <x:v>0.07320514348358675</x:v>
      </x:c>
      <x:c r="I24" s="26" t="n">
        <x:f>PRODUCT(1+'Return Data'!I25:I35)-1</x:f>
        <x:v>0.633121702517147</x:v>
      </x:c>
      <x:c r="J24" s="26" t="n">
        <x:f>PRODUCT(1+'Return Data'!J25:J35)-1</x:f>
        <x:v>0.6325007405080278</x:v>
      </x:c>
      <x:c r="K24" s="26" t="n">
        <x:f>PRODUCT(1+'Return Data'!K25:K35)-1</x:f>
        <x:v>-0.2199687830956928</x:v>
      </x:c>
      <x:c r="L24" s="26" t="n">
        <x:f>PRODUCT(1+'Return Data'!L25:L35)-1</x:f>
        <x:v>0.32570592525459685</x:v>
      </x:c>
      <x:c r="M24" s="26" t="n">
        <x:f>PRODUCT(1+'Return Data'!M25:M35)-1</x:f>
        <x:v>-0.17441879022887485</x:v>
      </x:c>
      <x:c r="N24" s="26" t="n">
        <x:f>PRODUCT(1+'Return Data'!N25:N35)-1</x:f>
        <x:v>-0.34088505307253014</x:v>
      </x:c>
      <x:c r="O24" s="26" t="n">
        <x:f>PRODUCT(1+'Return Data'!O25:O35)-1</x:f>
        <x:v>0.3467155282641865</x:v>
      </x:c>
      <x:c r="P24" s="26" t="n">
        <x:f>PRODUCT(1+'Return Data'!P25:P35)-1</x:f>
        <x:v>-0.15496036169855731</x:v>
      </x:c>
      <x:c r="Q24" s="26" t="n">
        <x:f>PRODUCT(1+'Return Data'!Q25:Q35)-1</x:f>
        <x:v>0.07331474457768072</x:v>
      </x:c>
      <x:c r="R24" s="26" t="n">
        <x:f>PRODUCT(1+'Return Data'!R25:R35)-1</x:f>
        <x:v>0.2727356513266741</x:v>
      </x:c>
      <x:c r="S24" s="26" t="n">
        <x:f>PRODUCT(1+'Return Data'!S25:S35)-1</x:f>
        <x:v>-0.06428817056180625</x:v>
      </x:c>
      <x:c r="T24" s="26" t="n">
        <x:f>PRODUCT(1+'Return Data'!T25:T35)-1</x:f>
        <x:v>0.4681393156998275</x:v>
      </x:c>
      <x:c r="U24" s="26" t="n">
        <x:f>PRODUCT(1+'Return Data'!U25:U35)-1</x:f>
        <x:v>0.7014894933787201</x:v>
      </x:c>
    </x:row>
    <x:row r="25">
      <x:c r="A25" s="20" t="n">
        <x:f>'Return Data'!A38</x:f>
        <x:v>44742</x:v>
      </x:c>
      <x:c r="B25" s="26" t="n">
        <x:f>PRODUCT(1+'Return Data'!B26:B36)-1</x:f>
        <x:v>-0.00969499910928795</x:v>
      </x:c>
      <x:c r="C25" s="26" t="n">
        <x:f>PRODUCT(1+'Return Data'!C26:C36)-1</x:f>
        <x:v>0.3520402752952383</x:v>
      </x:c>
      <x:c r="D25" s="26" t="n">
        <x:f>PRODUCT(1+'Return Data'!D26:D36)-1</x:f>
        <x:v>0.07425757903488761</x:v>
      </x:c>
      <x:c r="E25" s="26" t="n">
        <x:f>PRODUCT(1+'Return Data'!E26:E36)-1</x:f>
        <x:v>0.7153131922058076</x:v>
      </x:c>
      <x:c r="F25" s="26" t="n">
        <x:f>PRODUCT(1+'Return Data'!F26:F36)-1</x:f>
        <x:v>0.08962663333010101</x:v>
      </x:c>
      <x:c r="G25" s="26" t="n">
        <x:f>PRODUCT(1+'Return Data'!G26:G36)-1</x:f>
        <x:v>0.03067448524274341</x:v>
      </x:c>
      <x:c r="H25" s="26" t="n">
        <x:f>PRODUCT(1+'Return Data'!H26:H36)-1</x:f>
        <x:v>0.11866786027328646</x:v>
      </x:c>
      <x:c r="I25" s="26" t="n">
        <x:f>PRODUCT(1+'Return Data'!I26:I36)-1</x:f>
        <x:v>0.7907579117899821</x:v>
      </x:c>
      <x:c r="J25" s="26" t="n">
        <x:f>PRODUCT(1+'Return Data'!J26:J36)-1</x:f>
        <x:v>0.4566665544879389</x:v>
      </x:c>
      <x:c r="K25" s="26" t="n">
        <x:f>PRODUCT(1+'Return Data'!K26:K36)-1</x:f>
        <x:v>-0.08666203251901294</x:v>
      </x:c>
      <x:c r="L25" s="26" t="n">
        <x:f>PRODUCT(1+'Return Data'!L26:L36)-1</x:f>
        <x:v>0.42589477969752054</x:v>
      </x:c>
      <x:c r="M25" s="26" t="n">
        <x:f>PRODUCT(1+'Return Data'!M26:M36)-1</x:f>
        <x:v>-0.23289491131034334</x:v>
      </x:c>
      <x:c r="N25" s="26" t="n">
        <x:f>PRODUCT(1+'Return Data'!N26:N36)-1</x:f>
        <x:v>-0.15598000847671512</x:v>
      </x:c>
      <x:c r="O25" s="26" t="n">
        <x:f>PRODUCT(1+'Return Data'!O26:O36)-1</x:f>
        <x:v>0.1443757339524634</x:v>
      </x:c>
      <x:c r="P25" s="26" t="n">
        <x:f>PRODUCT(1+'Return Data'!P26:P36)-1</x:f>
        <x:v>-0.11629839843030487</x:v>
      </x:c>
      <x:c r="Q25" s="26" t="n">
        <x:f>PRODUCT(1+'Return Data'!Q26:Q36)-1</x:f>
        <x:v>-0.011192416940344785</x:v>
      </x:c>
      <x:c r="R25" s="26" t="n">
        <x:f>PRODUCT(1+'Return Data'!R26:R36)-1</x:f>
        <x:v>0.36449079758532266</x:v>
      </x:c>
      <x:c r="S25" s="26" t="n">
        <x:f>PRODUCT(1+'Return Data'!S26:S36)-1</x:f>
        <x:v>-0.057210288268450094</x:v>
      </x:c>
      <x:c r="T25" s="26" t="n">
        <x:f>PRODUCT(1+'Return Data'!T26:T36)-1</x:f>
        <x:v>0.3885081679690261</x:v>
      </x:c>
      <x:c r="U25" s="26" t="n">
        <x:f>PRODUCT(1+'Return Data'!U26:U36)-1</x:f>
        <x:v>0.48860211390281183</x:v>
      </x:c>
    </x:row>
    <x:row r="26">
      <x:c r="A26" s="20" t="n">
        <x:f>'Return Data'!A39</x:f>
        <x:v>44772</x:v>
      </x:c>
      <x:c r="B26" s="26" t="n">
        <x:f>PRODUCT(1+'Return Data'!B27:B37)-1</x:f>
        <x:v>0.08074260586657434</x:v>
      </x:c>
      <x:c r="C26" s="26" t="n">
        <x:f>PRODUCT(1+'Return Data'!C27:C37)-1</x:f>
        <x:v>0.42605689733910634</x:v>
      </x:c>
      <x:c r="D26" s="26" t="n">
        <x:f>PRODUCT(1+'Return Data'!D27:D37)-1</x:f>
        <x:v>-0.017672332348487196</x:v>
      </x:c>
      <x:c r="E26" s="26" t="n">
        <x:f>PRODUCT(1+'Return Data'!E27:E37)-1</x:f>
        <x:v>0.506008949402978</x:v>
      </x:c>
      <x:c r="F26" s="26" t="n">
        <x:f>PRODUCT(1+'Return Data'!F27:F37)-1</x:f>
        <x:v>0.18584819000489716</x:v>
      </x:c>
      <x:c r="G26" s="26" t="n">
        <x:f>PRODUCT(1+'Return Data'!G27:G37)-1</x:f>
        <x:v>0.017673791241066272</x:v>
      </x:c>
      <x:c r="H26" s="26" t="n">
        <x:f>PRODUCT(1+'Return Data'!H27:H37)-1</x:f>
        <x:v>0.008801068472576556</x:v>
      </x:c>
      <x:c r="I26" s="26" t="n">
        <x:f>PRODUCT(1+'Return Data'!I27:I37)-1</x:f>
        <x:v>0.8224487781929397</x:v>
      </x:c>
      <x:c r="J26" s="26" t="n">
        <x:f>PRODUCT(1+'Return Data'!J27:J37)-1</x:f>
        <x:v>0.14002843038896762</x:v>
      </x:c>
      <x:c r="K26" s="26" t="n">
        <x:f>PRODUCT(1+'Return Data'!K27:K37)-1</x:f>
        <x:v>-0.1714810859634709</x:v>
      </x:c>
      <x:c r="L26" s="26" t="n">
        <x:f>PRODUCT(1+'Return Data'!L27:L37)-1</x:f>
        <x:v>0.2781689512979826</x:v>
      </x:c>
      <x:c r="M26" s="26" t="n">
        <x:f>PRODUCT(1+'Return Data'!M27:M37)-1</x:f>
        <x:v>-0.2007298199163473</x:v>
      </x:c>
      <x:c r="N26" s="26" t="n">
        <x:f>PRODUCT(1+'Return Data'!N27:N37)-1</x:f>
        <x:v>-0.18593849153913145</x:v>
      </x:c>
      <x:c r="O26" s="26" t="n">
        <x:f>PRODUCT(1+'Return Data'!O27:O37)-1</x:f>
        <x:v>0.07911065424347252</x:v>
      </x:c>
      <x:c r="P26" s="26" t="n">
        <x:f>PRODUCT(1+'Return Data'!P27:P37)-1</x:f>
        <x:v>-0.07145130013483658</x:v>
      </x:c>
      <x:c r="Q26" s="26" t="n">
        <x:f>PRODUCT(1+'Return Data'!Q27:Q37)-1</x:f>
        <x:v>-0.0696563236146277</x:v>
      </x:c>
      <x:c r="R26" s="26" t="n">
        <x:f>PRODUCT(1+'Return Data'!R27:R37)-1</x:f>
        <x:v>0.15681402705380676</x:v>
      </x:c>
      <x:c r="S26" s="26" t="n">
        <x:f>PRODUCT(1+'Return Data'!S27:S37)-1</x:f>
        <x:v>-0.04822965280741254</x:v>
      </x:c>
      <x:c r="T26" s="26" t="n">
        <x:f>PRODUCT(1+'Return Data'!T27:T37)-1</x:f>
        <x:v>0.23834082084470176</x:v>
      </x:c>
      <x:c r="U26" s="26" t="n">
        <x:f>PRODUCT(1+'Return Data'!U27:U37)-1</x:f>
        <x:v>0.3190152196757847</x:v>
      </x:c>
    </x:row>
    <x:row r="27">
      <x:c r="A27" s="20" t="n">
        <x:f>'Return Data'!A40</x:f>
        <x:v>44803</x:v>
      </x:c>
      <x:c r="B27" s="26" t="n">
        <x:f>PRODUCT(1+'Return Data'!B28:B38)-1</x:f>
        <x:v>-0.013390981585266859</x:v>
      </x:c>
      <x:c r="C27" s="26" t="n">
        <x:f>PRODUCT(1+'Return Data'!C28:C38)-1</x:f>
        <x:v>0.4188385782448645</x:v>
      </x:c>
      <x:c r="D27" s="26" t="n">
        <x:f>PRODUCT(1+'Return Data'!D28:D38)-1</x:f>
        <x:v>0.037805777645879335</x:v>
      </x:c>
      <x:c r="E27" s="26" t="n">
        <x:f>PRODUCT(1+'Return Data'!E28:E38)-1</x:f>
        <x:v>0.2607436227080906</x:v>
      </x:c>
      <x:c r="F27" s="26" t="n">
        <x:f>PRODUCT(1+'Return Data'!F28:F38)-1</x:f>
        <x:v>0.25683465614272394</x:v>
      </x:c>
      <x:c r="G27" s="26" t="n">
        <x:f>PRODUCT(1+'Return Data'!G28:G38)-1</x:f>
        <x:v>-0.04979313124292206</x:v>
      </x:c>
      <x:c r="H27" s="26" t="n">
        <x:f>PRODUCT(1+'Return Data'!H28:H38)-1</x:f>
        <x:v>-0.050728905480390885</x:v>
      </x:c>
      <x:c r="I27" s="26" t="n">
        <x:f>PRODUCT(1+'Return Data'!I28:I38)-1</x:f>
        <x:v>0.5366596889187358</x:v>
      </x:c>
      <x:c r="J27" s="26" t="n">
        <x:f>PRODUCT(1+'Return Data'!J28:J38)-1</x:f>
        <x:v>0.09158358417279655</x:v>
      </x:c>
      <x:c r="K27" s="26" t="n">
        <x:f>PRODUCT(1+'Return Data'!K28:K38)-1</x:f>
        <x:v>-0.32490399513390555</x:v>
      </x:c>
      <x:c r="L27" s="26" t="n">
        <x:f>PRODUCT(1+'Return Data'!L28:L38)-1</x:f>
        <x:v>0.25451058006285887</x:v>
      </x:c>
      <x:c r="M27" s="26" t="n">
        <x:f>PRODUCT(1+'Return Data'!M28:M38)-1</x:f>
        <x:v>-0.17421306012116378</x:v>
      </x:c>
      <x:c r="N27" s="26" t="n">
        <x:f>PRODUCT(1+'Return Data'!N28:N38)-1</x:f>
        <x:v>-0.16680887733167293</x:v>
      </x:c>
      <x:c r="O27" s="26" t="n">
        <x:f>PRODUCT(1+'Return Data'!O28:O38)-1</x:f>
        <x:v>-0.12246360007495005</x:v>
      </x:c>
      <x:c r="P27" s="26" t="n">
        <x:f>PRODUCT(1+'Return Data'!P28:P38)-1</x:f>
        <x:v>-0.25211394667025866</x:v>
      </x:c>
      <x:c r="Q27" s="26" t="n">
        <x:f>PRODUCT(1+'Return Data'!Q28:Q38)-1</x:f>
        <x:v>-0.018946326450640094</x:v>
      </x:c>
      <x:c r="R27" s="26" t="n">
        <x:f>PRODUCT(1+'Return Data'!R28:R38)-1</x:f>
        <x:v>0.1645844523826836</x:v>
      </x:c>
      <x:c r="S27" s="26" t="n">
        <x:f>PRODUCT(1+'Return Data'!S28:S38)-1</x:f>
        <x:v>-0.16975102504603024</x:v>
      </x:c>
      <x:c r="T27" s="26" t="n">
        <x:f>PRODUCT(1+'Return Data'!T28:T38)-1</x:f>
        <x:v>-0.13694336859536138</x:v>
      </x:c>
      <x:c r="U27" s="26" t="n">
        <x:f>PRODUCT(1+'Return Data'!U28:U38)-1</x:f>
        <x:v>0.07942506457935106</x:v>
      </x:c>
    </x:row>
    <x:row r="28">
      <x:c r="A28" s="20" t="n">
        <x:f>'Return Data'!A41</x:f>
        <x:v>44834</x:v>
      </x:c>
      <x:c r="B28" s="26" t="n">
        <x:f>PRODUCT(1+'Return Data'!B29:B39)-1</x:f>
        <x:v>0.004049307569491178</x:v>
      </x:c>
      <x:c r="C28" s="26" t="n">
        <x:f>PRODUCT(1+'Return Data'!C29:C39)-1</x:f>
        <x:v>0.42382117533686103</x:v>
      </x:c>
      <x:c r="D28" s="26" t="n">
        <x:f>PRODUCT(1+'Return Data'!D29:D39)-1</x:f>
        <x:v>0.05242705550736182</x:v>
      </x:c>
      <x:c r="E28" s="26" t="n">
        <x:f>PRODUCT(1+'Return Data'!E29:E39)-1</x:f>
        <x:v>0.09015352446781555</x:v>
      </x:c>
      <x:c r="F28" s="26" t="n">
        <x:f>PRODUCT(1+'Return Data'!F29:F39)-1</x:f>
        <x:v>0.23154312950295264</x:v>
      </x:c>
      <x:c r="G28" s="26" t="n">
        <x:f>PRODUCT(1+'Return Data'!G29:G39)-1</x:f>
        <x:v>0.08424149292438954</x:v>
      </x:c>
      <x:c r="H28" s="26" t="n">
        <x:f>PRODUCT(1+'Return Data'!H29:H39)-1</x:f>
        <x:v>0.07571570951500695</x:v>
      </x:c>
      <x:c r="I28" s="26" t="n">
        <x:f>PRODUCT(1+'Return Data'!I29:I39)-1</x:f>
        <x:v>0.5812264397217315</x:v>
      </x:c>
      <x:c r="J28" s="26" t="n">
        <x:f>PRODUCT(1+'Return Data'!J29:J39)-1</x:f>
        <x:v>0.09625051865580181</x:v>
      </x:c>
      <x:c r="K28" s="26" t="n">
        <x:f>PRODUCT(1+'Return Data'!K29:K39)-1</x:f>
        <x:v>-0.12947134886605605</x:v>
      </x:c>
      <x:c r="L28" s="26" t="n">
        <x:f>PRODUCT(1+'Return Data'!L29:L39)-1</x:f>
        <x:v>0.3251141984644843</x:v>
      </x:c>
      <x:c r="M28" s="26" t="n">
        <x:f>PRODUCT(1+'Return Data'!M29:M39)-1</x:f>
        <x:v>-0.09608915898425885</x:v>
      </x:c>
      <x:c r="N28" s="26" t="n">
        <x:f>PRODUCT(1+'Return Data'!N29:N39)-1</x:f>
        <x:v>-0.16364076846532327</x:v>
      </x:c>
      <x:c r="O28" s="26" t="n">
        <x:f>PRODUCT(1+'Return Data'!O29:O39)-1</x:f>
        <x:v>-0.16013519829363188</x:v>
      </x:c>
      <x:c r="P28" s="26" t="n">
        <x:f>PRODUCT(1+'Return Data'!P29:P39)-1</x:f>
        <x:v>-0.22344196823058626</x:v>
      </x:c>
      <x:c r="Q28" s="26" t="n">
        <x:f>PRODUCT(1+'Return Data'!Q29:Q39)-1</x:f>
        <x:v>0.07221253661392524</x:v>
      </x:c>
      <x:c r="R28" s="26" t="n">
        <x:f>PRODUCT(1+'Return Data'!R29:R39)-1</x:f>
        <x:v>0.2625848261886521</x:v>
      </x:c>
      <x:c r="S28" s="26" t="n">
        <x:f>PRODUCT(1+'Return Data'!S29:S39)-1</x:f>
        <x:v>-0.15166990458002194</x:v>
      </x:c>
      <x:c r="T28" s="26" t="n">
        <x:f>PRODUCT(1+'Return Data'!T29:T39)-1</x:f>
        <x:v>-0.10116520991173283</x:v>
      </x:c>
      <x:c r="U28" s="26" t="n">
        <x:f>PRODUCT(1+'Return Data'!U29:U39)-1</x:f>
        <x:v>0.118557487996513</x:v>
      </x:c>
    </x:row>
    <x:row r="29">
      <x:c r="A29" s="20" t="n">
        <x:f>'Return Data'!A42</x:f>
        <x:v>44864</x:v>
      </x:c>
      <x:c r="B29" s="26" t="n">
        <x:f>PRODUCT(1+'Return Data'!B30:B40)-1</x:f>
        <x:v>0.20624144517127263</x:v>
      </x:c>
      <x:c r="C29" s="26" t="n">
        <x:f>PRODUCT(1+'Return Data'!C30:C40)-1</x:f>
        <x:v>0.5023017031100274</x:v>
      </x:c>
      <x:c r="D29" s="26" t="n">
        <x:f>PRODUCT(1+'Return Data'!D30:D40)-1</x:f>
        <x:v>0.21781759467176998</x:v>
      </x:c>
      <x:c r="E29" s="26" t="n">
        <x:f>PRODUCT(1+'Return Data'!E30:E40)-1</x:f>
        <x:v>0.17801774165266737</x:v>
      </x:c>
      <x:c r="F29" s="26" t="n">
        <x:f>PRODUCT(1+'Return Data'!F30:F40)-1</x:f>
        <x:v>0.177314429408177</x:v>
      </x:c>
      <x:c r="G29" s="26" t="n">
        <x:f>PRODUCT(1+'Return Data'!G30:G40)-1</x:f>
        <x:v>0.2132590855088421</x:v>
      </x:c>
      <x:c r="H29" s="26" t="n">
        <x:f>PRODUCT(1+'Return Data'!H30:H40)-1</x:f>
        <x:v>0.2763447471609928</x:v>
      </x:c>
      <x:c r="I29" s="26" t="n">
        <x:f>PRODUCT(1+'Return Data'!I30:I40)-1</x:f>
        <x:v>0.6712305699752437</x:v>
      </x:c>
      <x:c r="J29" s="26" t="n">
        <x:f>PRODUCT(1+'Return Data'!J30:J40)-1</x:f>
        <x:v>0.26372213226138386</x:v>
      </x:c>
      <x:c r="K29" s="26" t="n">
        <x:f>PRODUCT(1+'Return Data'!K30:K40)-1</x:f>
        <x:v>-0.02372149957403824</x:v>
      </x:c>
      <x:c r="L29" s="26" t="n">
        <x:f>PRODUCT(1+'Return Data'!L30:L40)-1</x:f>
        <x:v>0.6185916601185912</x:v>
      </x:c>
      <x:c r="M29" s="26" t="n">
        <x:f>PRODUCT(1+'Return Data'!M30:M40)-1</x:f>
        <x:v>0.21594016399444693</x:v>
      </x:c>
      <x:c r="N29" s="26" t="n">
        <x:f>PRODUCT(1+'Return Data'!N30:N40)-1</x:f>
        <x:v>0.22191011695646345</x:v>
      </x:c>
      <x:c r="O29" s="26" t="n">
        <x:f>PRODUCT(1+'Return Data'!O30:O40)-1</x:f>
        <x:v>0.0066495851956271945</x:v>
      </x:c>
      <x:c r="P29" s="26" t="n">
        <x:f>PRODUCT(1+'Return Data'!P30:P40)-1</x:f>
        <x:v>-0.06809851258751565</x:v>
      </x:c>
      <x:c r="Q29" s="26" t="n">
        <x:f>PRODUCT(1+'Return Data'!Q30:Q40)-1</x:f>
        <x:v>0.6514272032889403</x:v>
      </x:c>
      <x:c r="R29" s="26" t="n">
        <x:f>PRODUCT(1+'Return Data'!R30:R40)-1</x:f>
        <x:v>0.7684884379185861</x:v>
      </x:c>
      <x:c r="S29" s="26" t="n">
        <x:f>PRODUCT(1+'Return Data'!S30:S40)-1</x:f>
        <x:v>0.04912567243918087</x:v>
      </x:c>
      <x:c r="T29" s="26" t="n">
        <x:f>PRODUCT(1+'Return Data'!T30:T40)-1</x:f>
        <x:v>0.20458457932978313</x:v>
      </x:c>
      <x:c r="U29" s="26" t="n">
        <x:f>PRODUCT(1+'Return Data'!U30:U40)-1</x:f>
        <x:v>0.2758155216104299</x:v>
      </x:c>
    </x:row>
    <x:row r="30">
      <x:c r="A30" s="20" t="n">
        <x:f>'Return Data'!A43</x:f>
        <x:v>44895</x:v>
      </x:c>
      <x:c r="B30" s="26" t="n">
        <x:f>PRODUCT(1+'Return Data'!B31:B41)-1</x:f>
        <x:v>0.12372066793765035</x:v>
      </x:c>
      <x:c r="C30" s="26" t="n">
        <x:f>PRODUCT(1+'Return Data'!C31:C41)-1</x:f>
        <x:v>0.4532346354157961</x:v>
      </x:c>
      <x:c r="D30" s="26" t="n">
        <x:f>PRODUCT(1+'Return Data'!D31:D41)-1</x:f>
        <x:v>-0.02736149712795566</x:v>
      </x:c>
      <x:c r="E30" s="26" t="n">
        <x:f>PRODUCT(1+'Return Data'!E31:E41)-1</x:f>
        <x:v>-0.02613156844813025</x:v>
      </x:c>
      <x:c r="F30" s="26" t="n">
        <x:f>PRODUCT(1+'Return Data'!F31:F41)-1</x:f>
        <x:v>0.04672220870060295</x:v>
      </x:c>
      <x:c r="G30" s="26" t="n">
        <x:f>PRODUCT(1+'Return Data'!G31:G41)-1</x:f>
        <x:v>0.12186493358487827</x:v>
      </x:c>
      <x:c r="H30" s="26" t="n">
        <x:f>PRODUCT(1+'Return Data'!H31:H41)-1</x:f>
        <x:v>0.032906983142374946</x:v>
      </x:c>
      <x:c r="I30" s="26" t="n">
        <x:f>PRODUCT(1+'Return Data'!I31:I41)-1</x:f>
        <x:v>0.30595636829402806</x:v>
      </x:c>
      <x:c r="J30" s="26" t="n">
        <x:f>PRODUCT(1+'Return Data'!J31:J41)-1</x:f>
        <x:v>0.08801407875245548</x:v>
      </x:c>
      <x:c r="K30" s="26" t="n">
        <x:f>PRODUCT(1+'Return Data'!K31:K41)-1</x:f>
        <x:v>-0.2535254060105181</x:v>
      </x:c>
      <x:c r="L30" s="26" t="n">
        <x:f>PRODUCT(1+'Return Data'!L31:L41)-1</x:f>
        <x:v>0.2928555734554943</x:v>
      </x:c>
      <x:c r="M30" s="26" t="n">
        <x:f>PRODUCT(1+'Return Data'!M31:M41)-1</x:f>
        <x:v>-0.002965004313405517</x:v>
      </x:c>
      <x:c r="N30" s="26" t="n">
        <x:f>PRODUCT(1+'Return Data'!N31:N41)-1</x:f>
        <x:v>-0.12670982718077195</x:v>
      </x:c>
      <x:c r="O30" s="26" t="n">
        <x:f>PRODUCT(1+'Return Data'!O31:O41)-1</x:f>
        <x:v>-0.14502735171691017</x:v>
      </x:c>
      <x:c r="P30" s="26" t="n">
        <x:f>PRODUCT(1+'Return Data'!P31:P41)-1</x:f>
        <x:v>-0.1139981352410121</x:v>
      </x:c>
      <x:c r="Q30" s="26" t="n">
        <x:f>PRODUCT(1+'Return Data'!Q31:Q41)-1</x:f>
        <x:v>0.3310432414880453</x:v>
      </x:c>
      <x:c r="R30" s="26" t="n">
        <x:f>PRODUCT(1+'Return Data'!R31:R41)-1</x:f>
        <x:v>0.26004499281447035</x:v>
      </x:c>
      <x:c r="S30" s="26" t="n">
        <x:f>PRODUCT(1+'Return Data'!S31:S41)-1</x:f>
        <x:v>-0.06837860837796317</x:v>
      </x:c>
      <x:c r="T30" s="26" t="n">
        <x:f>PRODUCT(1+'Return Data'!T31:T41)-1</x:f>
        <x:v>-0.07018467268191442</x:v>
      </x:c>
      <x:c r="U30" s="26" t="n">
        <x:f>PRODUCT(1+'Return Data'!U31:U41)-1</x:f>
        <x:v>-0.09500428868840571</x:v>
      </x:c>
    </x:row>
    <x:row r="31">
      <x:c r="A31" s="20" t="n">
        <x:f>'Return Data'!A44</x:f>
        <x:v>44925</x:v>
      </x:c>
      <x:c r="B31" s="26" t="n">
        <x:f>PRODUCT(1+'Return Data'!B32:B42)-1</x:f>
        <x:v>0.06645520948262229</x:v>
      </x:c>
      <x:c r="C31" s="26" t="n">
        <x:f>PRODUCT(1+'Return Data'!C32:C42)-1</x:f>
        <x:v>0.3726592381459568</x:v>
      </x:c>
      <x:c r="D31" s="26" t="n">
        <x:f>PRODUCT(1+'Return Data'!D32:D42)-1</x:f>
        <x:v>-0.05406140944389559</x:v>
      </x:c>
      <x:c r="E31" s="26" t="n">
        <x:f>PRODUCT(1+'Return Data'!E32:E42)-1</x:f>
        <x:v>-0.00697500496035286</x:v>
      </x:c>
      <x:c r="F31" s="26" t="n">
        <x:f>PRODUCT(1+'Return Data'!F32:F42)-1</x:f>
        <x:v>0.0821979511116322</x:v>
      </x:c>
      <x:c r="G31" s="26" t="n">
        <x:f>PRODUCT(1+'Return Data'!G32:G42)-1</x:f>
        <x:v>-0.026601233221493437</x:v>
      </x:c>
      <x:c r="H31" s="26" t="n">
        <x:f>PRODUCT(1+'Return Data'!H32:H42)-1</x:f>
        <x:v>-0.142594914783855</x:v>
      </x:c>
      <x:c r="I31" s="26" t="n">
        <x:f>PRODUCT(1+'Return Data'!I32:I42)-1</x:f>
        <x:v>0.2832604129024232</x:v>
      </x:c>
      <x:c r="J31" s="26" t="n">
        <x:f>PRODUCT(1+'Return Data'!J32:J42)-1</x:f>
        <x:v>-0.01304689604047804</x:v>
      </x:c>
      <x:c r="K31" s="26" t="n">
        <x:f>PRODUCT(1+'Return Data'!K32:K42)-1</x:f>
        <x:v>-0.31940987205756743</x:v>
      </x:c>
      <x:c r="L31" s="26" t="n">
        <x:f>PRODUCT(1+'Return Data'!L32:L42)-1</x:f>
        <x:v>0.26245616133046457</x:v>
      </x:c>
      <x:c r="M31" s="26" t="n">
        <x:f>PRODUCT(1+'Return Data'!M32:M42)-1</x:f>
        <x:v>-0.10515856834144477</x:v>
      </x:c>
      <x:c r="N31" s="26" t="n">
        <x:f>PRODUCT(1+'Return Data'!N32:N42)-1</x:f>
        <x:v>-0.2014620554358263</x:v>
      </x:c>
      <x:c r="O31" s="26" t="n">
        <x:f>PRODUCT(1+'Return Data'!O32:O42)-1</x:f>
        <x:v>-0.23130443405502554</x:v>
      </x:c>
      <x:c r="P31" s="26" t="n">
        <x:f>PRODUCT(1+'Return Data'!P32:P42)-1</x:f>
        <x:v>-0.179064846664719</x:v>
      </x:c>
      <x:c r="Q31" s="26" t="n">
        <x:f>PRODUCT(1+'Return Data'!Q32:Q42)-1</x:f>
        <x:v>0.11896372281154322</x:v>
      </x:c>
      <x:c r="R31" s="26" t="n">
        <x:f>PRODUCT(1+'Return Data'!R32:R42)-1</x:f>
        <x:v>0.10147259918284335</x:v>
      </x:c>
      <x:c r="S31" s="26" t="n">
        <x:f>PRODUCT(1+'Return Data'!S32:S42)-1</x:f>
        <x:v>-0.2131031076316422</x:v>
      </x:c>
      <x:c r="T31" s="26" t="n">
        <x:f>PRODUCT(1+'Return Data'!T32:T42)-1</x:f>
        <x:v>-0.11268971371738101</x:v>
      </x:c>
      <x:c r="U31" s="26" t="n">
        <x:f>PRODUCT(1+'Return Data'!U32:U42)-1</x:f>
        <x:v>-0.16375504688494658</x:v>
      </x:c>
    </x:row>
    <x:row r="32">
      <x:c r="A32" s="20" t="n">
        <x:f>'Return Data'!A45</x:f>
        <x:v>44956</x:v>
      </x:c>
      <x:c r="B32" s="26" t="n">
        <x:f>PRODUCT(1+'Return Data'!B33:B43)-1</x:f>
        <x:v>-0.046489674741471365</x:v>
      </x:c>
      <x:c r="C32" s="26" t="n">
        <x:f>PRODUCT(1+'Return Data'!C33:C43)-1</x:f>
        <x:v>0.12657083788146406</x:v>
      </x:c>
      <x:c r="D32" s="26" t="n">
        <x:f>PRODUCT(1+'Return Data'!D33:D43)-1</x:f>
        <x:v>-0.21228234440626537</x:v>
      </x:c>
      <x:c r="E32" s="26" t="n">
        <x:f>PRODUCT(1+'Return Data'!E33:E43)-1</x:f>
        <x:v>0.07023963502145869</x:v>
      </x:c>
      <x:c r="F32" s="26" t="n">
        <x:f>PRODUCT(1+'Return Data'!F33:F43)-1</x:f>
        <x:v>-0.029216020675753462</x:v>
      </x:c>
      <x:c r="G32" s="26" t="n">
        <x:f>PRODUCT(1+'Return Data'!G33:G43)-1</x:f>
        <x:v>-0.14804204617663308</x:v>
      </x:c>
      <x:c r="H32" s="26" t="n">
        <x:f>PRODUCT(1+'Return Data'!H33:H43)-1</x:f>
        <x:v>-0.25650203568154606</x:v>
      </x:c>
      <x:c r="I32" s="26" t="n">
        <x:f>PRODUCT(1+'Return Data'!I33:I43)-1</x:f>
        <x:v>0.06339896508108134</x:v>
      </x:c>
      <x:c r="J32" s="26" t="n">
        <x:f>PRODUCT(1+'Return Data'!J33:J43)-1</x:f>
        <x:v>-0.14016906793262784</x:v>
      </x:c>
      <x:c r="K32" s="26" t="n">
        <x:f>PRODUCT(1+'Return Data'!K33:K43)-1</x:f>
        <x:v>-0.3377244896032011</x:v>
      </x:c>
      <x:c r="L32" s="26" t="n">
        <x:f>PRODUCT(1+'Return Data'!L33:L43)-1</x:f>
        <x:v>-0.0008584395873756367</x:v>
      </x:c>
      <x:c r="M32" s="26" t="n">
        <x:f>PRODUCT(1+'Return Data'!M33:M43)-1</x:f>
        <x:v>-0.018567000145992663</x:v>
      </x:c>
      <x:c r="N32" s="26" t="n">
        <x:f>PRODUCT(1+'Return Data'!N33:N43)-1</x:f>
        <x:v>-0.26791798262394917</x:v>
      </x:c>
      <x:c r="O32" s="26" t="n">
        <x:f>PRODUCT(1+'Return Data'!O33:O43)-1</x:f>
        <x:v>-0.25861277269782035</x:v>
      </x:c>
      <x:c r="P32" s="26" t="n">
        <x:f>PRODUCT(1+'Return Data'!P33:P43)-1</x:f>
        <x:v>-0.11407576435367561</x:v>
      </x:c>
      <x:c r="Q32" s="26" t="n">
        <x:f>PRODUCT(1+'Return Data'!Q33:Q43)-1</x:f>
        <x:v>-0.021727392845196647</x:v>
      </x:c>
      <x:c r="R32" s="26" t="n">
        <x:f>PRODUCT(1+'Return Data'!R33:R43)-1</x:f>
        <x:v>-0.08413411345329491</x:v>
      </x:c>
      <x:c r="S32" s="26" t="n">
        <x:f>PRODUCT(1+'Return Data'!S33:S43)-1</x:f>
        <x:v>-0.24604138337897985</x:v>
      </x:c>
      <x:c r="T32" s="26" t="n">
        <x:f>PRODUCT(1+'Return Data'!T33:T43)-1</x:f>
        <x:v>-0.24831985259756661</x:v>
      </x:c>
      <x:c r="U32" s="26" t="n">
        <x:f>PRODUCT(1+'Return Data'!U33:U43)-1</x:f>
        <x:v>-0.23183279694492787</x:v>
      </x:c>
    </x:row>
    <x:row r="33">
      <x:c r="A33" s="20" t="n">
        <x:f>'Return Data'!A46</x:f>
        <x:v>44985</x:v>
      </x:c>
      <x:c r="B33" s="26" t="n">
        <x:f>PRODUCT(1+'Return Data'!B34:B44)-1</x:f>
        <x:v>-0.08513214026620042</x:v>
      </x:c>
      <x:c r="C33" s="26" t="n">
        <x:f>PRODUCT(1+'Return Data'!C34:C44)-1</x:f>
        <x:v>-0.04357238253855722</x:v>
      </x:c>
      <x:c r="D33" s="26" t="n">
        <x:f>PRODUCT(1+'Return Data'!D34:D44)-1</x:f>
        <x:v>-0.22468039250671934</x:v>
      </x:c>
      <x:c r="E33" s="26" t="n">
        <x:f>PRODUCT(1+'Return Data'!E34:E44)-1</x:f>
        <x:v>0.05084107264248838</x:v>
      </x:c>
      <x:c r="F33" s="26" t="n">
        <x:f>PRODUCT(1+'Return Data'!F34:F44)-1</x:f>
        <x:v>-0.01515510191725622</x:v>
      </x:c>
      <x:c r="G33" s="26" t="n">
        <x:f>PRODUCT(1+'Return Data'!G34:G44)-1</x:f>
        <x:v>-0.165767728484555</x:v>
      </x:c>
      <x:c r="H33" s="26" t="n">
        <x:f>PRODUCT(1+'Return Data'!H34:H44)-1</x:f>
        <x:v>-0.2580170680141689</x:v>
      </x:c>
      <x:c r="I33" s="26" t="n">
        <x:f>PRODUCT(1+'Return Data'!I34:I44)-1</x:f>
        <x:v>-0.10945725733966094</x:v>
      </x:c>
      <x:c r="J33" s="26" t="n">
        <x:f>PRODUCT(1+'Return Data'!J34:J44)-1</x:f>
        <x:v>-0.27847641808810286</x:v>
      </x:c>
      <x:c r="K33" s="26" t="n">
        <x:f>PRODUCT(1+'Return Data'!K34:K44)-1</x:f>
        <x:v>-0.4396470430981628</x:v>
      </x:c>
      <x:c r="L33" s="26" t="n">
        <x:f>PRODUCT(1+'Return Data'!L34:L44)-1</x:f>
        <x:v>-0.11300601106236163</x:v>
      </x:c>
      <x:c r="M33" s="26" t="n">
        <x:f>PRODUCT(1+'Return Data'!M34:M44)-1</x:f>
        <x:v>-0.006735981180609141</x:v>
      </x:c>
      <x:c r="N33" s="26" t="n">
        <x:f>PRODUCT(1+'Return Data'!N34:N44)-1</x:f>
        <x:v>-0.4347613048682749</x:v>
      </x:c>
      <x:c r="O33" s="26" t="n">
        <x:f>PRODUCT(1+'Return Data'!O34:O44)-1</x:f>
        <x:v>-0.31599051512710064</x:v>
      </x:c>
      <x:c r="P33" s="26" t="n">
        <x:f>PRODUCT(1+'Return Data'!P34:P44)-1</x:f>
        <x:v>0.07230266287537912</x:v>
      </x:c>
      <x:c r="Q33" s="26" t="n">
        <x:f>PRODUCT(1+'Return Data'!Q34:Q44)-1</x:f>
        <x:v>-0.12096695484882691</x:v>
      </x:c>
      <x:c r="R33" s="26" t="n">
        <x:f>PRODUCT(1+'Return Data'!R34:R44)-1</x:f>
        <x:v>-0.22003573716361136</x:v>
      </x:c>
      <x:c r="S33" s="26" t="n">
        <x:f>PRODUCT(1+'Return Data'!S34:S44)-1</x:f>
        <x:v>-0.32057243610829744</x:v>
      </x:c>
      <x:c r="T33" s="26" t="n">
        <x:f>PRODUCT(1+'Return Data'!T34:T44)-1</x:f>
        <x:v>-0.35073990234562946</x:v>
      </x:c>
      <x:c r="U33" s="26" t="n">
        <x:f>PRODUCT(1+'Return Data'!U34:U44)-1</x:f>
        <x:v>-0.32513302483232764</x:v>
      </x:c>
    </x:row>
    <x:row r="34">
      <x:c r="A34" s="20" t="n">
        <x:f>'Return Data'!A47</x:f>
        <x:v>45015</x:v>
      </x:c>
      <x:c r="B34" s="26" t="n">
        <x:f>PRODUCT(1+'Return Data'!B35:B45)-1</x:f>
        <x:v>0.08599870766068496</x:v>
      </x:c>
      <x:c r="C34" s="26" t="n">
        <x:f>PRODUCT(1+'Return Data'!C35:C45)-1</x:f>
        <x:v>0.18010571766494698</x:v>
      </x:c>
      <x:c r="D34" s="26" t="n">
        <x:f>PRODUCT(1+'Return Data'!D35:D45)-1</x:f>
        <x:v>-0.10153938687214115</x:v>
      </x:c>
      <x:c r="E34" s="26" t="n">
        <x:f>PRODUCT(1+'Return Data'!E35:E45)-1</x:f>
        <x:v>0.14296682413688</x:v>
      </x:c>
      <x:c r="F34" s="26" t="n">
        <x:f>PRODUCT(1+'Return Data'!F35:F45)-1</x:f>
        <x:v>0.2752035510234263</x:v>
      </x:c>
      <x:c r="G34" s="26" t="n">
        <x:f>PRODUCT(1+'Return Data'!G35:G45)-1</x:f>
        <x:v>-0.05299719475796305</x:v>
      </x:c>
      <x:c r="H34" s="26" t="n">
        <x:f>PRODUCT(1+'Return Data'!H35:H45)-1</x:f>
        <x:v>-0.11351220331583722</x:v>
      </x:c>
      <x:c r="I34" s="26" t="n">
        <x:f>PRODUCT(1+'Return Data'!I35:I45)-1</x:f>
        <x:v>0.07378125906187716</x:v>
      </x:c>
      <x:c r="J34" s="26" t="n">
        <x:f>PRODUCT(1+'Return Data'!J35:J45)-1</x:f>
        <x:v>-0.1705678677367588</x:v>
      </x:c>
      <x:c r="K34" s="26" t="n">
        <x:f>PRODUCT(1+'Return Data'!K35:K45)-1</x:f>
        <x:v>-0.4029997638119459</x:v>
      </x:c>
      <x:c r="L34" s="26" t="n">
        <x:f>PRODUCT(1+'Return Data'!L35:L45)-1</x:f>
        <x:v>-0.03700548935447878</x:v>
      </x:c>
      <x:c r="M34" s="26" t="n">
        <x:f>PRODUCT(1+'Return Data'!M35:M45)-1</x:f>
        <x:v>0.21372275033479804</x:v>
      </x:c>
      <x:c r="N34" s="26" t="n">
        <x:f>PRODUCT(1+'Return Data'!N35:N45)-1</x:f>
        <x:v>-0.36980593190324407</x:v>
      </x:c>
      <x:c r="O34" s="26" t="n">
        <x:f>PRODUCT(1+'Return Data'!O35:O45)-1</x:f>
        <x:v>-0.2542338967677009</x:v>
      </x:c>
      <x:c r="P34" s="26" t="n">
        <x:f>PRODUCT(1+'Return Data'!P35:P45)-1</x:f>
        <x:v>0.26750776357319817</x:v>
      </x:c>
      <x:c r="Q34" s="26" t="n">
        <x:f>PRODUCT(1+'Return Data'!Q35:Q45)-1</x:f>
        <x:v>0.05130748636060334</x:v>
      </x:c>
      <x:c r="R34" s="26" t="n">
        <x:f>PRODUCT(1+'Return Data'!R35:R45)-1</x:f>
        <x:v>-0.022971160004996882</x:v>
      </x:c>
      <x:c r="S34" s="26" t="n">
        <x:f>PRODUCT(1+'Return Data'!S35:S45)-1</x:f>
        <x:v>-0.17636659190610537</x:v>
      </x:c>
      <x:c r="T34" s="26" t="n">
        <x:f>PRODUCT(1+'Return Data'!T35:T45)-1</x:f>
        <x:v>-0.24791364211481004</x:v>
      </x:c>
      <x:c r="U34" s="26" t="n">
        <x:f>PRODUCT(1+'Return Data'!U35:U45)-1</x:f>
        <x:v>-0.1255112774823891</x:v>
      </x:c>
    </x:row>
    <x:row r="35">
      <x:c r="A35" s="20" t="n">
        <x:f>'Return Data'!A48</x:f>
        <x:v>45046</x:v>
      </x:c>
      <x:c r="B35" s="26" t="n">
        <x:f>PRODUCT(1+'Return Data'!B36:B46)-1</x:f>
        <x:v>0.009588404354156088</x:v>
      </x:c>
      <x:c r="C35" s="26" t="n">
        <x:f>PRODUCT(1+'Return Data'!C36:C46)-1</x:f>
        <x:v>-0.011537742798617967</x:v>
      </x:c>
      <x:c r="D35" s="26" t="n">
        <x:f>PRODUCT(1+'Return Data'!D36:D46)-1</x:f>
        <x:v>-0.03633899438792132</x:v>
      </x:c>
      <x:c r="E35" s="26" t="n">
        <x:f>PRODUCT(1+'Return Data'!E36:E46)-1</x:f>
        <x:v>0.15756767516134995</x:v>
      </x:c>
      <x:c r="F35" s="26" t="n">
        <x:f>PRODUCT(1+'Return Data'!F36:F46)-1</x:f>
        <x:v>0.3031841726569422</x:v>
      </x:c>
      <x:c r="G35" s="26" t="n">
        <x:f>PRODUCT(1+'Return Data'!G36:G46)-1</x:f>
        <x:v>-0.04631190694215326</x:v>
      </x:c>
      <x:c r="H35" s="26" t="n">
        <x:f>PRODUCT(1+'Return Data'!H36:H46)-1</x:f>
        <x:v>-0.043413048907090857</x:v>
      </x:c>
      <x:c r="I35" s="26" t="n">
        <x:f>PRODUCT(1+'Return Data'!I36:I46)-1</x:f>
        <x:v>0.04336002049531951</x:v>
      </x:c>
      <x:c r="J35" s="26" t="n">
        <x:f>PRODUCT(1+'Return Data'!J36:J46)-1</x:f>
        <x:v>-0.14371822259728384</x:v>
      </x:c>
      <x:c r="K35" s="26" t="n">
        <x:f>PRODUCT(1+'Return Data'!K36:K46)-1</x:f>
        <x:v>-0.34870215524005477</x:v>
      </x:c>
      <x:c r="L35" s="26" t="n">
        <x:f>PRODUCT(1+'Return Data'!L36:L46)-1</x:f>
        <x:v>-0.07639893812482623</x:v>
      </x:c>
      <x:c r="M35" s="26" t="n">
        <x:f>PRODUCT(1+'Return Data'!M36:M46)-1</x:f>
        <x:v>0.12274318526249517</x:v>
      </x:c>
      <x:c r="N35" s="26" t="n">
        <x:f>PRODUCT(1+'Return Data'!N36:N46)-1</x:f>
        <x:v>-0.31859291369315634</x:v>
      </x:c>
      <x:c r="O35" s="26" t="n">
        <x:f>PRODUCT(1+'Return Data'!O36:O46)-1</x:f>
        <x:v>-0.18524867068155293</x:v>
      </x:c>
      <x:c r="P35" s="26" t="n">
        <x:f>PRODUCT(1+'Return Data'!P36:P46)-1</x:f>
        <x:v>0.20150460470365417</x:v>
      </x:c>
      <x:c r="Q35" s="26" t="n">
        <x:f>PRODUCT(1+'Return Data'!Q36:Q46)-1</x:f>
        <x:v>0.07538048418223342</x:v>
      </x:c>
      <x:c r="R35" s="26" t="n">
        <x:f>PRODUCT(1+'Return Data'!R36:R46)-1</x:f>
        <x:v>-0.16532696428521498</x:v>
      </x:c>
      <x:c r="S35" s="26" t="n">
        <x:f>PRODUCT(1+'Return Data'!S36:S46)-1</x:f>
        <x:v>0.08712816084316843</x:v>
      </x:c>
      <x:c r="T35" s="26" t="n">
        <x:f>PRODUCT(1+'Return Data'!T36:T46)-1</x:f>
        <x:v>-0.32336304974008656</x:v>
      </x:c>
      <x:c r="U35" s="26" t="n">
        <x:f>PRODUCT(1+'Return Data'!U36:U46)-1</x:f>
        <x:v>-0.05835360776690368</x:v>
      </x:c>
    </x:row>
    <x:row r="36">
      <x:c r="A36" s="20" t="n">
        <x:f>'Return Data'!A49</x:f>
        <x:v>45076</x:v>
      </x:c>
      <x:c r="B36" s="26" t="n">
        <x:f>PRODUCT(1+'Return Data'!B37:B47)-1</x:f>
        <x:v>0.1405443532238264</x:v>
      </x:c>
      <x:c r="C36" s="26" t="n">
        <x:f>PRODUCT(1+'Return Data'!C37:C47)-1</x:f>
        <x:v>-0.251879398578466</x:v>
      </x:c>
      <x:c r="D36" s="26" t="n">
        <x:f>PRODUCT(1+'Return Data'!D37:D47)-1</x:f>
        <x:v>-0.023968588133412738</x:v>
      </x:c>
      <x:c r="E36" s="26" t="n">
        <x:f>PRODUCT(1+'Return Data'!E37:E47)-1</x:f>
        <x:v>0.36436849453889963</x:v>
      </x:c>
      <x:c r="F36" s="26" t="n">
        <x:f>PRODUCT(1+'Return Data'!F37:F47)-1</x:f>
        <x:v>-0.013703270681884261</x:v>
      </x:c>
      <x:c r="G36" s="26" t="n">
        <x:f>PRODUCT(1+'Return Data'!G37:G47)-1</x:f>
        <x:v>-0.061555435158612615</x:v>
      </x:c>
      <x:c r="H36" s="26" t="n">
        <x:f>PRODUCT(1+'Return Data'!H37:H47)-1</x:f>
        <x:v>-0.00013597794255759688</x:v>
      </x:c>
      <x:c r="I36" s="26" t="n">
        <x:f>PRODUCT(1+'Return Data'!I37:I47)-1</x:f>
        <x:v>-0.05234425015283184</x:v>
      </x:c>
      <x:c r="J36" s="26" t="n">
        <x:f>PRODUCT(1+'Return Data'!J37:J47)-1</x:f>
        <x:v>0.03233658815858398</x:v>
      </x:c>
      <x:c r="K36" s="26" t="n">
        <x:f>PRODUCT(1+'Return Data'!K37:K47)-1</x:f>
        <x:v>-0.4149114772260375</x:v>
      </x:c>
      <x:c r="L36" s="26" t="n">
        <x:f>PRODUCT(1+'Return Data'!L37:L47)-1</x:f>
        <x:v>-0.005181537061230923</x:v>
      </x:c>
      <x:c r="M36" s="26" t="n">
        <x:f>PRODUCT(1+'Return Data'!M37:M47)-1</x:f>
        <x:v>0.10726148913619848</x:v>
      </x:c>
      <x:c r="N36" s="26" t="n">
        <x:f>PRODUCT(1+'Return Data'!N37:N47)-1</x:f>
        <x:v>-0.2761298098831412</x:v>
      </x:c>
      <x:c r="O36" s="26" t="n">
        <x:f>PRODUCT(1+'Return Data'!O37:O47)-1</x:f>
        <x:v>-0.11048752110362159</x:v>
      </x:c>
      <x:c r="P36" s="26" t="n">
        <x:f>PRODUCT(1+'Return Data'!P37:P47)-1</x:f>
        <x:v>0.13854269639361272</x:v>
      </x:c>
      <x:c r="Q36" s="26" t="n">
        <x:f>PRODUCT(1+'Return Data'!Q37:Q47)-1</x:f>
        <x:v>0.21041166620110907</x:v>
      </x:c>
      <x:c r="R36" s="26" t="n">
        <x:f>PRODUCT(1+'Return Data'!R37:R47)-1</x:f>
        <x:v>-0.17707680113103585</x:v>
      </x:c>
      <x:c r="S36" s="26" t="n">
        <x:f>PRODUCT(1+'Return Data'!S37:S47)-1</x:f>
        <x:v>0.01362756833026979</x:v>
      </x:c>
      <x:c r="T36" s="26" t="n">
        <x:f>PRODUCT(1+'Return Data'!T37:T47)-1</x:f>
        <x:v>-0.346840107998701</x:v>
      </x:c>
      <x:c r="U36" s="26" t="n">
        <x:f>PRODUCT(1+'Return Data'!U37:U47)-1</x:f>
        <x:v>0.05564659577099129</x:v>
      </x:c>
    </x:row>
    <x:row r="37">
      <x:c r="A37" s="20" t="n">
        <x:f>'Return Data'!A50</x:f>
        <x:v>45107</x:v>
      </x:c>
      <x:c r="B37" s="26" t="n">
        <x:f>PRODUCT(1+'Return Data'!B38:B48)-1</x:f>
        <x:v>0.08935989981409609</x:v>
      </x:c>
      <x:c r="C37" s="26" t="n">
        <x:f>PRODUCT(1+'Return Data'!C38:C48)-1</x:f>
        <x:v>-0.27085382774204225</x:v>
      </x:c>
      <x:c r="D37" s="26" t="n">
        <x:f>PRODUCT(1+'Return Data'!D38:D48)-1</x:f>
        <x:v>-0.026152638115209625</x:v>
      </x:c>
      <x:c r="E37" s="26" t="n">
        <x:f>PRODUCT(1+'Return Data'!E38:E48)-1</x:f>
        <x:v>0.39766128117467026</x:v>
      </x:c>
      <x:c r="F37" s="26" t="n">
        <x:f>PRODUCT(1+'Return Data'!F38:F48)-1</x:f>
        <x:v>0.008713056041657286</x:v>
      </x:c>
      <x:c r="G37" s="26" t="n">
        <x:f>PRODUCT(1+'Return Data'!G38:G48)-1</x:f>
        <x:v>-0.12074756981736856</x:v>
      </x:c>
      <x:c r="H37" s="26" t="n">
        <x:f>PRODUCT(1+'Return Data'!H38:H48)-1</x:f>
        <x:v>0.07675027950536828</x:v>
      </x:c>
      <x:c r="I37" s="26" t="n">
        <x:f>PRODUCT(1+'Return Data'!I38:I48)-1</x:f>
        <x:v>-0.053961997932227224</x:v>
      </x:c>
      <x:c r="J37" s="26" t="n">
        <x:f>PRODUCT(1+'Return Data'!J38:J48)-1</x:f>
        <x:v>0.11414444736545559</x:v>
      </x:c>
      <x:c r="K37" s="26" t="n">
        <x:f>PRODUCT(1+'Return Data'!K38:K48)-1</x:f>
        <x:v>-0.37118626369104546</x:v>
      </x:c>
      <x:c r="L37" s="26" t="n">
        <x:f>PRODUCT(1+'Return Data'!L38:L48)-1</x:f>
        <x:v>-0.0002797442973682118</x:v>
      </x:c>
      <x:c r="M37" s="26" t="n">
        <x:f>PRODUCT(1+'Return Data'!M38:M48)-1</x:f>
        <x:v>0.06845559653915823</x:v>
      </x:c>
      <x:c r="N37" s="26" t="n">
        <x:f>PRODUCT(1+'Return Data'!N38:N48)-1</x:f>
        <x:v>-0.24132696457111302</x:v>
      </x:c>
      <x:c r="O37" s="26" t="n">
        <x:f>PRODUCT(1+'Return Data'!O38:O48)-1</x:f>
        <x:v>-0.050592704571085</x:v>
      </x:c>
      <x:c r="P37" s="26" t="n">
        <x:f>PRODUCT(1+'Return Data'!P38:P48)-1</x:f>
        <x:v>0.18693308919825524</x:v>
      </x:c>
      <x:c r="Q37" s="26" t="n">
        <x:f>PRODUCT(1+'Return Data'!Q38:Q48)-1</x:f>
        <x:v>0.32407215694321945</x:v>
      </x:c>
      <x:c r="R37" s="26" t="n">
        <x:f>PRODUCT(1+'Return Data'!R38:R48)-1</x:f>
        <x:v>-0.04746197604149194</x:v>
      </x:c>
      <x:c r="S37" s="26" t="n">
        <x:f>PRODUCT(1+'Return Data'!S38:S48)-1</x:f>
        <x:v>0.18526521832199827</x:v>
      </x:c>
      <x:c r="T37" s="26" t="n">
        <x:f>PRODUCT(1+'Return Data'!T38:T48)-1</x:f>
        <x:v>-0.2793950859919174</x:v>
      </x:c>
      <x:c r="U37" s="26" t="n">
        <x:f>PRODUCT(1+'Return Data'!U38:U48)-1</x:f>
        <x:v>-0.020878654323450818</x:v>
      </x:c>
    </x:row>
    <x:row r="38">
      <x:c r="A38" s="20" t="n">
        <x:f>'Return Data'!A51</x:f>
        <x:v>45137</x:v>
      </x:c>
      <x:c r="B38" s="26" t="n">
        <x:f>PRODUCT(1+'Return Data'!B39:B49)-1</x:f>
        <x:v>-0.059725272192015955</x:v>
      </x:c>
      <x:c r="C38" s="26" t="n">
        <x:f>PRODUCT(1+'Return Data'!C39:C49)-1</x:f>
        <x:v>-0.35519541630748863</x:v>
      </x:c>
      <x:c r="D38" s="26" t="n">
        <x:f>PRODUCT(1+'Return Data'!D39:D49)-1</x:f>
        <x:v>-0.11203132683604144</x:v>
      </x:c>
      <x:c r="E38" s="26" t="n">
        <x:f>PRODUCT(1+'Return Data'!E39:E49)-1</x:f>
        <x:v>0.3257374278950236</x:v>
      </x:c>
      <x:c r="F38" s="26" t="n">
        <x:f>PRODUCT(1+'Return Data'!F39:F49)-1</x:f>
        <x:v>-0.2248433029005884</x:v>
      </x:c>
      <x:c r="G38" s="26" t="n">
        <x:f>PRODUCT(1+'Return Data'!G39:G49)-1</x:f>
        <x:v>-0.07707740400882457</x:v>
      </x:c>
      <x:c r="H38" s="26" t="n">
        <x:f>PRODUCT(1+'Return Data'!H39:H49)-1</x:f>
        <x:v>0.03992037667722337</x:v>
      </x:c>
      <x:c r="I38" s="26" t="n">
        <x:f>PRODUCT(1+'Return Data'!I39:I49)-1</x:f>
        <x:v>-0.07006045865973554</x:v>
      </x:c>
      <x:c r="J38" s="26" t="n">
        <x:f>PRODUCT(1+'Return Data'!J39:J49)-1</x:f>
        <x:v>0.0001577976572448847</x:v>
      </x:c>
      <x:c r="K38" s="26" t="n">
        <x:f>PRODUCT(1+'Return Data'!K39:K49)-1</x:f>
        <x:v>-0.35467504129502125</x:v>
      </x:c>
      <x:c r="L38" s="26" t="n">
        <x:f>PRODUCT(1+'Return Data'!L39:L49)-1</x:f>
        <x:v>-0.11173684848756982</x:v>
      </x:c>
      <x:c r="M38" s="26" t="n">
        <x:f>PRODUCT(1+'Return Data'!M39:M49)-1</x:f>
        <x:v>-0.06861891851780655</x:v>
      </x:c>
      <x:c r="N38" s="26" t="n">
        <x:f>PRODUCT(1+'Return Data'!N39:N49)-1</x:f>
        <x:v>-0.30714362507538284</x:v>
      </x:c>
      <x:c r="O38" s="26" t="n">
        <x:f>PRODUCT(1+'Return Data'!O39:O49)-1</x:f>
        <x:v>-0.10777023404209451</x:v>
      </x:c>
      <x:c r="P38" s="26" t="n">
        <x:f>PRODUCT(1+'Return Data'!P39:P49)-1</x:f>
        <x:v>0.034037816383299724</x:v>
      </x:c>
      <x:c r="Q38" s="26" t="n">
        <x:f>PRODUCT(1+'Return Data'!Q39:Q49)-1</x:f>
        <x:v>0.1603757844365059</x:v>
      </x:c>
      <x:c r="R38" s="26" t="n">
        <x:f>PRODUCT(1+'Return Data'!R39:R49)-1</x:f>
        <x:v>-0.0859904919244796</x:v>
      </x:c>
      <x:c r="S38" s="26" t="n">
        <x:f>PRODUCT(1+'Return Data'!S39:S49)-1</x:f>
        <x:v>0.10671577498730733</x:v>
      </x:c>
      <x:c r="T38" s="26" t="n">
        <x:f>PRODUCT(1+'Return Data'!T39:T49)-1</x:f>
        <x:v>-0.23570826444456883</x:v>
      </x:c>
      <x:c r="U38" s="26" t="n">
        <x:f>PRODUCT(1+'Return Data'!U39:U49)-1</x:f>
        <x:v>-0.05579208726823426</x:v>
      </x:c>
    </x:row>
    <x:row r="39">
      <x:c r="A39" s="20" t="n">
        <x:f>'Return Data'!A52</x:f>
        <x:v>45168</x:v>
      </x:c>
      <x:c r="B39" s="26" t="n">
        <x:f>PRODUCT(1+'Return Data'!B40:B50)-1</x:f>
        <x:v>-0.05336402733717882</x:v>
      </x:c>
      <x:c r="C39" s="26" t="n">
        <x:f>PRODUCT(1+'Return Data'!C40:C50)-1</x:f>
        <x:v>-0.37506330493864914</x:v>
      </x:c>
      <x:c r="D39" s="26" t="n">
        <x:f>PRODUCT(1+'Return Data'!D40:D50)-1</x:f>
        <x:v>-0.042550227277488584</x:v>
      </x:c>
      <x:c r="E39" s="26" t="n">
        <x:f>PRODUCT(1+'Return Data'!E40:E50)-1</x:f>
        <x:v>0.2926689538088474</x:v>
      </x:c>
      <x:c r="F39" s="26" t="n">
        <x:f>PRODUCT(1+'Return Data'!F40:F50)-1</x:f>
        <x:v>-0.3056610005383572</x:v>
      </x:c>
      <x:c r="G39" s="26" t="n">
        <x:f>PRODUCT(1+'Return Data'!G40:G50)-1</x:f>
        <x:v>-0.23055618098765884</x:v>
      </x:c>
      <x:c r="H39" s="26" t="n">
        <x:f>PRODUCT(1+'Return Data'!H40:H50)-1</x:f>
        <x:v>-0.07851514784703106</x:v>
      </x:c>
      <x:c r="I39" s="26" t="n">
        <x:f>PRODUCT(1+'Return Data'!I40:I50)-1</x:f>
        <x:v>-0.16942681839677276</x:v>
      </x:c>
      <x:c r="J39" s="26" t="n">
        <x:f>PRODUCT(1+'Return Data'!J40:J50)-1</x:f>
        <x:v>0.14379737222738398</x:v>
      </x:c>
      <x:c r="K39" s="26" t="n">
        <x:f>PRODUCT(1+'Return Data'!K40:K50)-1</x:f>
        <x:v>-0.48647044439629217</x:v>
      </x:c>
      <x:c r="L39" s="26" t="n">
        <x:f>PRODUCT(1+'Return Data'!L40:L50)-1</x:f>
        <x:v>-0.1823261744109883</x:v>
      </x:c>
      <x:c r="M39" s="26" t="n">
        <x:f>PRODUCT(1+'Return Data'!M40:M50)-1</x:f>
        <x:v>-0.02563777361066588</x:v>
      </x:c>
      <x:c r="N39" s="26" t="n">
        <x:f>PRODUCT(1+'Return Data'!N40:N50)-1</x:f>
        <x:v>-0.3312302132106947</x:v>
      </x:c>
      <x:c r="O39" s="26" t="n">
        <x:f>PRODUCT(1+'Return Data'!O40:O50)-1</x:f>
        <x:v>-0.03884829112692412</x:v>
      </x:c>
      <x:c r="P39" s="26" t="n">
        <x:f>PRODUCT(1+'Return Data'!P40:P50)-1</x:f>
        <x:v>0.0009610528127246276</x:v>
      </x:c>
      <x:c r="Q39" s="26" t="n">
        <x:f>PRODUCT(1+'Return Data'!Q40:Q50)-1</x:f>
        <x:v>-0.1398762154773957</x:v>
      </x:c>
      <x:c r="R39" s="26" t="n">
        <x:f>PRODUCT(1+'Return Data'!R40:R50)-1</x:f>
        <x:v>-0.17869687455720673</x:v>
      </x:c>
      <x:c r="S39" s="26" t="n">
        <x:f>PRODUCT(1+'Return Data'!S40:S50)-1</x:f>
        <x:v>0.13810861495897475</x:v>
      </x:c>
      <x:c r="T39" s="26" t="n">
        <x:f>PRODUCT(1+'Return Data'!T40:T50)-1</x:f>
        <x:v>-0.32316022995679716</x:v>
      </x:c>
      <x:c r="U39" s="26" t="n">
        <x:f>PRODUCT(1+'Return Data'!U40:U50)-1</x:f>
        <x:v>-0.27236509732398184</x:v>
      </x:c>
    </x:row>
    <x:row r="40">
      <x:c r="A40" s="20" t="n">
        <x:f>'Return Data'!A53</x:f>
        <x:v>45199</x:v>
      </x:c>
      <x:c r="B40" s="26" t="n">
        <x:f>PRODUCT(1+'Return Data'!B41:B51)-1</x:f>
        <x:v>-0.052261111921552805</x:v>
      </x:c>
      <x:c r="C40" s="26" t="n">
        <x:f>PRODUCT(1+'Return Data'!C41:C51)-1</x:f>
        <x:v>-0.37587445281498544</x:v>
      </x:c>
      <x:c r="D40" s="26" t="n">
        <x:f>PRODUCT(1+'Return Data'!D41:D51)-1</x:f>
        <x:v>0.0762383396223747</x:v>
      </x:c>
      <x:c r="E40" s="26" t="n">
        <x:f>PRODUCT(1+'Return Data'!E41:E51)-1</x:f>
        <x:v>0.1946616819705811</x:v>
      </x:c>
      <x:c r="F40" s="26" t="n">
        <x:f>PRODUCT(1+'Return Data'!F41:F51)-1</x:f>
        <x:v>-0.17971274503508616</x:v>
      </x:c>
      <x:c r="G40" s="26" t="n">
        <x:f>PRODUCT(1+'Return Data'!G41:G51)-1</x:f>
        <x:v>-0.1509407929059381</x:v>
      </x:c>
      <x:c r="H40" s="26" t="n">
        <x:f>PRODUCT(1+'Return Data'!H41:H51)-1</x:f>
        <x:v>-0.0845746988264886</x:v>
      </x:c>
      <x:c r="I40" s="26" t="n">
        <x:f>PRODUCT(1+'Return Data'!I41:I51)-1</x:f>
        <x:v>-0.3590354439364337</x:v>
      </x:c>
      <x:c r="J40" s="26" t="n">
        <x:f>PRODUCT(1+'Return Data'!J41:J51)-1</x:f>
        <x:v>0.16945110163566368</x:v>
      </x:c>
      <x:c r="K40" s="26" t="n">
        <x:f>PRODUCT(1+'Return Data'!K41:K51)-1</x:f>
        <x:v>-0.4257835175029486</x:v>
      </x:c>
      <x:c r="L40" s="26" t="n">
        <x:f>PRODUCT(1+'Return Data'!L41:L51)-1</x:f>
        <x:v>-0.13124232313130346</x:v>
      </x:c>
      <x:c r="M40" s="26" t="n">
        <x:f>PRODUCT(1+'Return Data'!M41:M51)-1</x:f>
        <x:v>-0.09945601075452748</x:v>
      </x:c>
      <x:c r="N40" s="26" t="n">
        <x:f>PRODUCT(1+'Return Data'!N41:N51)-1</x:f>
        <x:v>-0.36043304727986303</x:v>
      </x:c>
      <x:c r="O40" s="26" t="n">
        <x:f>PRODUCT(1+'Return Data'!O41:O51)-1</x:f>
        <x:v>0.11620915813464694</x:v>
      </x:c>
      <x:c r="P40" s="26" t="n">
        <x:f>PRODUCT(1+'Return Data'!P41:P51)-1</x:f>
        <x:v>-0.06732281550324337</x:v>
      </x:c>
      <x:c r="Q40" s="26" t="n">
        <x:f>PRODUCT(1+'Return Data'!Q41:Q51)-1</x:f>
        <x:v>-0.17724683299596578</x:v>
      </x:c>
      <x:c r="R40" s="26" t="n">
        <x:f>PRODUCT(1+'Return Data'!R41:R51)-1</x:f>
        <x:v>-0.2305070798213037</x:v>
      </x:c>
      <x:c r="S40" s="26" t="n">
        <x:f>PRODUCT(1+'Return Data'!S41:S51)-1</x:f>
        <x:v>0.07799170654051824</x:v>
      </x:c>
      <x:c r="T40" s="26" t="n">
        <x:f>PRODUCT(1+'Return Data'!T41:T51)-1</x:f>
        <x:v>-0.3352295486733641</x:v>
      </x:c>
      <x:c r="U40" s="26" t="n">
        <x:f>PRODUCT(1+'Return Data'!U41:U51)-1</x:f>
        <x:v>-0.16375327975171383</x:v>
      </x:c>
    </x:row>
    <x:row r="41">
      <x:c r="A41" s="20" t="n">
        <x:f>'Return Data'!A54</x:f>
        <x:v>45229</x:v>
      </x:c>
      <x:c r="B41" s="26" t="n">
        <x:f>PRODUCT(1+'Return Data'!B42:B52)-1</x:f>
        <x:v>0.12786539055166046</x:v>
      </x:c>
      <x:c r="C41" s="26" t="n">
        <x:f>PRODUCT(1+'Return Data'!C42:C52)-1</x:f>
        <x:v>-0.3647738638901339</x:v>
      </x:c>
      <x:c r="D41" s="26" t="n">
        <x:f>PRODUCT(1+'Return Data'!D42:D52)-1</x:f>
        <x:v>0.24976241759903206</x:v>
      </x:c>
      <x:c r="E41" s="26" t="n">
        <x:f>PRODUCT(1+'Return Data'!E42:E52)-1</x:f>
        <x:v>0.4202761053646915</x:v>
      </x:c>
      <x:c r="F41" s="26" t="n">
        <x:f>PRODUCT(1+'Return Data'!F42:F52)-1</x:f>
        <x:v>-0.06331188715038705</x:v>
      </x:c>
      <x:c r="G41" s="26" t="n">
        <x:f>PRODUCT(1+'Return Data'!G42:G52)-1</x:f>
        <x:v>-0.02539745939860838</x:v>
      </x:c>
      <x:c r="H41" s="26" t="n">
        <x:f>PRODUCT(1+'Return Data'!H42:H52)-1</x:f>
        <x:v>0.18426268693049463</x:v>
      </x:c>
      <x:c r="I41" s="26" t="n">
        <x:f>PRODUCT(1+'Return Data'!I42:I52)-1</x:f>
        <x:v>-0.23471343711538672</x:v>
      </x:c>
      <x:c r="J41" s="26" t="n">
        <x:f>PRODUCT(1+'Return Data'!J42:J52)-1</x:f>
        <x:v>0.1716394028834216</x:v>
      </x:c>
      <x:c r="K41" s="26" t="n">
        <x:f>PRODUCT(1+'Return Data'!K42:K52)-1</x:f>
        <x:v>-0.43681399986302094</x:v>
      </x:c>
      <x:c r="L41" s="26" t="n">
        <x:f>PRODUCT(1+'Return Data'!L42:L52)-1</x:f>
        <x:v>0.03811366574454067</x:v>
      </x:c>
      <x:c r="M41" s="26" t="n">
        <x:f>PRODUCT(1+'Return Data'!M42:M52)-1</x:f>
        <x:v>0.08200124594843072</x:v>
      </x:c>
      <x:c r="N41" s="26" t="n">
        <x:f>PRODUCT(1+'Return Data'!N42:N52)-1</x:f>
        <x:v>-0.026927434743871825</x:v>
      </x:c>
      <x:c r="O41" s="26" t="n">
        <x:f>PRODUCT(1+'Return Data'!O42:O52)-1</x:f>
        <x:v>0.3816327257568355</x:v>
      </x:c>
      <x:c r="P41" s="26" t="n">
        <x:f>PRODUCT(1+'Return Data'!P42:P52)-1</x:f>
        <x:v>0.08352065976322542</x:v>
      </x:c>
      <x:c r="Q41" s="26" t="n">
        <x:f>PRODUCT(1+'Return Data'!Q42:Q52)-1</x:f>
        <x:v>-0.030091809320534124</x:v>
      </x:c>
      <x:c r="R41" s="26" t="n">
        <x:f>PRODUCT(1+'Return Data'!R42:R52)-1</x:f>
        <x:v>-0.10558287586925019</x:v>
      </x:c>
      <x:c r="S41" s="26" t="n">
        <x:f>PRODUCT(1+'Return Data'!S42:S52)-1</x:f>
        <x:v>0.23343960252688634</x:v>
      </x:c>
      <x:c r="T41" s="26" t="n">
        <x:f>PRODUCT(1+'Return Data'!T42:T52)-1</x:f>
        <x:v>-0.18180236649402237</x:v>
      </x:c>
      <x:c r="U41" s="26" t="n">
        <x:f>PRODUCT(1+'Return Data'!U42:U52)-1</x:f>
        <x:v>-0.017024516054854777</x:v>
      </x:c>
    </x:row>
    <x:row r="42">
      <x:c r="A42" s="20" t="n">
        <x:f>'Return Data'!A55</x:f>
        <x:v>45260</x:v>
      </x:c>
      <x:c r="B42" s="26" t="n">
        <x:f>PRODUCT(1+'Return Data'!B43:B53)-1</x:f>
        <x:v>0.04142260620376459</x:v>
      </x:c>
      <x:c r="C42" s="26" t="n">
        <x:f>PRODUCT(1+'Return Data'!C43:C53)-1</x:f>
        <x:v>-0.39747818180977046</x:v>
      </x:c>
      <x:c r="D42" s="26" t="n">
        <x:f>PRODUCT(1+'Return Data'!D43:D53)-1</x:f>
        <x:v>0.26855234768840996</x:v>
      </x:c>
      <x:c r="E42" s="26" t="n">
        <x:f>PRODUCT(1+'Return Data'!E43:E53)-1</x:f>
        <x:v>0.520272469025074</x:v>
      </x:c>
      <x:c r="F42" s="26" t="n">
        <x:f>PRODUCT(1+'Return Data'!F43:F53)-1</x:f>
        <x:v>0.004393630206512178</x:v>
      </x:c>
      <x:c r="G42" s="26" t="n">
        <x:f>PRODUCT(1+'Return Data'!G43:G53)-1</x:f>
        <x:v>0.022163798191012996</x:v>
      </x:c>
      <x:c r="H42" s="26" t="n">
        <x:f>PRODUCT(1+'Return Data'!H43:H53)-1</x:f>
        <x:v>0.22762254001573012</x:v>
      </x:c>
      <x:c r="I42" s="26" t="n">
        <x:f>PRODUCT(1+'Return Data'!I43:I53)-1</x:f>
        <x:v>-0.2688669592497752</x:v>
      </x:c>
      <x:c r="J42" s="26" t="n">
        <x:f>PRODUCT(1+'Return Data'!J43:J53)-1</x:f>
        <x:v>0.20035336815374594</x:v>
      </x:c>
      <x:c r="K42" s="26" t="n">
        <x:f>PRODUCT(1+'Return Data'!K43:K53)-1</x:f>
        <x:v>-0.5308261710372815</x:v>
      </x:c>
      <x:c r="L42" s="26" t="n">
        <x:f>PRODUCT(1+'Return Data'!L43:L53)-1</x:f>
        <x:v>0.030393190821234484</x:v>
      </x:c>
      <x:c r="M42" s="26" t="n">
        <x:f>PRODUCT(1+'Return Data'!M43:M53)-1</x:f>
        <x:v>0.12985837972033543</x:v>
      </x:c>
      <x:c r="N42" s="26" t="n">
        <x:f>PRODUCT(1+'Return Data'!N43:N53)-1</x:f>
        <x:v>-0.1565725333986988</x:v>
      </x:c>
      <x:c r="O42" s="26" t="n">
        <x:f>PRODUCT(1+'Return Data'!O43:O53)-1</x:f>
        <x:v>0.19380261848359726</x:v>
      </x:c>
      <x:c r="P42" s="26" t="n">
        <x:f>PRODUCT(1+'Return Data'!P43:P53)-1</x:f>
        <x:v>0.027151447592767886</x:v>
      </x:c>
      <x:c r="Q42" s="26" t="n">
        <x:f>PRODUCT(1+'Return Data'!Q43:Q53)-1</x:f>
        <x:v>-0.0750821340411465</x:v>
      </x:c>
      <x:c r="R42" s="26" t="n">
        <x:f>PRODUCT(1+'Return Data'!R43:R53)-1</x:f>
        <x:v>-0.05306963473033366</x:v>
      </x:c>
      <x:c r="S42" s="26" t="n">
        <x:f>PRODUCT(1+'Return Data'!S43:S53)-1</x:f>
        <x:v>0.24122487210474475</x:v>
      </x:c>
      <x:c r="T42" s="26" t="n">
        <x:f>PRODUCT(1+'Return Data'!T43:T53)-1</x:f>
        <x:v>-0.2622053881146149</x:v>
      </x:c>
      <x:c r="U42" s="26" t="n">
        <x:f>PRODUCT(1+'Return Data'!U43:U53)-1</x:f>
        <x:v>-0.21642238488280607</x:v>
      </x:c>
    </x:row>
    <x:row r="43">
      <x:c r="A43" s="20" t="n">
        <x:f>'Return Data'!A56</x:f>
        <x:v>45290</x:v>
      </x:c>
      <x:c r="B43" s="26" t="n">
        <x:f>PRODUCT(1+'Return Data'!B44:B54)-1</x:f>
        <x:v>0.11867764710243933</x:v>
      </x:c>
      <x:c r="C43" s="26" t="n">
        <x:f>PRODUCT(1+'Return Data'!C44:C54)-1</x:f>
        <x:v>-0.3300130650426424</x:v>
      </x:c>
      <x:c r="D43" s="26" t="n">
        <x:f>PRODUCT(1+'Return Data'!D44:D54)-1</x:f>
        <x:v>0.2619213782537957</x:v>
      </x:c>
      <x:c r="E43" s="26" t="n">
        <x:f>PRODUCT(1+'Return Data'!E44:E54)-1</x:f>
        <x:v>0.4146135904621948</x:v>
      </x:c>
      <x:c r="F43" s="26" t="n">
        <x:f>PRODUCT(1+'Return Data'!F44:F54)-1</x:f>
        <x:v>0.028653218088672716</x:v>
      </x:c>
      <x:c r="G43" s="26" t="n">
        <x:f>PRODUCT(1+'Return Data'!G44:G54)-1</x:f>
        <x:v>0.11065857999898521</x:v>
      </x:c>
      <x:c r="H43" s="26" t="n">
        <x:f>PRODUCT(1+'Return Data'!H44:H54)-1</x:f>
        <x:v>0.24010792192960295</x:v>
      </x:c>
      <x:c r="I43" s="26" t="n">
        <x:f>PRODUCT(1+'Return Data'!I44:I54)-1</x:f>
        <x:v>-0.17131510702987485</x:v>
      </x:c>
      <x:c r="J43" s="26" t="n">
        <x:f>PRODUCT(1+'Return Data'!J44:J54)-1</x:f>
        <x:v>0.29080179767386327</x:v>
      </x:c>
      <x:c r="K43" s="26" t="n">
        <x:f>PRODUCT(1+'Return Data'!K44:K54)-1</x:f>
        <x:v>-0.5306135158966065</x:v>
      </x:c>
      <x:c r="L43" s="26" t="n">
        <x:f>PRODUCT(1+'Return Data'!L44:L54)-1</x:f>
        <x:v>0.035572545394555455</x:v>
      </x:c>
      <x:c r="M43" s="26" t="n">
        <x:f>PRODUCT(1+'Return Data'!M44:M54)-1</x:f>
        <x:v>0.06072083976211462</x:v>
      </x:c>
      <x:c r="N43" s="26" t="n">
        <x:f>PRODUCT(1+'Return Data'!N44:N54)-1</x:f>
        <x:v>-0.05596527240898885</x:v>
      </x:c>
      <x:c r="O43" s="26" t="n">
        <x:f>PRODUCT(1+'Return Data'!O44:O54)-1</x:f>
        <x:v>0.05588284987618497</x:v>
      </x:c>
      <x:c r="P43" s="26" t="n">
        <x:f>PRODUCT(1+'Return Data'!P44:P54)-1</x:f>
        <x:v>-0.04528868465002345</x:v>
      </x:c>
      <x:c r="Q43" s="26" t="n">
        <x:f>PRODUCT(1+'Return Data'!Q44:Q54)-1</x:f>
        <x:v>0.0060356930254892305</x:v>
      </x:c>
      <x:c r="R43" s="26" t="n">
        <x:f>PRODUCT(1+'Return Data'!R44:R54)-1</x:f>
        <x:v>-0.005572309403513276</x:v>
      </x:c>
      <x:c r="S43" s="26" t="n">
        <x:f>PRODUCT(1+'Return Data'!S44:S54)-1</x:f>
        <x:v>0.25923896644189814</x:v>
      </x:c>
      <x:c r="T43" s="26" t="n">
        <x:f>PRODUCT(1+'Return Data'!T44:T54)-1</x:f>
        <x:v>-0.28415798347529764</x:v>
      </x:c>
      <x:c r="U43" s="26" t="n">
        <x:f>PRODUCT(1+'Return Data'!U44:U54)-1</x:f>
        <x:v>-0.24301834731438565</x:v>
      </x:c>
    </x:row>
    <x:row r="44">
      <x:c r="A44" s="20" t="n">
        <x:f>'Return Data'!A57</x:f>
        <x:v>45321</x:v>
      </x:c>
      <x:c r="B44" s="26" t="n">
        <x:f>PRODUCT(1+'Return Data'!B45:B55)-1</x:f>
        <x:v>0.20761918351137476</x:v>
      </x:c>
      <x:c r="C44" s="26" t="n">
        <x:f>PRODUCT(1+'Return Data'!C45:C55)-1</x:f>
        <x:v>-0.3112581431556264</x:v>
      </x:c>
      <x:c r="D44" s="26" t="n">
        <x:f>PRODUCT(1+'Return Data'!D45:D55)-1</x:f>
        <x:v>0.4632849750706245</x:v>
      </x:c>
      <x:c r="E44" s="26" t="n">
        <x:f>PRODUCT(1+'Return Data'!E45:E55)-1</x:f>
        <x:v>0.5058130507926315</x:v>
      </x:c>
      <x:c r="F44" s="26" t="n">
        <x:f>PRODUCT(1+'Return Data'!F45:F55)-1</x:f>
        <x:v>0.07505912412852478</x:v>
      </x:c>
      <x:c r="G44" s="26" t="n">
        <x:f>PRODUCT(1+'Return Data'!G45:G55)-1</x:f>
        <x:v>0.23524212145103118</x:v>
      </x:c>
      <x:c r="H44" s="26" t="n">
        <x:f>PRODUCT(1+'Return Data'!H45:H55)-1</x:f>
        <x:v>0.28128199834507983</x:v>
      </x:c>
      <x:c r="I44" s="26" t="n">
        <x:f>PRODUCT(1+'Return Data'!I45:I55)-1</x:f>
        <x:v>0.01111003038663716</x:v>
      </x:c>
      <x:c r="J44" s="26" t="n">
        <x:f>PRODUCT(1+'Return Data'!J45:J55)-1</x:f>
        <x:v>0.4132860433268495</x:v>
      </x:c>
      <x:c r="K44" s="26" t="n">
        <x:f>PRODUCT(1+'Return Data'!K45:K55)-1</x:f>
        <x:v>-0.4235688946620093</x:v>
      </x:c>
      <x:c r="L44" s="26" t="n">
        <x:f>PRODUCT(1+'Return Data'!L45:L55)-1</x:f>
        <x:v>0.15072150781674387</x:v>
      </x:c>
      <x:c r="M44" s="26" t="n">
        <x:f>PRODUCT(1+'Return Data'!M45:M55)-1</x:f>
        <x:v>0.27306877034392585</x:v>
      </x:c>
      <x:c r="N44" s="26" t="n">
        <x:f>PRODUCT(1+'Return Data'!N45:N55)-1</x:f>
        <x:v>0.29038773637878923</x:v>
      </x:c>
      <x:c r="O44" s="26" t="n">
        <x:f>PRODUCT(1+'Return Data'!O45:O55)-1</x:f>
        <x:v>0.2512015503666636</x:v>
      </x:c>
      <x:c r="P44" s="26" t="n">
        <x:f>PRODUCT(1+'Return Data'!P45:P55)-1</x:f>
        <x:v>-0.051078996208985816</x:v>
      </x:c>
      <x:c r="Q44" s="26" t="n">
        <x:f>PRODUCT(1+'Return Data'!Q45:Q55)-1</x:f>
        <x:v>0.18258778540786702</x:v>
      </x:c>
      <x:c r="R44" s="26" t="n">
        <x:f>PRODUCT(1+'Return Data'!R45:R55)-1</x:f>
        <x:v>0.2881756146658516</x:v>
      </x:c>
      <x:c r="S44" s="26" t="n">
        <x:f>PRODUCT(1+'Return Data'!S45:S55)-1</x:f>
        <x:v>0.839013322140227</x:v>
      </x:c>
      <x:c r="T44" s="26" t="n">
        <x:f>PRODUCT(1+'Return Data'!T45:T55)-1</x:f>
        <x:v>0.046196644340044335</x:v>
      </x:c>
      <x:c r="U44" s="26" t="n">
        <x:f>PRODUCT(1+'Return Data'!U45:U55)-1</x:f>
        <x:v>0.09377007188236597</x:v>
      </x:c>
    </x:row>
    <x:row r="45">
      <x:c r="A45" s="20" t="n">
        <x:f>'Return Data'!A58</x:f>
        <x:v>45351</x:v>
      </x:c>
      <x:c r="B45" s="26" t="n">
        <x:f>PRODUCT(1+'Return Data'!B46:B56)-1</x:f>
        <x:v>0.12246441086755389</x:v>
      </x:c>
      <x:c r="C45" s="26" t="n">
        <x:f>PRODUCT(1+'Return Data'!C46:C56)-1</x:f>
        <x:v>-0.2897778360587878</x:v>
      </x:c>
      <x:c r="D45" s="26" t="n">
        <x:f>PRODUCT(1+'Return Data'!D46:D56)-1</x:f>
        <x:v>0.3970460281806416</x:v>
      </x:c>
      <x:c r="E45" s="26" t="n">
        <x:f>PRODUCT(1+'Return Data'!E46:E56)-1</x:f>
        <x:v>0.4834560517740625</x:v>
      </x:c>
      <x:c r="F45" s="26" t="n">
        <x:f>PRODUCT(1+'Return Data'!F46:F56)-1</x:f>
        <x:v>0.013622613500067438</x:v>
      </x:c>
      <x:c r="G45" s="26" t="n">
        <x:f>PRODUCT(1+'Return Data'!G46:G56)-1</x:f>
        <x:v>0.23013048507455514</x:v>
      </x:c>
      <x:c r="H45" s="26" t="n">
        <x:f>PRODUCT(1+'Return Data'!H46:H56)-1</x:f>
        <x:v>0.27960424681039453</x:v>
      </x:c>
      <x:c r="I45" s="26" t="n">
        <x:f>PRODUCT(1+'Return Data'!I46:I56)-1</x:f>
        <x:v>-0.07953089067095453</x:v>
      </x:c>
      <x:c r="J45" s="26" t="n">
        <x:f>PRODUCT(1+'Return Data'!J46:J56)-1</x:f>
        <x:v>0.32546444054624435</x:v>
      </x:c>
      <x:c r="K45" s="26" t="n">
        <x:f>PRODUCT(1+'Return Data'!K46:K56)-1</x:f>
        <x:v>-0.40373353295574455</x:v>
      </x:c>
      <x:c r="L45" s="26" t="n">
        <x:f>PRODUCT(1+'Return Data'!L46:L56)-1</x:f>
        <x:v>0.219494544811341</x:v>
      </x:c>
      <x:c r="M45" s="26" t="n">
        <x:f>PRODUCT(1+'Return Data'!M46:M56)-1</x:f>
        <x:v>0.18102324828190142</x:v>
      </x:c>
      <x:c r="N45" s="26" t="n">
        <x:f>PRODUCT(1+'Return Data'!N46:N56)-1</x:f>
        <x:v>0.4063103482096111</x:v>
      </x:c>
      <x:c r="O45" s="26" t="n">
        <x:f>PRODUCT(1+'Return Data'!O46:O56)-1</x:f>
        <x:v>0.33440408690346657</x:v>
      </x:c>
      <x:c r="P45" s="26" t="n">
        <x:f>PRODUCT(1+'Return Data'!P46:P56)-1</x:f>
        <x:v>-0.1394080651053523</x:v>
      </x:c>
      <x:c r="Q45" s="26" t="n">
        <x:f>PRODUCT(1+'Return Data'!Q46:Q56)-1</x:f>
        <x:v>0.11059292505438334</x:v>
      </x:c>
      <x:c r="R45" s="26" t="n">
        <x:f>PRODUCT(1+'Return Data'!R46:R56)-1</x:f>
        <x:v>0.21841505164624797</x:v>
      </x:c>
      <x:c r="S45" s="26" t="n">
        <x:f>PRODUCT(1+'Return Data'!S46:S56)-1</x:f>
        <x:v>0.7953160594351023</x:v>
      </x:c>
      <x:c r="T45" s="26" t="n">
        <x:f>PRODUCT(1+'Return Data'!T46:T56)-1</x:f>
        <x:v>0.0739234211478188</x:v>
      </x:c>
      <x:c r="U45" s="26" t="n">
        <x:f>PRODUCT(1+'Return Data'!U46:U56)-1</x:f>
        <x:v>-0.07224021489711119</x:v>
      </x:c>
    </x:row>
    <x:row r="46">
      <x:c r="A46" s="20" t="n">
        <x:f>'Return Data'!A59</x:f>
        <x:v>45381</x:v>
      </x:c>
      <x:c r="B46" s="26" t="n">
        <x:f>PRODUCT(1+'Return Data'!B47:B57)-1</x:f>
        <x:v>0.1239619958083007</x:v>
      </x:c>
      <x:c r="C46" s="26" t="n">
        <x:f>PRODUCT(1+'Return Data'!C47:C57)-1</x:f>
        <x:v>-0.21091352675473207</x:v>
      </x:c>
      <x:c r="D46" s="26" t="n">
        <x:f>PRODUCT(1+'Return Data'!D47:D57)-1</x:f>
        <x:v>0.47375689820541966</x:v>
      </x:c>
      <x:c r="E46" s="26" t="n">
        <x:f>PRODUCT(1+'Return Data'!E47:E57)-1</x:f>
        <x:v>0.3883183003497892</x:v>
      </x:c>
      <x:c r="F46" s="26" t="n">
        <x:f>PRODUCT(1+'Return Data'!F47:F57)-1</x:f>
        <x:v>0.003222370682124165</x:v>
      </x:c>
      <x:c r="G46" s="26" t="n">
        <x:f>PRODUCT(1+'Return Data'!G47:G57)-1</x:f>
        <x:v>0.1758550969823387</x:v>
      </x:c>
      <x:c r="H46" s="26" t="n">
        <x:f>PRODUCT(1+'Return Data'!H47:H57)-1</x:f>
        <x:v>0.4371803779834518</x:v>
      </x:c>
      <x:c r="I46" s="26" t="n">
        <x:f>PRODUCT(1+'Return Data'!I47:I57)-1</x:f>
        <x:v>-0.1587573213164276</x:v>
      </x:c>
      <x:c r="J46" s="26" t="n">
        <x:f>PRODUCT(1+'Return Data'!J47:J57)-1</x:f>
        <x:v>0.3307774780275343</x:v>
      </x:c>
      <x:c r="K46" s="26" t="n">
        <x:f>PRODUCT(1+'Return Data'!K47:K57)-1</x:f>
        <x:v>-0.3630904843338091</x:v>
      </x:c>
      <x:c r="L46" s="26" t="n">
        <x:f>PRODUCT(1+'Return Data'!L47:L57)-1</x:f>
        <x:v>0.2918417609472448</x:v>
      </x:c>
      <x:c r="M46" s="26" t="n">
        <x:f>PRODUCT(1+'Return Data'!M47:M57)-1</x:f>
        <x:v>0.29581298256919974</x:v>
      </x:c>
      <x:c r="N46" s="26" t="n">
        <x:f>PRODUCT(1+'Return Data'!N47:N57)-1</x:f>
        <x:v>0.33247194211882736</x:v>
      </x:c>
      <x:c r="O46" s="26" t="n">
        <x:f>PRODUCT(1+'Return Data'!O47:O57)-1</x:f>
        <x:v>-0.0054813657066767885</x:v>
      </x:c>
      <x:c r="P46" s="26" t="n">
        <x:f>PRODUCT(1+'Return Data'!P47:P57)-1</x:f>
        <x:v>0.08651788871559551</x:v>
      </x:c>
      <x:c r="Q46" s="26" t="n">
        <x:f>PRODUCT(1+'Return Data'!Q47:Q57)-1</x:f>
        <x:v>0.07715798028834286</x:v>
      </x:c>
      <x:c r="R46" s="26" t="n">
        <x:f>PRODUCT(1+'Return Data'!R47:R57)-1</x:f>
        <x:v>0.2316437233835873</x:v>
      </x:c>
      <x:c r="S46" s="26" t="n">
        <x:f>PRODUCT(1+'Return Data'!S47:S57)-1</x:f>
        <x:v>0.5850211501922031</x:v>
      </x:c>
      <x:c r="T46" s="26" t="n">
        <x:f>PRODUCT(1+'Return Data'!T47:T57)-1</x:f>
        <x:v>0.24746853191138052</x:v>
      </x:c>
      <x:c r="U46" s="26" t="n">
        <x:f>PRODUCT(1+'Return Data'!U47:U57)-1</x:f>
        <x:v>-0.2505074946511079</x:v>
      </x:c>
    </x:row>
    <x:row r="47">
      <x:c r="A47" s="20" t="n">
        <x:f>'Return Data'!A60</x:f>
        <x:v>45412</x:v>
      </x:c>
      <x:c r="B47" s="26" t="n">
        <x:f>PRODUCT(1+'Return Data'!B48:B58)-1</x:f>
        <x:v>0.06885427925421439</x:v>
      </x:c>
      <x:c r="C47" s="26" t="n">
        <x:f>PRODUCT(1+'Return Data'!C48:C58)-1</x:f>
        <x:v>-0.07881558677388723</x:v>
      </x:c>
      <x:c r="D47" s="26" t="n">
        <x:f>PRODUCT(1+'Return Data'!D48:D58)-1</x:f>
        <x:v>0.45035284076446924</x:v>
      </x:c>
      <x:c r="E47" s="26" t="n">
        <x:f>PRODUCT(1+'Return Data'!E48:E58)-1</x:f>
        <x:v>0.2609253495355368</x:v>
      </x:c>
      <x:c r="F47" s="26" t="n">
        <x:f>PRODUCT(1+'Return Data'!F48:F58)-1</x:f>
        <x:v>0.1334170779580066</x:v>
      </x:c>
      <x:c r="G47" s="26" t="n">
        <x:f>PRODUCT(1+'Return Data'!G48:G58)-1</x:f>
        <x:v>0.15177770335443674</x:v>
      </x:c>
      <x:c r="H47" s="26" t="n">
        <x:f>PRODUCT(1+'Return Data'!H48:H58)-1</x:f>
        <x:v>0.39341816858879874</x:v>
      </x:c>
      <x:c r="I47" s="26" t="n">
        <x:f>PRODUCT(1+'Return Data'!I48:I58)-1</x:f>
        <x:v>-0.14363285688490468</x:v>
      </x:c>
      <x:c r="J47" s="26" t="n">
        <x:f>PRODUCT(1+'Return Data'!J48:J58)-1</x:f>
        <x:v>0.21016911049789755</x:v>
      </x:c>
      <x:c r="K47" s="26" t="n">
        <x:f>PRODUCT(1+'Return Data'!K48:K58)-1</x:f>
        <x:v>-0.31645330499499025</x:v>
      </x:c>
      <x:c r="L47" s="26" t="n">
        <x:f>PRODUCT(1+'Return Data'!L48:L58)-1</x:f>
        <x:v>0.12194236820753357</x:v>
      </x:c>
      <x:c r="M47" s="26" t="n">
        <x:f>PRODUCT(1+'Return Data'!M48:M58)-1</x:f>
        <x:v>0.33500332946798794</x:v>
      </x:c>
      <x:c r="N47" s="26" t="n">
        <x:f>PRODUCT(1+'Return Data'!N48:N58)-1</x:f>
        <x:v>0.16717697459456993</x:v>
      </x:c>
      <x:c r="O47" s="26" t="n">
        <x:f>PRODUCT(1+'Return Data'!O48:O58)-1</x:f>
        <x:v>-0.06146467149836243</x:v>
      </x:c>
      <x:c r="P47" s="26" t="n">
        <x:f>PRODUCT(1+'Return Data'!P48:P58)-1</x:f>
        <x:v>0.1347784184054761</x:v>
      </x:c>
      <x:c r="Q47" s="26" t="n">
        <x:f>PRODUCT(1+'Return Data'!Q48:Q58)-1</x:f>
        <x:v>0.07941623444611712</x:v>
      </x:c>
      <x:c r="R47" s="26" t="n">
        <x:f>PRODUCT(1+'Return Data'!R48:R58)-1</x:f>
        <x:v>0.11640741594568915</x:v>
      </x:c>
      <x:c r="S47" s="26" t="n">
        <x:f>PRODUCT(1+'Return Data'!S48:S58)-1</x:f>
        <x:v>0.6101077835168849</x:v>
      </x:c>
      <x:c r="T47" s="26" t="n">
        <x:f>PRODUCT(1+'Return Data'!T48:T58)-1</x:f>
        <x:v>0.359372238426912</x:v>
      </x:c>
      <x:c r="U47" s="26" t="n">
        <x:f>PRODUCT(1+'Return Data'!U48:U58)-1</x:f>
        <x:v>-0.3123344655227913</x:v>
      </x:c>
    </x:row>
    <x:row r="48">
      <x:c r="A48" s="20" t="n">
        <x:f>'Return Data'!A61</x:f>
        <x:v>45442</x:v>
      </x:c>
      <x:c r="B48" s="26" t="n">
        <x:f>PRODUCT(1+'Return Data'!B49:B59)-1</x:f>
        <x:v>0.10423129520187002</x:v>
      </x:c>
      <x:c r="C48" s="26" t="n">
        <x:f>PRODUCT(1+'Return Data'!C49:C59)-1</x:f>
        <x:v>-0.051485995115440386</x:v>
      </x:c>
      <x:c r="D48" s="26" t="n">
        <x:f>PRODUCT(1+'Return Data'!D49:D59)-1</x:f>
        <x:v>0.7294010966234103</x:v>
      </x:c>
      <x:c r="E48" s="26" t="n">
        <x:f>PRODUCT(1+'Return Data'!E49:E59)-1</x:f>
        <x:v>0.1735120313450338</x:v>
      </x:c>
      <x:c r="F48" s="26" t="n">
        <x:f>PRODUCT(1+'Return Data'!F49:F59)-1</x:f>
        <x:v>0.0771411650582372</x:v>
      </x:c>
      <x:c r="G48" s="26" t="n">
        <x:f>PRODUCT(1+'Return Data'!G49:G59)-1</x:f>
        <x:v>0.1942855369134422</x:v>
      </x:c>
      <x:c r="H48" s="26" t="n">
        <x:f>PRODUCT(1+'Return Data'!H49:H59)-1</x:f>
        <x:v>0.24593881131488393</x:v>
      </x:c>
      <x:c r="I48" s="26" t="n">
        <x:f>PRODUCT(1+'Return Data'!I49:I59)-1</x:f>
        <x:v>-0.24112969311252475</x:v>
      </x:c>
      <x:c r="J48" s="26" t="n">
        <x:f>PRODUCT(1+'Return Data'!J49:J59)-1</x:f>
        <x:v>0.17905536495898322</x:v>
      </x:c>
      <x:c r="K48" s="26" t="n">
        <x:f>PRODUCT(1+'Return Data'!K49:K59)-1</x:f>
        <x:v>-0.29359254645538624</x:v>
      </x:c>
      <x:c r="L48" s="26" t="n">
        <x:f>PRODUCT(1+'Return Data'!L49:L59)-1</x:f>
        <x:v>0.11200889726987362</x:v>
      </x:c>
      <x:c r="M48" s="26" t="n">
        <x:f>PRODUCT(1+'Return Data'!M49:M59)-1</x:f>
        <x:v>0.24990842928245383</x:v>
      </x:c>
      <x:c r="N48" s="26" t="n">
        <x:f>PRODUCT(1+'Return Data'!N49:N59)-1</x:f>
        <x:v>0.20639924533980247</x:v>
      </x:c>
      <x:c r="O48" s="26" t="n">
        <x:f>PRODUCT(1+'Return Data'!O49:O59)-1</x:f>
        <x:v>0.03834452908668551</x:v>
      </x:c>
      <x:c r="P48" s="26" t="n">
        <x:f>PRODUCT(1+'Return Data'!P49:P59)-1</x:f>
        <x:v>0.13790639819783945</x:v>
      </x:c>
      <x:c r="Q48" s="26" t="n">
        <x:f>PRODUCT(1+'Return Data'!Q49:Q59)-1</x:f>
        <x:v>0.09743915104269596</x:v>
      </x:c>
      <x:c r="R48" s="26" t="n">
        <x:f>PRODUCT(1+'Return Data'!R49:R59)-1</x:f>
        <x:v>0.12812527069408786</x:v>
      </x:c>
      <x:c r="S48" s="26" t="n">
        <x:f>PRODUCT(1+'Return Data'!S49:S59)-1</x:f>
        <x:v>0.531147693469384</x:v>
      </x:c>
      <x:c r="T48" s="26" t="n">
        <x:f>PRODUCT(1+'Return Data'!T49:T59)-1</x:f>
        <x:v>0.3842973131472631</x:v>
      </x:c>
      <x:c r="U48" s="26" t="n">
        <x:f>PRODUCT(1+'Return Data'!U49:U59)-1</x:f>
        <x:v>-0.1918445248028059</x:v>
      </x:c>
    </x:row>
    <x:row r="49">
      <x:c r="A49" s="20" t="n">
        <x:f>'Return Data'!A62</x:f>
        <x:v>45473</x:v>
      </x:c>
      <x:c r="B49" s="26" t="n">
        <x:f>PRODUCT(1+'Return Data'!B50:B60)-1</x:f>
        <x:v>0.4513659062662503</x:v>
      </x:c>
      <x:c r="C49" s="26" t="n">
        <x:f>PRODUCT(1+'Return Data'!C50:C60)-1</x:f>
        <x:v>0.14818821720192488</x:v>
      </x:c>
      <x:c r="D49" s="26" t="n">
        <x:f>PRODUCT(1+'Return Data'!D50:D60)-1</x:f>
        <x:v>1.0689504304191733</x:v>
      </x:c>
      <x:c r="E49" s="26" t="n">
        <x:f>PRODUCT(1+'Return Data'!E50:E60)-1</x:f>
        <x:v>0.41614337600880424</x:v>
      </x:c>
      <x:c r="F49" s="26" t="n">
        <x:f>PRODUCT(1+'Return Data'!F50:F60)-1</x:f>
        <x:v>0.45066549103531095</x:v>
      </x:c>
      <x:c r="G49" s="26" t="n">
        <x:f>PRODUCT(1+'Return Data'!G50:G60)-1</x:f>
        <x:v>0.31815491906550153</x:v>
      </x:c>
      <x:c r="H49" s="26" t="n">
        <x:f>PRODUCT(1+'Return Data'!H50:H60)-1</x:f>
        <x:v>0.3588576211972774</x:v>
      </x:c>
      <x:c r="I49" s="26" t="n">
        <x:f>PRODUCT(1+'Return Data'!I50:I60)-1</x:f>
        <x:v>-0.08341194153822196</x:v>
      </x:c>
      <x:c r="J49" s="26" t="n">
        <x:f>PRODUCT(1+'Return Data'!J50:J60)-1</x:f>
        <x:v>0.3233248345652211</x:v>
      </x:c>
      <x:c r="K49" s="26" t="n">
        <x:f>PRODUCT(1+'Return Data'!K50:K60)-1</x:f>
        <x:v>-0.18885537361546978</x:v>
      </x:c>
      <x:c r="L49" s="26" t="n">
        <x:f>PRODUCT(1+'Return Data'!L50:L60)-1</x:f>
        <x:v>0.24122584641750988</x:v>
      </x:c>
      <x:c r="M49" s="26" t="n">
        <x:f>PRODUCT(1+'Return Data'!M50:M60)-1</x:f>
        <x:v>0.4403524039693054</x:v>
      </x:c>
      <x:c r="N49" s="26" t="n">
        <x:f>PRODUCT(1+'Return Data'!N50:N60)-1</x:f>
        <x:v>0.39105957023466753</x:v>
      </x:c>
      <x:c r="O49" s="26" t="n">
        <x:f>PRODUCT(1+'Return Data'!O50:O60)-1</x:f>
        <x:v>0.379739097356802</x:v>
      </x:c>
      <x:c r="P49" s="26" t="n">
        <x:f>PRODUCT(1+'Return Data'!P50:P60)-1</x:f>
        <x:v>0.5492776376256137</x:v>
      </x:c>
      <x:c r="Q49" s="26" t="n">
        <x:f>PRODUCT(1+'Return Data'!Q50:Q60)-1</x:f>
        <x:v>0.2264577540135242</x:v>
      </x:c>
      <x:c r="R49" s="26" t="n">
        <x:f>PRODUCT(1+'Return Data'!R50:R60)-1</x:f>
        <x:v>0.45127620290914305</x:v>
      </x:c>
      <x:c r="S49" s="26" t="n">
        <x:f>PRODUCT(1+'Return Data'!S50:S60)-1</x:f>
        <x:v>0.5514492699367937</x:v>
      </x:c>
      <x:c r="T49" s="26" t="n">
        <x:f>PRODUCT(1+'Return Data'!T50:T60)-1</x:f>
        <x:v>0.9067237748253947</x:v>
      </x:c>
      <x:c r="U49" s="26" t="n">
        <x:f>PRODUCT(1+'Return Data'!U50:U60)-1</x:f>
        <x:v>-0.009274387440891152</x:v>
      </x:c>
    </x:row>
    <x:row r="50">
      <x:c r="A50" s="20" t="n">
        <x:f>'Return Data'!A63</x:f>
        <x:v>45503</x:v>
      </x:c>
      <x:c r="B50" s="26" t="n">
        <x:f>PRODUCT(1+'Return Data'!B51:B61)-1</x:f>
        <x:v>0.3923003704407644</x:v>
      </x:c>
      <x:c r="C50" s="26" t="n">
        <x:f>PRODUCT(1+'Return Data'!C51:C61)-1</x:f>
        <x:v>0.18493920059689906</x:v>
      </x:c>
      <x:c r="D50" s="26" t="n">
        <x:f>PRODUCT(1+'Return Data'!D51:D61)-1</x:f>
        <x:v>1.0018819883977965</x:v>
      </x:c>
      <x:c r="E50" s="26" t="n">
        <x:f>PRODUCT(1+'Return Data'!E51:E61)-1</x:f>
        <x:v>0.42948892406721817</x:v>
      </x:c>
      <x:c r="F50" s="26" t="n">
        <x:f>PRODUCT(1+'Return Data'!F51:F61)-1</x:f>
        <x:v>0.5934374838761203</x:v>
      </x:c>
      <x:c r="G50" s="26" t="n">
        <x:f>PRODUCT(1+'Return Data'!G51:G61)-1</x:f>
        <x:v>0.2861110577310746</x:v>
      </x:c>
      <x:c r="H50" s="26" t="n">
        <x:f>PRODUCT(1+'Return Data'!H51:H61)-1</x:f>
        <x:v>0.499502538806494</x:v>
      </x:c>
      <x:c r="I50" s="26" t="n">
        <x:f>PRODUCT(1+'Return Data'!I51:I61)-1</x:f>
        <x:v>0.016857653029941133</x:v>
      </x:c>
      <x:c r="J50" s="26" t="n">
        <x:f>PRODUCT(1+'Return Data'!J51:J61)-1</x:f>
        <x:v>0.07256919395793959</x:v>
      </x:c>
      <x:c r="K50" s="26" t="n">
        <x:f>PRODUCT(1+'Return Data'!K51:K61)-1</x:f>
        <x:v>-0.19584632744580222</x:v>
      </x:c>
      <x:c r="L50" s="26" t="n">
        <x:f>PRODUCT(1+'Return Data'!L51:L61)-1</x:f>
        <x:v>0.2112829854263758</x:v>
      </x:c>
      <x:c r="M50" s="26" t="n">
        <x:f>PRODUCT(1+'Return Data'!M51:M61)-1</x:f>
        <x:v>0.451040363055351</x:v>
      </x:c>
      <x:c r="N50" s="26" t="n">
        <x:f>PRODUCT(1+'Return Data'!N51:N61)-1</x:f>
        <x:v>0.4097124339049667</x:v>
      </x:c>
      <x:c r="O50" s="26" t="n">
        <x:f>PRODUCT(1+'Return Data'!O51:O61)-1</x:f>
        <x:v>0.22694230021768513</x:v>
      </x:c>
      <x:c r="P50" s="26" t="n">
        <x:f>PRODUCT(1+'Return Data'!P51:P61)-1</x:f>
        <x:v>0.6206875882892231</x:v>
      </x:c>
      <x:c r="Q50" s="26" t="n">
        <x:f>PRODUCT(1+'Return Data'!Q51:Q61)-1</x:f>
        <x:v>0.4901629173087705</x:v>
      </x:c>
      <x:c r="R50" s="26" t="n">
        <x:f>PRODUCT(1+'Return Data'!R51:R61)-1</x:f>
        <x:v>0.41721273890061616</x:v>
      </x:c>
      <x:c r="S50" s="26" t="n">
        <x:f>PRODUCT(1+'Return Data'!S51:S61)-1</x:f>
        <x:v>0.3831210097900315</x:v>
      </x:c>
      <x:c r="T50" s="26" t="n">
        <x:f>PRODUCT(1+'Return Data'!T51:T61)-1</x:f>
        <x:v>0.9541147086739314</x:v>
      </x:c>
      <x:c r="U50" s="26" t="n">
        <x:f>PRODUCT(1+'Return Data'!U51:U61)-1</x:f>
        <x:v>0.273500772221003</x:v>
      </x:c>
    </x:row>
    <x:row r="51">
      <x:c r="A51" s="20" t="n">
        <x:f>'Return Data'!A64</x:f>
        <x:v>45534</x:v>
      </x:c>
      <x:c r="B51" s="26" t="n">
        <x:f>PRODUCT(1+'Return Data'!B52:B62)-1</x:f>
        <x:v>0.4593203554642411</x:v>
      </x:c>
      <x:c r="C51" s="26" t="n">
        <x:f>PRODUCT(1+'Return Data'!C52:C62)-1</x:f>
        <x:v>0.22682385788179338</x:v>
      </x:c>
      <x:c r="D51" s="26" t="n">
        <x:f>PRODUCT(1+'Return Data'!D52:D62)-1</x:f>
        <x:v>0.890926732826145</x:v>
      </x:c>
      <x:c r="E51" s="26" t="n">
        <x:f>PRODUCT(1+'Return Data'!E52:E62)-1</x:f>
        <x:v>0.6510832971681306</x:v>
      </x:c>
      <x:c r="F51" s="26" t="n">
        <x:f>PRODUCT(1+'Return Data'!F52:F62)-1</x:f>
        <x:v>0.4842691225268261</x:v>
      </x:c>
      <x:c r="G51" s="26" t="n">
        <x:f>PRODUCT(1+'Return Data'!G52:G62)-1</x:f>
        <x:v>0.2674129578561866</x:v>
      </x:c>
      <x:c r="H51" s="26" t="n">
        <x:f>PRODUCT(1+'Return Data'!H52:H62)-1</x:f>
        <x:v>0.43970068605933976</x:v>
      </x:c>
      <x:c r="I51" s="26" t="n">
        <x:f>PRODUCT(1+'Return Data'!I52:I62)-1</x:f>
        <x:v>0.28696484788528354</x:v>
      </x:c>
      <x:c r="J51" s="26" t="n">
        <x:f>PRODUCT(1+'Return Data'!J52:J62)-1</x:f>
        <x:v>-0.07394873728741591</x:v>
      </x:c>
      <x:c r="K51" s="26" t="n">
        <x:f>PRODUCT(1+'Return Data'!K52:K62)-1</x:f>
        <x:v>-0.22713946092519854</x:v>
      </x:c>
      <x:c r="L51" s="26" t="n">
        <x:f>PRODUCT(1+'Return Data'!L52:L62)-1</x:f>
        <x:v>0.2613351488362623</x:v>
      </x:c>
      <x:c r="M51" s="26" t="n">
        <x:f>PRODUCT(1+'Return Data'!M52:M62)-1</x:f>
        <x:v>0.5196139447206496</x:v>
      </x:c>
      <x:c r="N51" s="26" t="n">
        <x:f>PRODUCT(1+'Return Data'!N52:N62)-1</x:f>
        <x:v>0.520893087041957</x:v>
      </x:c>
      <x:c r="O51" s="26" t="n">
        <x:f>PRODUCT(1+'Return Data'!O52:O62)-1</x:f>
        <x:v>0.21480115631109653</x:v>
      </x:c>
      <x:c r="P51" s="26" t="n">
        <x:f>PRODUCT(1+'Return Data'!P52:P62)-1</x:f>
        <x:v>0.8236184959765671</x:v>
      </x:c>
      <x:c r="Q51" s="26" t="n">
        <x:f>PRODUCT(1+'Return Data'!Q52:Q62)-1</x:f>
        <x:v>0.5116963948998146</x:v>
      </x:c>
      <x:c r="R51" s="26" t="n">
        <x:f>PRODUCT(1+'Return Data'!R52:R62)-1</x:f>
        <x:v>0.4448190362318676</x:v>
      </x:c>
      <x:c r="S51" s="26" t="n">
        <x:f>PRODUCT(1+'Return Data'!S52:S62)-1</x:f>
        <x:v>0.6051953965467667</x:v>
      </x:c>
      <x:c r="T51" s="26" t="n">
        <x:f>PRODUCT(1+'Return Data'!T52:T62)-1</x:f>
        <x:v>1.3442708829314327</x:v>
      </x:c>
      <x:c r="U51" s="26" t="n">
        <x:f>PRODUCT(1+'Return Data'!U52:U62)-1</x:f>
        <x:v>0.15009085508460918</x:v>
      </x:c>
    </x:row>
    <x:row r="52">
      <x:c r="A52" s="20" t="n">
        <x:f>'Return Data'!A65</x:f>
        <x:v>45565</x:v>
      </x:c>
      <x:c r="B52" s="26" t="n">
        <x:f>PRODUCT(1+'Return Data'!B53:B63)-1</x:f>
        <x:v>0.3182859715235904</x:v>
      </x:c>
      <x:c r="C52" s="26" t="n">
        <x:f>PRODUCT(1+'Return Data'!C53:C63)-1</x:f>
        <x:v>0.16585707170751407</x:v>
      </x:c>
      <x:c r="D52" s="26" t="n">
        <x:f>PRODUCT(1+'Return Data'!D53:D63)-1</x:f>
        <x:v>0.9434828585424659</x:v>
      </x:c>
      <x:c r="E52" s="26" t="n">
        <x:f>PRODUCT(1+'Return Data'!E53:E63)-1</x:f>
        <x:v>0.45925334948350405</x:v>
      </x:c>
      <x:c r="F52" s="26" t="n">
        <x:f>PRODUCT(1+'Return Data'!F53:F63)-1</x:f>
        <x:v>0.5064983869655157</x:v>
      </x:c>
      <x:c r="G52" s="26" t="n">
        <x:f>PRODUCT(1+'Return Data'!G53:G63)-1</x:f>
        <x:v>0.30061832574235337</x:v>
      </x:c>
      <x:c r="H52" s="26" t="n">
        <x:f>PRODUCT(1+'Return Data'!H53:H63)-1</x:f>
        <x:v>0.40817368281177346</x:v>
      </x:c>
      <x:c r="I52" s="26" t="n">
        <x:f>PRODUCT(1+'Return Data'!I53:I63)-1</x:f>
        <x:v>0.195366236578987</x:v>
      </x:c>
      <x:c r="J52" s="26" t="n">
        <x:f>PRODUCT(1+'Return Data'!J53:J63)-1</x:f>
        <x:v>-0.056214093031660584</x:v>
      </x:c>
      <x:c r="K52" s="26" t="n">
        <x:f>PRODUCT(1+'Return Data'!K53:K63)-1</x:f>
        <x:v>-0.10147191153156376</x:v>
      </x:c>
      <x:c r="L52" s="26" t="n">
        <x:f>PRODUCT(1+'Return Data'!L53:L63)-1</x:f>
        <x:v>0.19179686340872903</x:v>
      </x:c>
      <x:c r="M52" s="26" t="n">
        <x:f>PRODUCT(1+'Return Data'!M53:M63)-1</x:f>
        <x:v>0.3563922358422549</x:v>
      </x:c>
      <x:c r="N52" s="26" t="n">
        <x:f>PRODUCT(1+'Return Data'!N53:N63)-1</x:f>
        <x:v>0.5814223684556659</x:v>
      </x:c>
      <x:c r="O52" s="26" t="n">
        <x:f>PRODUCT(1+'Return Data'!O53:O63)-1</x:f>
        <x:v>0.2178141824153461</x:v>
      </x:c>
      <x:c r="P52" s="26" t="n">
        <x:f>PRODUCT(1+'Return Data'!P53:P63)-1</x:f>
        <x:v>0.7276467648569078</x:v>
      </x:c>
      <x:c r="Q52" s="26" t="n">
        <x:f>PRODUCT(1+'Return Data'!Q53:Q63)-1</x:f>
        <x:v>0.7748248943810319</x:v>
      </x:c>
      <x:c r="R52" s="26" t="n">
        <x:f>PRODUCT(1+'Return Data'!R53:R63)-1</x:f>
        <x:v>0.6035201084038488</x:v>
      </x:c>
      <x:c r="S52" s="26" t="n">
        <x:f>PRODUCT(1+'Return Data'!S53:S63)-1</x:f>
        <x:v>0.472447109846968</x:v>
      </x:c>
      <x:c r="T52" s="26" t="n">
        <x:f>PRODUCT(1+'Return Data'!T53:T63)-1</x:f>
        <x:v>1.2035454640807393</x:v>
      </x:c>
      <x:c r="U52" s="26" t="n">
        <x:f>PRODUCT(1+'Return Data'!U53:U63)-1</x:f>
        <x:v>0.12210420201094618</x:v>
      </x:c>
    </x:row>
    <x:row r="53">
      <x:c r="A53" s="20" t="n">
        <x:f>'Return Data'!A66</x:f>
        <x:v>45595</x:v>
      </x:c>
      <x:c r="B53" s="26" t="n">
        <x:f>PRODUCT(1+'Return Data'!B54:B64)-1</x:f>
        <x:v>0.30152229124889307</x:v>
      </x:c>
      <x:c r="C53" s="26" t="n">
        <x:f>PRODUCT(1+'Return Data'!C54:C64)-1</x:f>
        <x:v>0.2915559214485324</x:v>
      </x:c>
      <x:c r="D53" s="26" t="n">
        <x:f>PRODUCT(1+'Return Data'!D54:D64)-1</x:f>
        <x:v>0.7978105167360772</x:v>
      </x:c>
      <x:c r="E53" s="26" t="n">
        <x:f>PRODUCT(1+'Return Data'!E54:E64)-1</x:f>
        <x:v>0.3565551676951326</x:v>
      </x:c>
      <x:c r="F53" s="26" t="n">
        <x:f>PRODUCT(1+'Return Data'!F54:F64)-1</x:f>
        <x:v>0.5023067333902138</x:v>
      </x:c>
      <x:c r="G53" s="26" t="n">
        <x:f>PRODUCT(1+'Return Data'!G54:G64)-1</x:f>
        <x:v>0.36632671009923956</x:v>
      </x:c>
      <x:c r="H53" s="26" t="n">
        <x:f>PRODUCT(1+'Return Data'!H54:H64)-1</x:f>
        <x:v>0.30849421874999794</x:v>
      </x:c>
      <x:c r="I53" s="26" t="n">
        <x:f>PRODUCT(1+'Return Data'!I54:I64)-1</x:f>
        <x:v>0.3185950187912676</x:v>
      </x:c>
      <x:c r="J53" s="26" t="n">
        <x:f>PRODUCT(1+'Return Data'!J54:J64)-1</x:f>
        <x:v>-0.23248938429927868</x:v>
      </x:c>
      <x:c r="K53" s="26" t="n">
        <x:f>PRODUCT(1+'Return Data'!K54:K64)-1</x:f>
        <x:v>0.09926131132555871</x:v>
      </x:c>
      <x:c r="L53" s="26" t="n">
        <x:f>PRODUCT(1+'Return Data'!L54:L64)-1</x:f>
        <x:v>0.16155446851544486</x:v>
      </x:c>
      <x:c r="M53" s="26" t="n">
        <x:f>PRODUCT(1+'Return Data'!M54:M64)-1</x:f>
        <x:v>0.336688867972059</x:v>
      </x:c>
      <x:c r="N53" s="26" t="n">
        <x:f>PRODUCT(1+'Return Data'!N54:N64)-1</x:f>
        <x:v>0.7754510234706371</x:v>
      </x:c>
      <x:c r="O53" s="26" t="n">
        <x:f>PRODUCT(1+'Return Data'!O54:O64)-1</x:f>
        <x:v>0.12750578455430372</x:v>
      </x:c>
      <x:c r="P53" s="26" t="n">
        <x:f>PRODUCT(1+'Return Data'!P54:P64)-1</x:f>
        <x:v>0.5186833286361381</x:v>
      </x:c>
      <x:c r="Q53" s="26" t="n">
        <x:f>PRODUCT(1+'Return Data'!Q54:Q64)-1</x:f>
        <x:v>0.8519088920469733</x:v>
      </x:c>
      <x:c r="R53" s="26" t="n">
        <x:f>PRODUCT(1+'Return Data'!R54:R64)-1</x:f>
        <x:v>0.46135415275758973</x:v>
      </x:c>
      <x:c r="S53" s="26" t="n">
        <x:f>PRODUCT(1+'Return Data'!S54:S64)-1</x:f>
        <x:v>0.4734403945177095</x:v>
      </x:c>
      <x:c r="T53" s="26" t="n">
        <x:f>PRODUCT(1+'Return Data'!T54:T64)-1</x:f>
        <x:v>1.00148710151701</x:v>
      </x:c>
      <x:c r="U53" s="26" t="n">
        <x:f>PRODUCT(1+'Return Data'!U54:U64)-1</x:f>
        <x:v>0.2317098021778452</x:v>
      </x:c>
    </x:row>
    <x:row r="54">
      <x:c r="A54" s="20" t="n">
        <x:f>'Return Data'!A67</x:f>
        <x:v>45626</x:v>
      </x:c>
      <x:c r="B54" s="26" t="n">
        <x:f>PRODUCT(1+'Return Data'!B55:B65)-1</x:f>
        <x:v>0.31533593519423</x:v>
      </x:c>
      <x:c r="C54" s="26" t="n">
        <x:f>PRODUCT(1+'Return Data'!C55:C65)-1</x:f>
        <x:v>0.31711103308294697</x:v>
      </x:c>
      <x:c r="D54" s="26" t="n">
        <x:f>PRODUCT(1+'Return Data'!D55:D65)-1</x:f>
        <x:v>0.7947134853293527</x:v>
      </x:c>
      <x:c r="E54" s="26" t="n">
        <x:f>PRODUCT(1+'Return Data'!E55:E65)-1</x:f>
        <x:v>0.3698021783721426</x:v>
      </x:c>
      <x:c r="F54" s="26" t="n">
        <x:f>PRODUCT(1+'Return Data'!F55:F65)-1</x:f>
        <x:v>0.45675302078436975</x:v>
      </x:c>
      <x:c r="G54" s="26" t="n">
        <x:f>PRODUCT(1+'Return Data'!G55:G65)-1</x:f>
        <x:v>0.3077509877933422</x:v>
      </x:c>
      <x:c r="H54" s="26" t="n">
        <x:f>PRODUCT(1+'Return Data'!H55:H65)-1</x:f>
        <x:v>0.3303021074367396</x:v>
      </x:c>
      <x:c r="I54" s="26" t="n">
        <x:f>PRODUCT(1+'Return Data'!I55:I65)-1</x:f>
        <x:v>0.14914633249939802</x:v>
      </x:c>
      <x:c r="J54" s="26" t="n">
        <x:f>PRODUCT(1+'Return Data'!J55:J65)-1</x:f>
        <x:v>-0.28636748261472866</x:v>
      </x:c>
      <x:c r="K54" s="26" t="n">
        <x:f>PRODUCT(1+'Return Data'!K55:K65)-1</x:f>
        <x:v>0.0269481585378184</x:v>
      </x:c>
      <x:c r="L54" s="26" t="n">
        <x:f>PRODUCT(1+'Return Data'!L55:L65)-1</x:f>
        <x:v>0.08749902498269524</x:v>
      </x:c>
      <x:c r="M54" s="26" t="n">
        <x:f>PRODUCT(1+'Return Data'!M55:M65)-1</x:f>
        <x:v>0.29609567609326026</x:v>
      </x:c>
      <x:c r="N54" s="26" t="n">
        <x:f>PRODUCT(1+'Return Data'!N55:N65)-1</x:f>
        <x:v>0.5087922140586116</x:v>
      </x:c>
      <x:c r="O54" s="26" t="n">
        <x:f>PRODUCT(1+'Return Data'!O55:O65)-1</x:f>
        <x:v>0.13061422215239915</x:v>
      </x:c>
      <x:c r="P54" s="26" t="n">
        <x:f>PRODUCT(1+'Return Data'!P55:P65)-1</x:f>
        <x:v>0.461495606017978</x:v>
      </x:c>
      <x:c r="Q54" s="26" t="n">
        <x:f>PRODUCT(1+'Return Data'!Q55:Q65)-1</x:f>
        <x:v>0.5450504455599157</x:v>
      </x:c>
      <x:c r="R54" s="26" t="n">
        <x:f>PRODUCT(1+'Return Data'!R55:R65)-1</x:f>
        <x:v>0.5179490112095124</x:v>
      </x:c>
      <x:c r="S54" s="26" t="n">
        <x:f>PRODUCT(1+'Return Data'!S55:S65)-1</x:f>
        <x:v>0.3420844873273561</x:v>
      </x:c>
      <x:c r="T54" s="26" t="n">
        <x:f>PRODUCT(1+'Return Data'!T55:T65)-1</x:f>
        <x:v>0.9845139029848697</x:v>
      </x:c>
      <x:c r="U54" s="26" t="n">
        <x:f>PRODUCT(1+'Return Data'!U55:U65)-1</x:f>
        <x:v>0.29135499523857233</x:v>
      </x:c>
    </x:row>
    <x:row r="55">
      <x:c r="A55" s="20" t="n">
        <x:f>'Return Data'!A68</x:f>
        <x:v>45656</x:v>
      </x:c>
      <x:c r="B55" s="26" t="n">
        <x:f>PRODUCT(1+'Return Data'!B56:B66)-1</x:f>
        <x:v>0.18546012326750794</x:v>
      </x:c>
      <x:c r="C55" s="26" t="n">
        <x:f>PRODUCT(1+'Return Data'!C56:C66)-1</x:f>
        <x:v>0.4201441840056024</x:v>
      </x:c>
      <x:c r="D55" s="26" t="n">
        <x:f>PRODUCT(1+'Return Data'!D56:D66)-1</x:f>
        <x:v>0.6565153157382448</x:v>
      </x:c>
      <x:c r="E55" s="26" t="n">
        <x:f>PRODUCT(1+'Return Data'!E56:E66)-1</x:f>
        <x:v>0.30139606461868795</x:v>
      </x:c>
      <x:c r="F55" s="26" t="n">
        <x:f>PRODUCT(1+'Return Data'!F56:F66)-1</x:f>
        <x:v>0.45815281073923786</x:v>
      </x:c>
      <x:c r="G55" s="26" t="n">
        <x:f>PRODUCT(1+'Return Data'!G56:G66)-1</x:f>
        <x:v>0.15937128011574742</x:v>
      </x:c>
      <x:c r="H55" s="26" t="n">
        <x:f>PRODUCT(1+'Return Data'!H56:H66)-1</x:f>
        <x:v>0.32034065802516865</x:v>
      </x:c>
      <x:c r="I55" s="26" t="n">
        <x:f>PRODUCT(1+'Return Data'!I56:I66)-1</x:f>
        <x:v>-0.029833597415573787</x:v>
      </x:c>
      <x:c r="J55" s="26" t="n">
        <x:f>PRODUCT(1+'Return Data'!J56:J66)-1</x:f>
        <x:v>-0.34924609716548216</x:v>
      </x:c>
      <x:c r="K55" s="26" t="n">
        <x:f>PRODUCT(1+'Return Data'!K56:K66)-1</x:f>
        <x:v>-0.09128521608920326</x:v>
      </x:c>
      <x:c r="L55" s="26" t="n">
        <x:f>PRODUCT(1+'Return Data'!L56:L66)-1</x:f>
        <x:v>0.06525679130581108</x:v>
      </x:c>
      <x:c r="M55" s="26" t="n">
        <x:f>PRODUCT(1+'Return Data'!M56:M66)-1</x:f>
        <x:v>0.1010408936096181</x:v>
      </x:c>
      <x:c r="N55" s="26" t="n">
        <x:f>PRODUCT(1+'Return Data'!N56:N66)-1</x:f>
        <x:v>0.2581068842832306</x:v>
      </x:c>
      <x:c r="O55" s="26" t="n">
        <x:f>PRODUCT(1+'Return Data'!O56:O66)-1</x:f>
        <x:v>-0.015697696434660346</x:v>
      </x:c>
      <x:c r="P55" s="26" t="n">
        <x:f>PRODUCT(1+'Return Data'!P56:P66)-1</x:f>
        <x:v>0.45408669936106993</x:v>
      </x:c>
      <x:c r="Q55" s="26" t="n">
        <x:f>PRODUCT(1+'Return Data'!Q56:Q66)-1</x:f>
        <x:v>0.47768488601094705</x:v>
      </x:c>
      <x:c r="R55" s="26" t="n">
        <x:f>PRODUCT(1+'Return Data'!R56:R66)-1</x:f>
        <x:v>0.27404293690482096</x:v>
      </x:c>
      <x:c r="S55" s="26" t="n">
        <x:f>PRODUCT(1+'Return Data'!S56:S66)-1</x:f>
        <x:v>-0.02522634452276873</x:v>
      </x:c>
      <x:c r="T55" s="26" t="n">
        <x:f>PRODUCT(1+'Return Data'!T56:T66)-1</x:f>
        <x:v>0.42928808927760853</x:v>
      </x:c>
      <x:c r="U55" s="26" t="n">
        <x:f>PRODUCT(1+'Return Data'!U56:U66)-1</x:f>
        <x:v>-0.009466374197708793</x:v>
      </x:c>
    </x:row>
    <x:row r="56">
      <x:c r="A56" s="20" t="n">
        <x:f>'Return Data'!A69</x:f>
        <x:v>45687</x:v>
      </x:c>
      <x:c r="B56" s="26" t="n">
        <x:f>PRODUCT(1+'Return Data'!B57:B67)-1</x:f>
        <x:v>0.22349465256369272</x:v>
      </x:c>
      <x:c r="C56" s="26" t="n">
        <x:f>PRODUCT(1+'Return Data'!C57:C67)-1</x:f>
        <x:v>0.29396881697258426</x:v>
      </x:c>
      <x:c r="D56" s="26" t="n">
        <x:f>PRODUCT(1+'Return Data'!D57:D67)-1</x:f>
        <x:v>0.7075178619070346</x:v>
      </x:c>
      <x:c r="E56" s="26" t="n">
        <x:f>PRODUCT(1+'Return Data'!E57:E67)-1</x:f>
        <x:v>0.12723605604556654</x:v>
      </x:c>
      <x:c r="F56" s="26" t="n">
        <x:f>PRODUCT(1+'Return Data'!F57:F67)-1</x:f>
        <x:v>0.44698111186042633</x:v>
      </x:c>
      <x:c r="G56" s="26" t="n">
        <x:f>PRODUCT(1+'Return Data'!G57:G67)-1</x:f>
        <x:v>0.08384256593133843</x:v>
      </x:c>
      <x:c r="H56" s="26" t="n">
        <x:f>PRODUCT(1+'Return Data'!H57:H67)-1</x:f>
        <x:v>0.28080701155237464</x:v>
      </x:c>
      <x:c r="I56" s="26" t="n">
        <x:f>PRODUCT(1+'Return Data'!I57:I67)-1</x:f>
        <x:v>0.12839373709793223</x:v>
      </x:c>
      <x:c r="J56" s="26" t="n">
        <x:f>PRODUCT(1+'Return Data'!J57:J67)-1</x:f>
        <x:v>-0.31008375976229585</x:v>
      </x:c>
      <x:c r="K56" s="26" t="n">
        <x:f>PRODUCT(1+'Return Data'!K57:K67)-1</x:f>
        <x:v>-0.06452290151637152</x:v>
      </x:c>
      <x:c r="L56" s="26" t="n">
        <x:f>PRODUCT(1+'Return Data'!L57:L67)-1</x:f>
        <x:v>0.07105163255716751</x:v>
      </x:c>
      <x:c r="M56" s="26" t="n">
        <x:f>PRODUCT(1+'Return Data'!M57:M67)-1</x:f>
        <x:v>0.22977512981682136</x:v>
      </x:c>
      <x:c r="N56" s="26" t="n">
        <x:f>PRODUCT(1+'Return Data'!N57:N67)-1</x:f>
        <x:v>0.2685236155229562</x:v>
      </x:c>
      <x:c r="O56" s="26" t="n">
        <x:f>PRODUCT(1+'Return Data'!O57:O67)-1</x:f>
        <x:v>0.07965130744671733</x:v>
      </x:c>
      <x:c r="P56" s="26" t="n">
        <x:f>PRODUCT(1+'Return Data'!P57:P67)-1</x:f>
        <x:v>0.6667229087745628</x:v>
      </x:c>
      <x:c r="Q56" s="26" t="n">
        <x:f>PRODUCT(1+'Return Data'!Q57:Q67)-1</x:f>
        <x:v>0.42270896892831056</x:v>
      </x:c>
      <x:c r="R56" s="26" t="n">
        <x:f>PRODUCT(1+'Return Data'!R57:R67)-1</x:f>
        <x:v>0.2757818450769798</x:v>
      </x:c>
      <x:c r="S56" s="26" t="n">
        <x:f>PRODUCT(1+'Return Data'!S57:S67)-1</x:f>
        <x:v>-0.061973355223776894</x:v>
      </x:c>
      <x:c r="T56" s="26" t="n">
        <x:f>PRODUCT(1+'Return Data'!T57:T67)-1</x:f>
        <x:v>0.5841211517603351</x:v>
      </x:c>
      <x:c r="U56" s="26" t="n">
        <x:f>PRODUCT(1+'Return Data'!U57:U67)-1</x:f>
        <x:v>-0.09690316042554092</x:v>
      </x:c>
    </x:row>
    <x:row r="57">
      <x:c r="A57" s="20" t="n">
        <x:f>'Return Data'!A70</x:f>
        <x:v>45716</x:v>
      </x:c>
      <x:c r="B57" s="26" t="n">
        <x:f>PRODUCT(1+'Return Data'!B58:B68)-1</x:f>
        <x:v>0.28748215122544307</x:v>
      </x:c>
      <x:c r="C57" s="26" t="n">
        <x:f>PRODUCT(1+'Return Data'!C58:C68)-1</x:f>
        <x:v>0.17635094394153517</x:v>
      </x:c>
      <x:c r="D57" s="26" t="n">
        <x:f>PRODUCT(1+'Return Data'!D58:D68)-1</x:f>
        <x:v>0.7813665872603139</x:v>
      </x:c>
      <x:c r="E57" s="26" t="n">
        <x:f>PRODUCT(1+'Return Data'!E58:E68)-1</x:f>
        <x:v>0.24810403556088434</x:v>
      </x:c>
      <x:c r="F57" s="26" t="n">
        <x:f>PRODUCT(1+'Return Data'!F58:F68)-1</x:f>
        <x:v>0.33215591224076113</x:v>
      </x:c>
      <x:c r="G57" s="26" t="n">
        <x:f>PRODUCT(1+'Return Data'!G58:G68)-1</x:f>
        <x:v>0.21590212405792708</x:v>
      </x:c>
      <x:c r="H57" s="26" t="n">
        <x:f>PRODUCT(1+'Return Data'!H58:H68)-1</x:f>
        <x:v>0.3060753807195815</x:v>
      </x:c>
      <x:c r="I57" s="26" t="n">
        <x:f>PRODUCT(1+'Return Data'!I58:I68)-1</x:f>
        <x:v>0.3708887500724882</x:v>
      </x:c>
      <x:c r="J57" s="26" t="n">
        <x:f>PRODUCT(1+'Return Data'!J58:J68)-1</x:f>
        <x:v>-0.28254235975746156</x:v>
      </x:c>
      <x:c r="K57" s="26" t="n">
        <x:f>PRODUCT(1+'Return Data'!K58:K68)-1</x:f>
        <x:v>-0.06367213414155581</x:v>
      </x:c>
      <x:c r="L57" s="26" t="n">
        <x:f>PRODUCT(1+'Return Data'!L58:L68)-1</x:f>
        <x:v>-0.05751415934680526</x:v>
      </x:c>
      <x:c r="M57" s="26" t="n">
        <x:f>PRODUCT(1+'Return Data'!M58:M68)-1</x:f>
        <x:v>0.2290885461795682</x:v>
      </x:c>
      <x:c r="N57" s="26" t="n">
        <x:f>PRODUCT(1+'Return Data'!N58:N68)-1</x:f>
        <x:v>0.5177214165750115</x:v>
      </x:c>
      <x:c r="O57" s="26" t="n">
        <x:f>PRODUCT(1+'Return Data'!O58:O68)-1</x:f>
        <x:v>0.24476062836620138</x:v>
      </x:c>
      <x:c r="P57" s="26" t="n">
        <x:f>PRODUCT(1+'Return Data'!P58:P68)-1</x:f>
        <x:v>0.552567708517689</x:v>
      </x:c>
      <x:c r="Q57" s="26" t="n">
        <x:f>PRODUCT(1+'Return Data'!Q58:Q68)-1</x:f>
        <x:v>0.6049665428968938</x:v>
      </x:c>
      <x:c r="R57" s="26" t="n">
        <x:f>PRODUCT(1+'Return Data'!R58:R68)-1</x:f>
        <x:v>0.4529994709932905</x:v>
      </x:c>
      <x:c r="S57" s="26" t="n">
        <x:f>PRODUCT(1+'Return Data'!S58:S68)-1</x:f>
        <x:v>0.0779377787464417</x:v>
      </x:c>
      <x:c r="T57" s="26" t="n">
        <x:f>PRODUCT(1+'Return Data'!T58:T68)-1</x:f>
        <x:v>0.48093241782945184</x:v>
      </x:c>
      <x:c r="U57" s="26" t="n">
        <x:f>PRODUCT(1+'Return Data'!U58:U68)-1</x:f>
        <x:v>0.2065467441134725</x:v>
      </x:c>
    </x:row>
    <x:row r="58">
      <x:c r="A58" s="20" t="n">
        <x:f>'Return Data'!A71</x:f>
        <x:v>45746</x:v>
      </x:c>
      <x:c r="B58" s="26" t="n">
        <x:f>PRODUCT(1+'Return Data'!B59:B69)-1</x:f>
        <x:v>0.24243152825432168</x:v>
      </x:c>
      <x:c r="C58" s="26" t="n">
        <x:f>PRODUCT(1+'Return Data'!C59:C69)-1</x:f>
        <x:v>0.202950359878318</x:v>
      </x:c>
      <x:c r="D58" s="26" t="n">
        <x:f>PRODUCT(1+'Return Data'!D59:D69)-1</x:f>
        <x:v>0.7181052880754377</x:v>
      </x:c>
      <x:c r="E58" s="26" t="n">
        <x:f>PRODUCT(1+'Return Data'!E59:E69)-1</x:f>
        <x:v>0.19559112270756374</x:v>
      </x:c>
      <x:c r="F58" s="26" t="n">
        <x:f>PRODUCT(1+'Return Data'!F59:F69)-1</x:f>
        <x:v>0.2699019954919146</x:v>
      </x:c>
      <x:c r="G58" s="26" t="n">
        <x:f>PRODUCT(1+'Return Data'!G59:G69)-1</x:f>
        <x:v>0.1351927632149572</x:v>
      </x:c>
      <x:c r="H58" s="26" t="n">
        <x:f>PRODUCT(1+'Return Data'!H59:H69)-1</x:f>
        <x:v>0.2734266677333217</x:v>
      </x:c>
      <x:c r="I58" s="26" t="n">
        <x:f>PRODUCT(1+'Return Data'!I59:I69)-1</x:f>
        <x:v>0.1647380746083933</x:v>
      </x:c>
      <x:c r="J58" s="26" t="n">
        <x:f>PRODUCT(1+'Return Data'!J59:J69)-1</x:f>
        <x:v>-0.302852052788262</x:v>
      </x:c>
      <x:c r="K58" s="26" t="n">
        <x:f>PRODUCT(1+'Return Data'!K59:K69)-1</x:f>
        <x:v>-0.27328581090367543</x:v>
      </x:c>
      <x:c r="L58" s="26" t="n">
        <x:f>PRODUCT(1+'Return Data'!L59:L69)-1</x:f>
        <x:v>-0.056237288039460154</x:v>
      </x:c>
      <x:c r="M58" s="26" t="n">
        <x:f>PRODUCT(1+'Return Data'!M59:M69)-1</x:f>
        <x:v>0.26399482378609007</x:v>
      </x:c>
      <x:c r="N58" s="26" t="n">
        <x:f>PRODUCT(1+'Return Data'!N59:N69)-1</x:f>
        <x:v>0.395324309928482</x:v>
      </x:c>
      <x:c r="O58" s="26" t="n">
        <x:f>PRODUCT(1+'Return Data'!O59:O69)-1</x:f>
        <x:v>0.2630787419634182</x:v>
      </x:c>
      <x:c r="P58" s="26" t="n">
        <x:f>PRODUCT(1+'Return Data'!P59:P69)-1</x:f>
        <x:v>0.5272840490446453</x:v>
      </x:c>
      <x:c r="Q58" s="26" t="n">
        <x:f>PRODUCT(1+'Return Data'!Q59:Q69)-1</x:f>
        <x:v>0.4421285611976691</x:v>
      </x:c>
      <x:c r="R58" s="26" t="n">
        <x:f>PRODUCT(1+'Return Data'!R59:R69)-1</x:f>
        <x:v>0.5222375946678612</x:v>
      </x:c>
      <x:c r="S58" s="26" t="n">
        <x:f>PRODUCT(1+'Return Data'!S59:S69)-1</x:f>
        <x:v>-0.05102288695556989</x:v>
      </x:c>
      <x:c r="T58" s="26" t="n">
        <x:f>PRODUCT(1+'Return Data'!T59:T69)-1</x:f>
        <x:v>0.2785022817128249</x:v>
      </x:c>
      <x:c r="U58" s="26" t="n">
        <x:f>PRODUCT(1+'Return Data'!U59:U69)-1</x:f>
        <x:v>0.18158597315305092</x:v>
      </x:c>
    </x:row>
    <x:row r="59">
      <x:c r="A59" s="20" t="n">
        <x:f>'Return Data'!A72</x:f>
        <x:v>45777</x:v>
      </x:c>
      <x:c r="B59" s="26" t="n">
        <x:f>PRODUCT(1+'Return Data'!B60:B70)-1</x:f>
        <x:v>0.22819451823263792</x:v>
      </x:c>
      <x:c r="C59" s="26" t="n">
        <x:f>PRODUCT(1+'Return Data'!C60:C70)-1</x:f>
        <x:v>0.29259997513331704</x:v>
      </x:c>
      <x:c r="D59" s="26" t="n">
        <x:f>PRODUCT(1+'Return Data'!D60:D70)-1</x:f>
        <x:v>0.33595876765852317</x:v>
      </x:c>
      <x:c r="E59" s="26" t="n">
        <x:f>PRODUCT(1+'Return Data'!E60:E70)-1</x:f>
        <x:v>0.31981250069257716</x:v>
      </x:c>
      <x:c r="F59" s="26" t="n">
        <x:f>PRODUCT(1+'Return Data'!F60:F70)-1</x:f>
        <x:v>0.4253042912602676</x:v>
      </x:c>
      <x:c r="G59" s="26" t="n">
        <x:f>PRODUCT(1+'Return Data'!G60:G70)-1</x:f>
        <x:v>0.16637455621322528</x:v>
      </x:c>
      <x:c r="H59" s="26" t="n">
        <x:f>PRODUCT(1+'Return Data'!H60:H70)-1</x:f>
        <x:v>0.24859383597282614</x:v>
      </x:c>
      <x:c r="I59" s="26" t="n">
        <x:f>PRODUCT(1+'Return Data'!I60:I70)-1</x:f>
        <x:v>0.4697996413313259</x:v>
      </x:c>
      <x:c r="J59" s="26" t="n">
        <x:f>PRODUCT(1+'Return Data'!J60:J70)-1</x:f>
        <x:v>-0.24660613811200938</x:v>
      </x:c>
      <x:c r="K59" s="26" t="n">
        <x:f>PRODUCT(1+'Return Data'!K60:K70)-1</x:f>
        <x:v>-0.2081329289266276</x:v>
      </x:c>
      <x:c r="L59" s="26" t="n">
        <x:f>PRODUCT(1+'Return Data'!L60:L70)-1</x:f>
        <x:v>-0.06116795319042234</x:v>
      </x:c>
      <x:c r="M59" s="26" t="n">
        <x:f>PRODUCT(1+'Return Data'!M60:M70)-1</x:f>
        <x:v>0.4313071455243571</x:v>
      </x:c>
      <x:c r="N59" s="26" t="n">
        <x:f>PRODUCT(1+'Return Data'!N60:N70)-1</x:f>
        <x:v>0.5755198740663081</x:v>
      </x:c>
      <x:c r="O59" s="26" t="n">
        <x:f>PRODUCT(1+'Return Data'!O60:O70)-1</x:f>
        <x:v>0.23988406183132804</x:v>
      </x:c>
      <x:c r="P59" s="26" t="n">
        <x:f>PRODUCT(1+'Return Data'!P60:P70)-1</x:f>
        <x:v>0.43056444157507756</x:v>
      </x:c>
      <x:c r="Q59" s="26" t="n">
        <x:f>PRODUCT(1+'Return Data'!Q60:Q70)-1</x:f>
        <x:v>0.46006562892286706</x:v>
      </x:c>
      <x:c r="R59" s="26" t="n">
        <x:f>PRODUCT(1+'Return Data'!R60:R70)-1</x:f>
        <x:v>0.4026877929102879</x:v>
      </x:c>
      <x:c r="S59" s="26" t="n">
        <x:f>PRODUCT(1+'Return Data'!S60:S70)-1</x:f>
        <x:v>-0.17637898054775492</x:v>
      </x:c>
      <x:c r="T59" s="26" t="n">
        <x:f>PRODUCT(1+'Return Data'!T60:T70)-1</x:f>
        <x:v>0.3412122741722705</x:v>
      </x:c>
      <x:c r="U59" s="26" t="n">
        <x:f>PRODUCT(1+'Return Data'!U60:U70)-1</x:f>
        <x:v>0.07858878896356991</x:v>
      </x:c>
    </x:row>
    <x:row r="60">
      <x:c r="A60" s="20" t="n">
        <x:f>'Return Data'!A73</x:f>
        <x:v>45807</x:v>
      </x:c>
      <x:c r="B60" s="26" t="n">
        <x:f>PRODUCT(1+'Return Data'!B61:B71)-1</x:f>
        <x:v>0.11776138490181332</x:v>
      </x:c>
      <x:c r="C60" s="26" t="n">
        <x:f>PRODUCT(1+'Return Data'!C61:C71)-1</x:f>
        <x:v>0.1119439867692622</x:v>
      </x:c>
      <x:c r="D60" s="26" t="n">
        <x:f>PRODUCT(1+'Return Data'!D61:D71)-1</x:f>
        <x:v>0.1012845694212623</x:v>
      </x:c>
      <x:c r="E60" s="26" t="n">
        <x:f>PRODUCT(1+'Return Data'!E61:E71)-1</x:f>
        <x:v>0.08681421208587525</x:v>
      </x:c>
      <x:c r="F60" s="26" t="n">
        <x:f>PRODUCT(1+'Return Data'!F61:F71)-1</x:f>
        <x:v>0.19241564926791987</x:v>
      </x:c>
      <x:c r="G60" s="26" t="n">
        <x:f>PRODUCT(1+'Return Data'!G61:G71)-1</x:f>
        <x:v>0.06680810795204306</x:v>
      </x:c>
      <x:c r="H60" s="26" t="n">
        <x:f>PRODUCT(1+'Return Data'!H61:H71)-1</x:f>
        <x:v>0.08026294559024083</x:v>
      </x:c>
      <x:c r="I60" s="26" t="n">
        <x:f>PRODUCT(1+'Return Data'!I61:I71)-1</x:f>
        <x:v>0.3725955813367965</x:v>
      </x:c>
      <x:c r="J60" s="26" t="n">
        <x:f>PRODUCT(1+'Return Data'!J61:J71)-1</x:f>
        <x:v>-0.3263350141473049</x:v>
      </x:c>
      <x:c r="K60" s="26" t="n">
        <x:f>PRODUCT(1+'Return Data'!K61:K71)-1</x:f>
        <x:v>-0.25032020621328777</x:v>
      </x:c>
      <x:c r="L60" s="26" t="n">
        <x:f>PRODUCT(1+'Return Data'!L61:L71)-1</x:f>
        <x:v>-0.0646185228864602</x:v>
      </x:c>
      <x:c r="M60" s="26" t="n">
        <x:f>PRODUCT(1+'Return Data'!M61:M71)-1</x:f>
        <x:v>0.37541979978788187</x:v>
      </x:c>
      <x:c r="N60" s="26" t="n">
        <x:f>PRODUCT(1+'Return Data'!N61:N71)-1</x:f>
        <x:v>0.3614200195276511</x:v>
      </x:c>
      <x:c r="O60" s="26" t="n">
        <x:f>PRODUCT(1+'Return Data'!O61:O71)-1</x:f>
        <x:v>0.08915434710723424</x:v>
      </x:c>
      <x:c r="P60" s="26" t="n">
        <x:f>PRODUCT(1+'Return Data'!P61:P71)-1</x:f>
        <x:v>0.08043878662148973</x:v>
      </x:c>
      <x:c r="Q60" s="26" t="n">
        <x:f>PRODUCT(1+'Return Data'!Q61:Q71)-1</x:f>
        <x:v>0.47834379898144697</x:v>
      </x:c>
      <x:c r="R60" s="26" t="n">
        <x:f>PRODUCT(1+'Return Data'!R61:R71)-1</x:f>
        <x:v>0.24976045048400808</x:v>
      </x:c>
      <x:c r="S60" s="26" t="n">
        <x:f>PRODUCT(1+'Return Data'!S61:S71)-1</x:f>
        <x:v>-0.2595355444847127</x:v>
      </x:c>
      <x:c r="T60" s="26" t="n">
        <x:f>PRODUCT(1+'Return Data'!T61:T71)-1</x:f>
        <x:v>0.1363173745791959</x:v>
      </x:c>
      <x:c r="U60" s="26" t="n">
        <x:f>PRODUCT(1+'Return Data'!U61:U71)-1</x:f>
        <x:v>0.010868650324566298</x:v>
      </x:c>
    </x:row>
    <x:row r="61">
      <x:c r="A61" s="20" t="n">
        <x:f>'Return Data'!A74</x:f>
        <x:v>45838</x:v>
      </x:c>
      <x:c r="B61" s="26" t="n">
        <x:f>PRODUCT(1+'Return Data'!B62:B72)-1</x:f>
        <x:v>0.04850107316568186</x:v>
      </x:c>
      <x:c r="C61" s="26" t="n">
        <x:f>PRODUCT(1+'Return Data'!C62:C72)-1</x:f>
        <x:v>-0.0037646556351048632</x:v>
      </x:c>
      <x:c r="D61" s="26" t="n">
        <x:f>PRODUCT(1+'Return Data'!D62:D72)-1</x:f>
        <x:v>-0.014483932522958098</x:v>
      </x:c>
      <x:c r="E61" s="26" t="n">
        <x:f>PRODUCT(1+'Return Data'!E62:E72)-1</x:f>
        <x:v>-0.1670636070282827</x:v>
      </x:c>
      <x:c r="F61" s="26" t="n">
        <x:f>PRODUCT(1+'Return Data'!F62:F72)-1</x:f>
        <x:v>0.1398771612740426</x:v>
      </x:c>
      <x:c r="G61" s="26" t="n">
        <x:f>PRODUCT(1+'Return Data'!G62:G72)-1</x:f>
        <x:v>-0.051588103652024375</x:v>
      </x:c>
      <x:c r="H61" s="26" t="n">
        <x:f>PRODUCT(1+'Return Data'!H62:H72)-1</x:f>
        <x:v>-0.19027205774706712</x:v>
      </x:c>
      <x:c r="I61" s="26" t="n">
        <x:f>PRODUCT(1+'Return Data'!I62:I72)-1</x:f>
        <x:v>0.34014338114222187</x:v>
      </x:c>
      <x:c r="J61" s="26" t="n">
        <x:f>PRODUCT(1+'Return Data'!J62:J72)-1</x:f>
        <x:v>-0.3598682132359404</x:v>
      </x:c>
      <x:c r="K61" s="26" t="n">
        <x:f>PRODUCT(1+'Return Data'!K62:K72)-1</x:f>
        <x:v>-0.2960925461358671</x:v>
      </x:c>
      <x:c r="L61" s="26" t="n">
        <x:f>PRODUCT(1+'Return Data'!L62:L72)-1</x:f>
        <x:v>-0.13788792390657123</x:v>
      </x:c>
      <x:c r="M61" s="26" t="n">
        <x:f>PRODUCT(1+'Return Data'!M62:M72)-1</x:f>
        <x:v>0.11351255239949976</x:v>
      </x:c>
      <x:c r="N61" s="26" t="n">
        <x:f>PRODUCT(1+'Return Data'!N62:N72)-1</x:f>
        <x:v>0.2325583420464281</x:v>
      </x:c>
      <x:c r="O61" s="26" t="n">
        <x:f>PRODUCT(1+'Return Data'!O62:O72)-1</x:f>
        <x:v>-0.13061751009733202</x:v>
      </x:c>
      <x:c r="P61" s="26" t="n">
        <x:f>PRODUCT(1+'Return Data'!P62:P72)-1</x:f>
        <x:v>-0.1479136727915148</x:v>
      </x:c>
      <x:c r="Q61" s="26" t="n">
        <x:f>PRODUCT(1+'Return Data'!Q62:Q72)-1</x:f>
        <x:v>0.19827624164395385</x:v>
      </x:c>
      <x:c r="R61" s="26" t="n">
        <x:f>PRODUCT(1+'Return Data'!R62:R72)-1</x:f>
        <x:v>0.06330237947855522</x:v>
      </x:c>
      <x:c r="S61" s="26" t="n">
        <x:f>PRODUCT(1+'Return Data'!S62:S72)-1</x:f>
        <x:v>-0.3437079064692845</x:v>
      </x:c>
      <x:c r="T61" s="26" t="n">
        <x:f>PRODUCT(1+'Return Data'!T62:T72)-1</x:f>
        <x:v>-0.07545321375130298</x:v>
      </x:c>
      <x:c r="U61" s="26" t="n">
        <x:f>PRODUCT(1+'Return Data'!U62:U72)-1</x:f>
        <x:v>-0.2611002535056961</x:v>
      </x:c>
    </x:row>
    <x:row r="62">
      <x:c r="A62" s="20" t="n">
        <x:f>'Return Data'!A75</x:f>
        <x:v>45868</x:v>
      </x:c>
      <x:c r="B62" s="26" t="n">
        <x:f>PRODUCT(1+'Return Data'!B63:B73)-1</x:f>
        <x:v>-0.021710095103811056</x:v>
      </x:c>
      <x:c r="C62" s="26" t="n">
        <x:f>PRODUCT(1+'Return Data'!C63:C73)-1</x:f>
        <x:v>0.026139113389297863</x:v>
      </x:c>
      <x:c r="D62" s="26" t="n">
        <x:f>PRODUCT(1+'Return Data'!D63:D73)-1</x:f>
        <x:v>-0.13224129304124976</x:v>
      </x:c>
      <x:c r="E62" s="26" t="n">
        <x:f>PRODUCT(1+'Return Data'!E63:E73)-1</x:f>
        <x:v>-0.2895704080248517</x:v>
      </x:c>
      <x:c r="F62" s="26" t="n">
        <x:f>PRODUCT(1+'Return Data'!F63:F73)-1</x:f>
        <x:v>0.027687961072297984</x:v>
      </x:c>
      <x:c r="G62" s="26" t="n">
        <x:f>PRODUCT(1+'Return Data'!G63:G73)-1</x:f>
        <x:v>-0.09714720276041833</x:v>
      </x:c>
      <x:c r="H62" s="26" t="n">
        <x:f>PRODUCT(1+'Return Data'!H63:H73)-1</x:f>
        <x:v>-0.15394328347209607</x:v>
      </x:c>
      <x:c r="I62" s="26" t="n">
        <x:f>PRODUCT(1+'Return Data'!I63:I73)-1</x:f>
        <x:v>0.38169467822898473</x:v>
      </x:c>
      <x:c r="J62" s="26" t="n">
        <x:f>PRODUCT(1+'Return Data'!J63:J73)-1</x:f>
        <x:v>-0.2861339089396464</x:v>
      </x:c>
      <x:c r="K62" s="26" t="n">
        <x:f>PRODUCT(1+'Return Data'!K63:K73)-1</x:f>
        <x:v>-0.36319973219857815</x:v>
      </x:c>
      <x:c r="L62" s="26" t="n">
        <x:f>PRODUCT(1+'Return Data'!L63:L73)-1</x:f>
        <x:v>-0.15310492961711897</x:v>
      </x:c>
      <x:c r="M62" s="26" t="n">
        <x:f>PRODUCT(1+'Return Data'!M63:M73)-1</x:f>
        <x:v>-0.024195864451434734</x:v>
      </x:c>
      <x:c r="N62" s="26" t="n">
        <x:f>PRODUCT(1+'Return Data'!N63:N73)-1</x:f>
        <x:v>0.25815257773170175</x:v>
      </x:c>
      <x:c r="O62" s="26" t="n">
        <x:f>PRODUCT(1+'Return Data'!O63:O73)-1</x:f>
        <x:v>-0.2373187438599791</x:v>
      </x:c>
      <x:c r="P62" s="26" t="n">
        <x:f>PRODUCT(1+'Return Data'!P63:P73)-1</x:f>
        <x:v>-0.18181348491511407</x:v>
      </x:c>
      <x:c r="Q62" s="26" t="n">
        <x:f>PRODUCT(1+'Return Data'!Q63:Q73)-1</x:f>
        <x:v>0.13565058684254838</x:v>
      </x:c>
      <x:c r="R62" s="26" t="n">
        <x:f>PRODUCT(1+'Return Data'!R63:R73)-1</x:f>
        <x:v>-0.09246299600637875</x:v>
      </x:c>
      <x:c r="S62" s="26" t="n">
        <x:f>PRODUCT(1+'Return Data'!S63:S73)-1</x:f>
        <x:v>-0.44462197410467685</x:v>
      </x:c>
      <x:c r="T62" s="26" t="n">
        <x:f>PRODUCT(1+'Return Data'!T63:T73)-1</x:f>
        <x:v>-0.413186312570772</x:v>
      </x:c>
      <x:c r="U62" s="26" t="n">
        <x:f>PRODUCT(1+'Return Data'!U63:U73)-1</x:f>
        <x:v>-0.24877247565202165</x:v>
      </x:c>
    </x:row>
    <x:row r="63">
      <x:c r="A63" s="20" t="n">
        <x:f>'Return Data'!A76</x:f>
        <x:v>45899</x:v>
      </x:c>
      <x:c r="B63" s="26" t="n">
        <x:f>PRODUCT(1+'Return Data'!B64:B74)-1</x:f>
        <x:v>0.12401098045905878</x:v>
      </x:c>
      <x:c r="C63" s="26" t="n">
        <x:f>PRODUCT(1+'Return Data'!C64:C74)-1</x:f>
        <x:v>-0.1668491464221109</x:v>
      </x:c>
      <x:c r="D63" s="26" t="n">
        <x:f>PRODUCT(1+'Return Data'!D64:D74)-1</x:f>
        <x:v>-0.12658378063403974</x:v>
      </x:c>
      <x:c r="E63" s="26" t="n">
        <x:f>PRODUCT(1+'Return Data'!E64:E74)-1</x:f>
        <x:v>-0.30740654723855143</x:v>
      </x:c>
      <x:c r="F63" s="26" t="n">
        <x:f>PRODUCT(1+'Return Data'!F64:F74)-1</x:f>
        <x:v>-0.0774031799636965</x:v>
      </x:c>
      <x:c r="G63" s="26" t="n">
        <x:f>PRODUCT(1+'Return Data'!G64:G74)-1</x:f>
        <x:v>-0.13863648847222243</x:v>
      </x:c>
      <x:c r="H63" s="26" t="n">
        <x:f>PRODUCT(1+'Return Data'!H64:H74)-1</x:f>
        <x:v>-0.18860698802693543</x:v>
      </x:c>
      <x:c r="I63" s="26" t="n">
        <x:f>PRODUCT(1+'Return Data'!I64:I74)-1</x:f>
        <x:v>0.3455461426700872</x:v>
      </x:c>
      <x:c r="J63" s="26" t="n">
        <x:f>PRODUCT(1+'Return Data'!J64:J74)-1</x:f>
        <x:v>-0.3612060135945723</x:v>
      </x:c>
      <x:c r="K63" s="26" t="n">
        <x:f>PRODUCT(1+'Return Data'!K64:K74)-1</x:f>
        <x:v>-0.3453678222962179</x:v>
      </x:c>
      <x:c r="L63" s="26" t="n">
        <x:f>PRODUCT(1+'Return Data'!L64:L74)-1</x:f>
        <x:v>-0.30553036101738473</x:v>
      </x:c>
      <x:c r="M63" s="26" t="n">
        <x:f>PRODUCT(1+'Return Data'!M64:M74)-1</x:f>
        <x:v>-0.20265497384088682</x:v>
      </x:c>
      <x:c r="N63" s="26" t="n">
        <x:f>PRODUCT(1+'Return Data'!N64:N74)-1</x:f>
        <x:v>0.07314604122633894</x:v>
      </x:c>
      <x:c r="O63" s="26" t="n">
        <x:f>PRODUCT(1+'Return Data'!O64:O74)-1</x:f>
        <x:v>-0.2925423134499586</x:v>
      </x:c>
      <x:c r="P63" s="26" t="n">
        <x:f>PRODUCT(1+'Return Data'!P64:P74)-1</x:f>
        <x:v>-0.11067753842013439</x:v>
      </x:c>
      <x:c r="Q63" s="26" t="n">
        <x:f>PRODUCT(1+'Return Data'!Q64:Q74)-1</x:f>
        <x:v>-0.06533205503550032</x:v>
      </x:c>
      <x:c r="R63" s="26" t="n">
        <x:f>PRODUCT(1+'Return Data'!R64:R74)-1</x:f>
        <x:v>-0.17973430766684018</x:v>
      </x:c>
      <x:c r="S63" s="26" t="n">
        <x:f>PRODUCT(1+'Return Data'!S64:S74)-1</x:f>
        <x:v>-0.4590249577772856</x:v>
      </x:c>
      <x:c r="T63" s="26" t="n">
        <x:f>PRODUCT(1+'Return Data'!T64:T74)-1</x:f>
        <x:v>-0.41412137319836284</x:v>
      </x:c>
      <x:c r="U63" s="26" t="n">
        <x:f>PRODUCT(1+'Return Data'!U64:U74)-1</x:f>
        <x:v>-0.16499461717187502</x:v>
      </x:c>
    </x:row>
    <x:row r="64">
      <x:c r="A64" s="20" t="n">
        <x:f>'Return Data'!A77</x:f>
        <x:v>45930</x:v>
      </x:c>
      <x:c r="B64" s="26" t="n">
        <x:f>PRODUCT(1+'Return Data'!B65:B75)-1</x:f>
        <x:v>0.3207740580823639</x:v>
      </x:c>
      <x:c r="C64" s="26" t="n">
        <x:f>PRODUCT(1+'Return Data'!C65:C75)-1</x:f>
        <x:v>-0.18369277544682916</x:v>
      </x:c>
      <x:c r="D64" s="26" t="n">
        <x:f>PRODUCT(1+'Return Data'!D65:D75)-1</x:f>
        <x:v>-0.0699372531256014</x:v>
      </x:c>
      <x:c r="E64" s="26" t="n">
        <x:f>PRODUCT(1+'Return Data'!E65:E75)-1</x:f>
        <x:v>-0.25504089641500705</x:v>
      </x:c>
      <x:c r="F64" s="26" t="n">
        <x:f>PRODUCT(1+'Return Data'!F65:F75)-1</x:f>
        <x:v>-0.15356940838381083</x:v>
      </x:c>
      <x:c r="G64" s="26" t="n">
        <x:f>PRODUCT(1+'Return Data'!G65:G75)-1</x:f>
        <x:v>-0.2048510544137816</x:v>
      </x:c>
      <x:c r="H64" s="26" t="n">
        <x:f>PRODUCT(1+'Return Data'!H65:H75)-1</x:f>
        <x:v>-0.022226677553396135</x:v>
      </x:c>
      <x:c r="I64" s="26" t="n">
        <x:f>PRODUCT(1+'Return Data'!I65:I75)-1</x:f>
        <x:v>0.3457641560903144</x:v>
      </x:c>
      <x:c r="J64" s="26" t="n">
        <x:f>PRODUCT(1+'Return Data'!J65:J75)-1</x:f>
        <x:v>-0.21222587950040595</x:v>
      </x:c>
      <x:c r="K64" s="26" t="n">
        <x:f>PRODUCT(1+'Return Data'!K65:K75)-1</x:f>
        <x:v>-0.13422637052570685</x:v>
      </x:c>
      <x:c r="L64" s="26" t="n">
        <x:f>PRODUCT(1+'Return Data'!L65:L75)-1</x:f>
        <x:v>-0.26626709066362186</x:v>
      </x:c>
      <x:c r="M64" s="26" t="n">
        <x:f>PRODUCT(1+'Return Data'!M65:M75)-1</x:f>
        <x:v>-0.24855869507700323</x:v>
      </x:c>
      <x:c r="N64" s="26" t="n">
        <x:f>PRODUCT(1+'Return Data'!N65:N75)-1</x:f>
        <x:v>0.23558274876639462</x:v>
      </x:c>
      <x:c r="O64" s="26" t="n">
        <x:f>PRODUCT(1+'Return Data'!O65:O75)-1</x:f>
        <x:v>-0.115415607270136</x:v>
      </x:c>
      <x:c r="P64" s="26" t="n">
        <x:f>PRODUCT(1+'Return Data'!P65:P75)-1</x:f>
        <x:v>0.012795095938703982</x:v>
      </x:c>
      <x:c r="Q64" s="26" t="n">
        <x:f>PRODUCT(1+'Return Data'!Q65:Q75)-1</x:f>
        <x:v>0.07624339874898012</x:v>
      </x:c>
      <x:c r="R64" s="26" t="n">
        <x:f>PRODUCT(1+'Return Data'!R65:R75)-1</x:f>
        <x:v>0.03897477825722695</x:v>
      </x:c>
      <x:c r="S64" s="26" t="n">
        <x:f>PRODUCT(1+'Return Data'!S65:S75)-1</x:f>
        <x:v>-0.4359956109427596</x:v>
      </x:c>
      <x:c r="T64" s="26" t="n">
        <x:f>PRODUCT(1+'Return Data'!T65:T75)-1</x:f>
        <x:v>-0.31948490147390385</x:v>
      </x:c>
      <x:c r="U64" s="26" t="n">
        <x:f>PRODUCT(1+'Return Data'!U65:U75)-1</x:f>
        <x:v>-0.04470224436362269</x:v>
      </x:c>
    </x:row>
    <x:row r="65">
      <x:c r="A65" s="20" t="n">
        <x:f>'Return Data'!A78</x:f>
        <x:v>45960</x:v>
      </x:c>
      <x:c r="B65" s="26" t="n">
        <x:f>PRODUCT(1+'Return Data'!B66:B76)-1</x:f>
        <x:v>0.35699882869964505</x:v>
      </x:c>
      <x:c r="C65" s="26" t="n">
        <x:f>PRODUCT(1+'Return Data'!C66:C76)-1</x:f>
        <x:v>-0.14737512283517773</x:v>
      </x:c>
      <x:c r="D65" s="26" t="n">
        <x:f>PRODUCT(1+'Return Data'!D66:D76)-1</x:f>
        <x:v>-0.0435637982769177</x:v>
      </x:c>
      <x:c r="E65" s="26" t="n">
        <x:f>PRODUCT(1+'Return Data'!E66:E76)-1</x:f>
        <x:v>-0.3177349792490374</x:v>
      </x:c>
      <x:c r="F65" s="26" t="n">
        <x:f>PRODUCT(1+'Return Data'!F66:F76)-1</x:f>
        <x:v>-0.07248865683004013</x:v>
      </x:c>
      <x:c r="G65" s="26" t="n">
        <x:f>PRODUCT(1+'Return Data'!G66:G76)-1</x:f>
        <x:v>-0.1665187945921306</x:v>
      </x:c>
      <x:c r="H65" s="26" t="n">
        <x:f>PRODUCT(1+'Return Data'!H66:H76)-1</x:f>
        <x:v>-0.14215863558479713</x:v>
      </x:c>
      <x:c r="I65" s="26" t="n">
        <x:f>PRODUCT(1+'Return Data'!I66:I76)-1</x:f>
        <x:v>0.4878046719434992</x:v>
      </x:c>
      <x:c r="J65" s="26" t="n">
        <x:f>PRODUCT(1+'Return Data'!J66:J76)-1</x:f>
        <x:v>-0.18822540330705984</x:v>
      </x:c>
      <x:c r="K65" s="26" t="n">
        <x:f>PRODUCT(1+'Return Data'!K66:K76)-1</x:f>
        <x:v>-0.06735850442263269</x:v>
      </x:c>
      <x:c r="L65" s="26" t="n">
        <x:f>PRODUCT(1+'Return Data'!L66:L76)-1</x:f>
        <x:v>-0.17128236636586303</x:v>
      </x:c>
      <x:c r="M65" s="26" t="n">
        <x:f>PRODUCT(1+'Return Data'!M66:M76)-1</x:f>
        <x:v>-0.2290960646379534</x:v>
      </x:c>
      <x:c r="N65" s="26" t="n">
        <x:f>PRODUCT(1+'Return Data'!N66:N76)-1</x:f>
        <x:v>0.2524840458741926</x:v>
      </x:c>
      <x:c r="O65" s="26" t="n">
        <x:f>PRODUCT(1+'Return Data'!O66:O76)-1</x:f>
        <x:v>0.0007262699159777952</x:v>
      </x:c>
      <x:c r="P65" s="26" t="n">
        <x:f>PRODUCT(1+'Return Data'!P66:P76)-1</x:f>
        <x:v>-0.04924604576619307</x:v>
      </x:c>
      <x:c r="Q65" s="26" t="n">
        <x:f>PRODUCT(1+'Return Data'!Q66:Q76)-1</x:f>
        <x:v>0.1855714850675192</x:v>
      </x:c>
      <x:c r="R65" s="26" t="n">
        <x:f>PRODUCT(1+'Return Data'!R66:R76)-1</x:f>
        <x:v>-0.02780939938574234</x:v>
      </x:c>
      <x:c r="S65" s="26" t="n">
        <x:f>PRODUCT(1+'Return Data'!S66:S76)-1</x:f>
        <x:v>-0.30736116316899265</x:v>
      </x:c>
      <x:c r="T65" s="26" t="n">
        <x:f>PRODUCT(1+'Return Data'!T66:T76)-1</x:f>
        <x:v>-0.19836105063807108</x:v>
      </x:c>
      <x:c r="U65" s="26" t="n">
        <x:f>PRODUCT(1+'Return Data'!U66:U76)-1</x:f>
        <x:v>0.11078329289859767</x:v>
      </x:c>
    </x:row>
    <x:row r="66">
      <x:c r="A66" s="20" t="n">
        <x:f>'Return Data'!A79</x:f>
        <x:v>45991</x:v>
      </x:c>
      <x:c r="B66" s="26" t="n">
        <x:f>PRODUCT(1+'Return Data'!B67:B77)-1</x:f>
        <x:v>0.5527296955239818</x:v>
      </x:c>
      <x:c r="C66" s="26" t="n">
        <x:f>PRODUCT(1+'Return Data'!C67:C77)-1</x:f>
        <x:v>-0.17438442116799358</x:v>
      </x:c>
      <x:c r="D66" s="26" t="n">
        <x:f>PRODUCT(1+'Return Data'!D67:D77)-1</x:f>
        <x:v>-0.010517032512794122</x:v>
      </x:c>
      <x:c r="E66" s="26" t="n">
        <x:f>PRODUCT(1+'Return Data'!E67:E77)-1</x:f>
        <x:v>-0.31779362272906697</x:v>
      </x:c>
      <x:c r="F66" s="26" t="n">
        <x:f>PRODUCT(1+'Return Data'!F67:F77)-1</x:f>
        <x:v>-0.09115493011637321</x:v>
      </x:c>
      <x:c r="G66" s="26" t="n">
        <x:f>PRODUCT(1+'Return Data'!G67:G77)-1</x:f>
        <x:v>-0.032904906091473785</x:v>
      </x:c>
      <x:c r="H66" s="26" t="n">
        <x:f>PRODUCT(1+'Return Data'!H67:H77)-1</x:f>
        <x:v>-0.14927608729134423</x:v>
      </x:c>
      <x:c r="I66" s="26" t="n">
        <x:f>PRODUCT(1+'Return Data'!I67:I77)-1</x:f>
        <x:v>0.787646898852864</x:v>
      </x:c>
      <x:c r="J66" s="26" t="n">
        <x:f>PRODUCT(1+'Return Data'!J67:J77)-1</x:f>
        <x:v>-0.15115288142166283</x:v>
      </x:c>
      <x:c r="K66" s="26" t="n">
        <x:f>PRODUCT(1+'Return Data'!K67:K77)-1</x:f>
        <x:v>0.11416884891232826</x:v>
      </x:c>
      <x:c r="L66" s="26" t="n">
        <x:f>PRODUCT(1+'Return Data'!L67:L77)-1</x:f>
        <x:v>-0.20808194468380803</x:v>
      </x:c>
      <x:c r="M66" s="26" t="n">
        <x:f>PRODUCT(1+'Return Data'!M67:M77)-1</x:f>
        <x:v>-0.19832098755902938</x:v>
      </x:c>
      <x:c r="N66" s="26" t="n">
        <x:f>PRODUCT(1+'Return Data'!N67:N77)-1</x:f>
        <x:v>0.41832466030597604</x:v>
      </x:c>
      <x:c r="O66" s="26" t="n">
        <x:f>PRODUCT(1+'Return Data'!O67:O77)-1</x:f>
        <x:v>0.23503940640753362</x:v>
      </x:c>
      <x:c r="P66" s="26" t="n">
        <x:f>PRODUCT(1+'Return Data'!P67:P77)-1</x:f>
        <x:v>-0.14199929339108808</x:v>
      </x:c>
      <x:c r="Q66" s="26" t="n">
        <x:f>PRODUCT(1+'Return Data'!Q67:Q77)-1</x:f>
        <x:v>0.17583865846059954</x:v>
      </x:c>
      <x:c r="R66" s="26" t="n">
        <x:f>PRODUCT(1+'Return Data'!R67:R77)-1</x:f>
        <x:v>0.025465420119945126</x:v>
      </x:c>
      <x:c r="S66" s="26" t="n">
        <x:f>PRODUCT(1+'Return Data'!S67:S77)-1</x:f>
        <x:v>-0.12158880450188447</x:v>
      </x:c>
      <x:c r="T66" s="26" t="n">
        <x:f>PRODUCT(1+'Return Data'!T67:T77)-1</x:f>
        <x:v>-0.019951659530430432</x:v>
      </x:c>
      <x:c r="U66" s="26" t="n">
        <x:f>PRODUCT(1+'Return Data'!U67:U77)-1</x:f>
        <x:v>0.39383242095720083</x:v>
      </x:c>
    </x:row>
    <x:row r="67">
      <x:c r="A67" s="20" t="n">
        <x:f>'Return Data'!A80</x:f>
        <x:v>46021</x:v>
      </x:c>
      <x:c r="B67" s="26" t="n">
        <x:f>PRODUCT(1+'Return Data'!B68:B78)-1</x:f>
        <x:v>0.42813882366993905</x:v>
      </x:c>
      <x:c r="C67" s="26" t="n">
        <x:f>PRODUCT(1+'Return Data'!C68:C78)-1</x:f>
        <x:v>-0.14913580523698355</x:v>
      </x:c>
      <x:c r="D67" s="26" t="n">
        <x:f>PRODUCT(1+'Return Data'!D68:D78)-1</x:f>
        <x:v>-0.04347279601831733</x:v>
      </x:c>
      <x:c r="E67" s="26" t="n">
        <x:f>PRODUCT(1+'Return Data'!E68:E78)-1</x:f>
        <x:v>-0.31155168991952553</x:v>
      </x:c>
      <x:c r="F67" s="26" t="n">
        <x:f>PRODUCT(1+'Return Data'!F68:F78)-1</x:f>
        <x:v>-0.11631578512183616</x:v>
      </x:c>
      <x:c r="G67" s="26" t="n">
        <x:f>PRODUCT(1+'Return Data'!G68:G78)-1</x:f>
        <x:v>-0.00714823633975703</x:v>
      </x:c>
      <x:c r="H67" s="26" t="n">
        <x:f>PRODUCT(1+'Return Data'!H68:H78)-1</x:f>
        <x:v>-0.14602124988799958</x:v>
      </x:c>
      <x:c r="I67" s="26" t="n">
        <x:f>PRODUCT(1+'Return Data'!I68:I78)-1</x:f>
        <x:v>0.6735981038132732</x:v>
      </x:c>
      <x:c r="J67" s="26" t="n">
        <x:f>PRODUCT(1+'Return Data'!J68:J78)-1</x:f>
        <x:v>-0.18349683629448021</x:v>
      </x:c>
      <x:c r="K67" s="26" t="n">
        <x:f>PRODUCT(1+'Return Data'!K68:K78)-1</x:f>
        <x:v>0.17821725570515845</x:v>
      </x:c>
      <x:c r="L67" s="26" t="n">
        <x:f>PRODUCT(1+'Return Data'!L68:L78)-1</x:f>
        <x:v>-0.26343989188918526</x:v>
      </x:c>
      <x:c r="M67" s="26" t="n">
        <x:f>PRODUCT(1+'Return Data'!M68:M78)-1</x:f>
        <x:v>-0.32524049552935297</x:v>
      </x:c>
      <x:c r="N67" s="26" t="n">
        <x:f>PRODUCT(1+'Return Data'!N68:N78)-1</x:f>
        <x:v>0.21148777089447068</x:v>
      </x:c>
      <x:c r="O67" s="26" t="n">
        <x:f>PRODUCT(1+'Return Data'!O68:O78)-1</x:f>
        <x:v>-0.04261010851538971</x:v>
      </x:c>
      <x:c r="P67" s="26" t="n">
        <x:f>PRODUCT(1+'Return Data'!P68:P78)-1</x:f>
        <x:v>-0.2627479849575022</x:v>
      </x:c>
      <x:c r="Q67" s="26" t="n">
        <x:f>PRODUCT(1+'Return Data'!Q68:Q78)-1</x:f>
        <x:v>0.09264519490933742</x:v>
      </x:c>
      <x:c r="R67" s="26" t="n">
        <x:f>PRODUCT(1+'Return Data'!R68:R78)-1</x:f>
        <x:v>0.011975923647238096</x:v>
      </x:c>
      <x:c r="S67" s="26" t="n">
        <x:f>PRODUCT(1+'Return Data'!S68:S78)-1</x:f>
        <x:v>-0.1149191640503977</x:v>
      </x:c>
      <x:c r="T67" s="26" t="n">
        <x:f>PRODUCT(1+'Return Data'!T68:T78)-1</x:f>
        <x:v>-0.13953196914671295</x:v>
      </x:c>
      <x:c r="U67" s="26" t="n">
        <x:f>PRODUCT(1+'Return Data'!U68:U78)-1</x:f>
        <x:v>0.6280147382982668</x:v>
      </x:c>
    </x:row>
    <x:row r="68">
      <x:c r="A68" s="20" t="n">
        <x:f>'Return Data'!A81</x:f>
        <x:v>46052</x:v>
      </x:c>
      <x:c r="B68" s="26" t="n">
        <x:f>PRODUCT(1+'Return Data'!B69:B79)-1</x:f>
        <x:v>0.35192960355801484</x:v>
      </x:c>
      <x:c r="C68" s="26" t="n">
        <x:f>PRODUCT(1+'Return Data'!C69:C79)-1</x:f>
        <x:v>-0.0020416327302595905</x:v>
      </x:c>
      <x:c r="D68" s="26" t="n">
        <x:f>PRODUCT(1+'Return Data'!D69:D79)-1</x:f>
        <x:v>-0.22826084270098945</x:v>
      </x:c>
      <x:c r="E68" s="26" t="n">
        <x:f>PRODUCT(1+'Return Data'!E69:E79)-1</x:f>
        <x:v>-0.34827573729970485</x:v>
      </x:c>
      <x:c r="F68" s="26" t="n">
        <x:f>PRODUCT(1+'Return Data'!F69:F79)-1</x:f>
        <x:v>0.028455644755750686</x:v>
      </x:c>
      <x:c r="G68" s="26" t="n">
        <x:f>PRODUCT(1+'Return Data'!G69:G79)-1</x:f>
        <x:v>-0.12451393054856197</x:v>
      </x:c>
      <x:c r="H68" s="26" t="n">
        <x:f>PRODUCT(1+'Return Data'!H69:H79)-1</x:f>
        <x:v>-0.24086642162742633</x:v>
      </x:c>
      <x:c r="I68" s="26" t="n">
        <x:f>PRODUCT(1+'Return Data'!I69:I79)-1</x:f>
        <x:v>0.5370973918424826</x:v>
      </x:c>
      <x:c r="J68" s="26" t="n">
        <x:f>PRODUCT(1+'Return Data'!J69:J79)-1</x:f>
        <x:v>-0.20091030019601452</x:v>
      </x:c>
      <x:c r="K68" s="26" t="n">
        <x:f>PRODUCT(1+'Return Data'!K69:K79)-1</x:f>
        <x:v>0.015216406563480778</x:v>
      </x:c>
      <x:c r="L68" s="26" t="n">
        <x:f>PRODUCT(1+'Return Data'!L69:L79)-1</x:f>
        <x:v>-0.1893521571853357</x:v>
      </x:c>
      <x:c r="M68" s="26" t="n">
        <x:f>PRODUCT(1+'Return Data'!M69:M79)-1</x:f>
        <x:v>-0.28575387554867004</x:v>
      </x:c>
      <x:c r="N68" s="26" t="n">
        <x:f>PRODUCT(1+'Return Data'!N69:N79)-1</x:f>
        <x:v>0.10683570652721874</x:v>
      </x:c>
      <x:c r="O68" s="26" t="n">
        <x:f>PRODUCT(1+'Return Data'!O69:O79)-1</x:f>
        <x:v>-0.046872554381465203</x:v>
      </x:c>
      <x:c r="P68" s="26" t="n">
        <x:f>PRODUCT(1+'Return Data'!P69:P79)-1</x:f>
        <x:v>-0.3351886666553725</x:v>
      </x:c>
      <x:c r="Q68" s="26" t="n">
        <x:f>PRODUCT(1+'Return Data'!Q69:Q79)-1</x:f>
        <x:v>-0.027003182596828434</x:v>
      </x:c>
      <x:c r="R68" s="26" t="n">
        <x:f>PRODUCT(1+'Return Data'!R69:R79)-1</x:f>
        <x:v>-0.05460424851947532</x:v>
      </x:c>
      <x:c r="S68" s="26" t="n">
        <x:f>PRODUCT(1+'Return Data'!S69:S79)-1</x:f>
        <x:v>-0.22367451645124015</x:v>
      </x:c>
      <x:c r="T68" s="26" t="n">
        <x:f>PRODUCT(1+'Return Data'!T69:T79)-1</x:f>
        <x:v>-0.10755250754912071</x:v>
      </x:c>
      <x:c r="U68" s="26" t="n">
        <x:f>PRODUCT(1+'Return Data'!U69:U79)-1</x:f>
        <x:v>0.4404245866570391</x:v>
      </x:c>
    </x:row>
    <x:row r="69">
      <x:c r="A69" s="20" t="n">
        <x:f>'Return Data'!A82</x:f>
        <x:v>46081</x:v>
      </x:c>
      <x:c r="B69" s="26" t="n">
        <x:f>PRODUCT(1+'Return Data'!B70:B80)-1</x:f>
        <x:v>0.296066438320697</x:v>
      </x:c>
      <x:c r="C69" s="26" t="n">
        <x:f>PRODUCT(1+'Return Data'!C70:C80)-1</x:f>
        <x:v>-0.13685688913973726</x:v>
      </x:c>
      <x:c r="D69" s="26" t="n">
        <x:f>PRODUCT(1+'Return Data'!D70:D80)-1</x:f>
        <x:v>-0.26777482709472433</x:v>
      </x:c>
      <x:c r="E69" s="26" t="n">
        <x:f>PRODUCT(1+'Return Data'!E70:E80)-1</x:f>
        <x:v>-0.40298631493610737</x:v>
      </x:c>
      <x:c r="F69" s="26" t="n">
        <x:f>PRODUCT(1+'Return Data'!F70:F80)-1</x:f>
        <x:v>-0.040326952360072554</x:v>
      </x:c>
      <x:c r="G69" s="26" t="n">
        <x:f>PRODUCT(1+'Return Data'!G70:G80)-1</x:f>
        <x:v>-0.11309724412155908</x:v>
      </x:c>
      <x:c r="H69" s="26" t="n">
        <x:f>PRODUCT(1+'Return Data'!H70:H80)-1</x:f>
        <x:v>-0.34780427207428477</x:v>
      </x:c>
      <x:c r="I69" s="26" t="n">
        <x:f>PRODUCT(1+'Return Data'!I70:I80)-1</x:f>
        <x:v>0.5053564711785477</x:v>
      </x:c>
      <x:c r="J69" s="26" t="n">
        <x:f>PRODUCT(1+'Return Data'!J70:J80)-1</x:f>
        <x:v>-0.19565306724844578</x:v>
      </x:c>
      <x:c r="K69" s="26" t="n">
        <x:f>PRODUCT(1+'Return Data'!K70:K80)-1</x:f>
        <x:v>0.14768918730825065</x:v>
      </x:c>
      <x:c r="L69" s="26" t="n">
        <x:f>PRODUCT(1+'Return Data'!L70:L80)-1</x:f>
        <x:v>-0.23219102263489055</x:v>
      </x:c>
      <x:c r="M69" s="26" t="n">
        <x:f>PRODUCT(1+'Return Data'!M70:M80)-1</x:f>
        <x:v>-0.3019039254863136</x:v>
      </x:c>
      <x:c r="N69" s="26" t="n">
        <x:f>PRODUCT(1+'Return Data'!N70:N80)-1</x:f>
        <x:v>-0.017650422091487594</x:v>
      </x:c>
      <x:c r="O69" s="26" t="n">
        <x:f>PRODUCT(1+'Return Data'!O70:O80)-1</x:f>
        <x:v>-0.24395035174266977</x:v>
      </x:c>
      <x:c r="P69" s="26" t="n">
        <x:f>PRODUCT(1+'Return Data'!P70:P80)-1</x:f>
        <x:v>-0.41600607160635694</x:v>
      </x:c>
      <x:c r="Q69" s="26" t="n">
        <x:f>PRODUCT(1+'Return Data'!Q70:Q80)-1</x:f>
        <x:v>-0.16662820425177172</x:v>
      </x:c>
      <x:c r="R69" s="26" t="n">
        <x:f>PRODUCT(1+'Return Data'!R70:R80)-1</x:f>
        <x:v>-0.2393656697077723</x:v>
      </x:c>
      <x:c r="S69" s="26" t="n">
        <x:f>PRODUCT(1+'Return Data'!S70:S80)-1</x:f>
        <x:v>-0.28842842788456247</x:v>
      </x:c>
      <x:c r="T69" s="26" t="n">
        <x:f>PRODUCT(1+'Return Data'!T70:T80)-1</x:f>
        <x:v>-0.17435030477427382</x:v>
      </x:c>
      <x:c r="U69" s="26" t="n">
        <x:f>PRODUCT(1+'Return Data'!U70:U80)-1</x:f>
        <x:v>0.5085741108656137</x:v>
      </x:c>
    </x:row>
    <x:row r="70">
      <x:c r="A70" s="20" t="n">
        <x:f>'Return Data'!A83</x:f>
        <x:v>46111</x:v>
      </x:c>
      <x:c r="B70" s="26" t="n">
        <x:f>PRODUCT(1+'Return Data'!B71:B81)-1</x:f>
        <x:v>0.37728407781128337</x:v>
      </x:c>
      <x:c r="C70" s="26" t="n">
        <x:f>PRODUCT(1+'Return Data'!C71:C81)-1</x:f>
        <x:v>-0.21347316897189883</x:v>
      </x:c>
      <x:c r="D70" s="26" t="n">
        <x:f>PRODUCT(1+'Return Data'!D71:D81)-1</x:f>
        <x:v>-0.21229998440592768</x:v>
      </x:c>
      <x:c r="E70" s="26" t="n">
        <x:f>PRODUCT(1+'Return Data'!E71:E81)-1</x:f>
        <x:v>-0.3890108003150804</x:v>
      </x:c>
      <x:c r="F70" s="26" t="n">
        <x:f>PRODUCT(1+'Return Data'!F71:F81)-1</x:f>
        <x:v>-0.045678254070623425</x:v>
      </x:c>
      <x:c r="G70" s="26" t="n">
        <x:f>PRODUCT(1+'Return Data'!G71:G81)-1</x:f>
        <x:v>-0.21992710420024397</x:v>
      </x:c>
      <x:c r="H70" s="26" t="n">
        <x:f>PRODUCT(1+'Return Data'!H71:H81)-1</x:f>
        <x:v>-0.2905741676111482</x:v>
      </x:c>
      <x:c r="I70" s="26" t="n">
        <x:f>PRODUCT(1+'Return Data'!I71:I81)-1</x:f>
        <x:v>0.18882452918206094</x:v>
      </x:c>
      <x:c r="J70" s="26" t="n">
        <x:f>PRODUCT(1+'Return Data'!J71:J81)-1</x:f>
        <x:v>-0.20484837570642733</x:v>
      </x:c>
      <x:c r="K70" s="26" t="n">
        <x:f>PRODUCT(1+'Return Data'!K71:K81)-1</x:f>
        <x:v>-0.04450046778848327</x:v>
      </x:c>
      <x:c r="L70" s="26" t="n">
        <x:f>PRODUCT(1+'Return Data'!L71:L81)-1</x:f>
        <x:v>-0.22556658825337483</x:v>
      </x:c>
      <x:c r="M70" s="26" t="n">
        <x:f>PRODUCT(1+'Return Data'!M71:M81)-1</x:f>
        <x:v>-0.26103913382254584</x:v>
      </x:c>
      <x:c r="N70" s="26" t="n">
        <x:f>PRODUCT(1+'Return Data'!N71:N81)-1</x:f>
        <x:v>-0.1159850743890184</x:v>
      </x:c>
      <x:c r="O70" s="26" t="n">
        <x:f>PRODUCT(1+'Return Data'!O71:O81)-1</x:f>
        <x:v>-0.3325945671585635</x:v>
      </x:c>
      <x:c r="P70" s="26" t="n">
        <x:f>PRODUCT(1+'Return Data'!P71:P81)-1</x:f>
        <x:v>-0.41507713572386373</x:v>
      </x:c>
      <x:c r="Q70" s="26" t="n">
        <x:f>PRODUCT(1+'Return Data'!Q71:Q81)-1</x:f>
        <x:v>-0.2792020092262879</x:v>
      </x:c>
      <x:c r="R70" s="26" t="n">
        <x:f>PRODUCT(1+'Return Data'!R71:R81)-1</x:f>
        <x:v>-0.22784950917815183</x:v>
      </x:c>
      <x:c r="S70" s="26" t="n">
        <x:f>PRODUCT(1+'Return Data'!S71:S81)-1</x:f>
        <x:v>-0.2928855029233639</x:v>
      </x:c>
      <x:c r="T70" s="26" t="n">
        <x:f>PRODUCT(1+'Return Data'!T71:T81)-1</x:f>
        <x:v>-0.24552268509872743</x:v>
      </x:c>
      <x:c r="U70" s="26" t="n">
        <x:f>PRODUCT(1+'Return Data'!U71:U81)-1</x:f>
        <x:v>0.4285549369340451</x:v>
      </x:c>
    </x:row>
    <x:row r="71">
      <x:c r="A71" s="20" t="n">
        <x:f>'Return Data'!A84</x:f>
        <x:v>46142</x:v>
      </x:c>
      <x:c r="B71" s="26" t="n">
        <x:f>PRODUCT(1+'Return Data'!B72:B82)-1</x:f>
        <x:v>0.32294144642915246</x:v>
      </x:c>
      <x:c r="C71" s="26" t="n">
        <x:f>PRODUCT(1+'Return Data'!C72:C82)-1</x:f>
        <x:v>-0.21521581399337575</x:v>
      </x:c>
      <x:c r="D71" s="26" t="n">
        <x:f>PRODUCT(1+'Return Data'!D72:D82)-1</x:f>
        <x:v>-0.1926379117812177</x:v>
      </x:c>
      <x:c r="E71" s="26" t="n">
        <x:f>PRODUCT(1+'Return Data'!E72:E82)-1</x:f>
        <x:v>-0.3677241837016053</x:v>
      </x:c>
      <x:c r="F71" s="26" t="n">
        <x:f>PRODUCT(1+'Return Data'!F72:F82)-1</x:f>
        <x:v>0.037650539398585314</x:v>
      </x:c>
      <x:c r="G71" s="26" t="n">
        <x:f>PRODUCT(1+'Return Data'!G72:G82)-1</x:f>
        <x:v>-0.1730656662345903</x:v>
      </x:c>
      <x:c r="H71" s="26" t="n">
        <x:f>PRODUCT(1+'Return Data'!H72:H82)-1</x:f>
        <x:v>-0.20127707242127713</x:v>
      </x:c>
      <x:c r="I71" s="26" t="n">
        <x:f>PRODUCT(1+'Return Data'!I72:I82)-1</x:f>
        <x:v>0.12088058218845465</x:v>
      </x:c>
      <x:c r="J71" s="26" t="n">
        <x:f>PRODUCT(1+'Return Data'!J72:J82)-1</x:f>
        <x:v>-0.06261060237477711</x:v>
      </x:c>
      <x:c r="K71" s="26" t="n">
        <x:f>PRODUCT(1+'Return Data'!K72:K82)-1</x:f>
        <x:v>-0.09849433867143587</x:v>
      </x:c>
      <x:c r="L71" s="26" t="n">
        <x:f>PRODUCT(1+'Return Data'!L72:L82)-1</x:f>
        <x:v>-0.26542407674998003</x:v>
      </x:c>
      <x:c r="M71" s="26" t="n">
        <x:f>PRODUCT(1+'Return Data'!M72:M82)-1</x:f>
        <x:v>-0.1953630421823207</x:v>
      </x:c>
      <x:c r="N71" s="26" t="n">
        <x:f>PRODUCT(1+'Return Data'!N72:N82)-1</x:f>
        <x:v>-0.032608907337480786</x:v>
      </x:c>
      <x:c r="O71" s="26" t="n">
        <x:f>PRODUCT(1+'Return Data'!O72:O82)-1</x:f>
        <x:v>-0.390087526243586</x:v>
      </x:c>
      <x:c r="P71" s="26" t="n">
        <x:f>PRODUCT(1+'Return Data'!P72:P82)-1</x:f>
        <x:v>-0.33236922263717683</x:v>
      </x:c>
      <x:c r="Q71" s="26" t="n">
        <x:f>PRODUCT(1+'Return Data'!Q72:Q82)-1</x:f>
        <x:v>-0.24168477053314386</x:v>
      </x:c>
      <x:c r="R71" s="26" t="n">
        <x:f>PRODUCT(1+'Return Data'!R72:R82)-1</x:f>
        <x:v>-0.2766209208632312</x:v>
      </x:c>
      <x:c r="S71" s="26" t="n">
        <x:f>PRODUCT(1+'Return Data'!S72:S82)-1</x:f>
        <x:v>-0.21350413553370318</x:v>
      </x:c>
      <x:c r="T71" s="26" t="n">
        <x:f>PRODUCT(1+'Return Data'!T72:T82)-1</x:f>
        <x:v>-0.21513477790380564</x:v>
      </x:c>
      <x:c r="U71" s="26" t="n">
        <x:f>PRODUCT(1+'Return Data'!U72:U82)-1</x:f>
        <x:v>0.4406819430499507</x:v>
      </x:c>
    </x:row>
    <x:row r="72">
      <x:c r="A72" s="20" t="n">
        <x:f>'Return Data'!A85</x:f>
        <x:v>46172</x:v>
      </x:c>
      <x:c r="B72" s="26" t="n">
        <x:f>PRODUCT(1+'Return Data'!B73:B83)-1</x:f>
        <x:v>0.47725267332106047</x:v>
      </x:c>
      <x:c r="C72" s="26" t="n">
        <x:f>PRODUCT(1+'Return Data'!C73:C83)-1</x:f>
        <x:v>-0.17014608238620277</x:v>
      </x:c>
      <x:c r="D72" s="26" t="n">
        <x:f>PRODUCT(1+'Return Data'!D73:D83)-1</x:f>
        <x:v>-0.11271303730567239</x:v>
      </x:c>
      <x:c r="E72" s="26" t="n">
        <x:f>PRODUCT(1+'Return Data'!E73:E83)-1</x:f>
        <x:v>-0.11506407727816248</x:v>
      </x:c>
      <x:c r="F72" s="26" t="n">
        <x:f>PRODUCT(1+'Return Data'!F73:F83)-1</x:f>
        <x:v>0.03593630207867071</x:v>
      </x:c>
      <x:c r="G72" s="26" t="n">
        <x:f>PRODUCT(1+'Return Data'!G73:G83)-1</x:f>
        <x:v>0.010904316575586215</x:v>
      </x:c>
      <x:c r="H72" s="26" t="n">
        <x:f>PRODUCT(1+'Return Data'!H73:H83)-1</x:f>
        <x:v>0.11951239569662064</x:v>
      </x:c>
      <x:c r="I72" s="26" t="n">
        <x:f>PRODUCT(1+'Return Data'!I73:I83)-1</x:f>
        <x:v>0.12420977002804268</x:v>
      </x:c>
      <x:c r="J72" s="26" t="n">
        <x:f>PRODUCT(1+'Return Data'!J73:J83)-1</x:f>
        <x:v>0.03863809694051912</x:v>
      </x:c>
      <x:c r="K72" s="26" t="n">
        <x:f>PRODUCT(1+'Return Data'!K73:K83)-1</x:f>
        <x:v>0.07349101348449394</x:v>
      </x:c>
      <x:c r="L72" s="26" t="n">
        <x:f>PRODUCT(1+'Return Data'!L73:L83)-1</x:f>
        <x:v>-0.1351913283111088</x:v>
      </x:c>
      <x:c r="M72" s="26" t="n">
        <x:f>PRODUCT(1+'Return Data'!M73:M83)-1</x:f>
        <x:v>0.05311808425750386</x:v>
      </x:c>
      <x:c r="N72" s="26" t="n">
        <x:f>PRODUCT(1+'Return Data'!N73:N83)-1</x:f>
        <x:v>0.1305637119226175</x:v>
      </x:c>
      <x:c r="O72" s="26" t="n">
        <x:f>PRODUCT(1+'Return Data'!O73:O83)-1</x:f>
        <x:v>-0.19508906948786253</x:v>
      </x:c>
      <x:c r="P72" s="26" t="n">
        <x:f>PRODUCT(1+'Return Data'!P73:P83)-1</x:f>
        <x:v>-0.15353138323091164</x:v>
      </x:c>
      <x:c r="Q72" s="26" t="n">
        <x:f>PRODUCT(1+'Return Data'!Q73:Q83)-1</x:f>
        <x:v>-0.09501840834879449</x:v>
      </x:c>
      <x:c r="R72" s="26" t="n">
        <x:f>PRODUCT(1+'Return Data'!R73:R83)-1</x:f>
        <x:v>-0.12482119049999751</x:v>
      </x:c>
      <x:c r="S72" s="26" t="n">
        <x:f>PRODUCT(1+'Return Data'!S73:S83)-1</x:f>
        <x:v>0.0012880801950623244</x:v>
      </x:c>
      <x:c r="T72" s="26" t="n">
        <x:f>PRODUCT(1+'Return Data'!T73:T83)-1</x:f>
        <x:v>-0.010950340678111292</x:v>
      </x:c>
      <x:c r="U72" s="26" t="n">
        <x:f>PRODUCT(1+'Return Data'!U73:U83)-1</x:f>
        <x:v>0.8448947166751273</x:v>
      </x:c>
    </x:row>
    <x:row r="73">
      <x:c r="A73" s="20" t="n">
        <x:f>'Return Data'!A86</x:f>
        <x:v>46203</x:v>
      </x:c>
      <x:c r="B73" s="26" t="n">
        <x:f>PRODUCT(1+'Return Data'!B74:B84)-1</x:f>
        <x:v>0.3419763669003437</x:v>
      </x:c>
      <x:c r="C73" s="26" t="n">
        <x:f>PRODUCT(1+'Return Data'!C74:C84)-1</x:f>
        <x:v>-0.3262012715996804</x:v>
      </x:c>
      <x:c r="D73" s="26" t="n">
        <x:f>PRODUCT(1+'Return Data'!D74:D84)-1</x:f>
        <x:v>-0.10906984644912943</x:v>
      </x:c>
      <x:c r="E73" s="26" t="n">
        <x:f>PRODUCT(1+'Return Data'!E74:E84)-1</x:f>
        <x:v>-0.022790671026781784</x:v>
      </x:c>
      <x:c r="F73" s="26" t="n">
        <x:f>PRODUCT(1+'Return Data'!F74:F84)-1</x:f>
        <x:v>0.1817468568032714</x:v>
      </x:c>
      <x:c r="G73" s="26" t="n">
        <x:f>PRODUCT(1+'Return Data'!G74:G84)-1</x:f>
        <x:v>-0.012167670091991822</x:v>
      </x:c>
      <x:c r="H73" s="26" t="n">
        <x:f>PRODUCT(1+'Return Data'!H74:H84)-1</x:f>
        <x:v>0.15251928092155032</x:v>
      </x:c>
      <x:c r="I73" s="26" t="n">
        <x:f>PRODUCT(1+'Return Data'!I74:I84)-1</x:f>
        <x:v>-0.011936238840410729</x:v>
      </x:c>
      <x:c r="J73" s="26" t="n">
        <x:f>PRODUCT(1+'Return Data'!J74:J84)-1</x:f>
        <x:v>0.027083928280233316</x:v>
      </x:c>
      <x:c r="K73" s="26" t="n">
        <x:f>PRODUCT(1+'Return Data'!K74:K84)-1</x:f>
        <x:v>0.06581855950941096</x:v>
      </x:c>
      <x:c r="L73" s="26" t="n">
        <x:f>PRODUCT(1+'Return Data'!L74:L84)-1</x:f>
        <x:v>-0.27541011754796785</x:v>
      </x:c>
      <x:c r="M73" s="26" t="n">
        <x:f>PRODUCT(1+'Return Data'!M74:M84)-1</x:f>
        <x:v>0.15134555030823593</x:v>
      </x:c>
      <x:c r="N73" s="26" t="n">
        <x:f>PRODUCT(1+'Return Data'!N74:N84)-1</x:f>
        <x:v>-0.03190794338124914</x:v>
      </x:c>
      <x:c r="O73" s="26" t="n">
        <x:f>PRODUCT(1+'Return Data'!O74:O84)-1</x:f>
        <x:v>-0.17597887497300824</x:v>
      </x:c>
      <x:c r="P73" s="26" t="n">
        <x:f>PRODUCT(1+'Return Data'!P74:P84)-1</x:f>
        <x:v>-0.13856082944089076</x:v>
      </x:c>
      <x:c r="Q73" s="26" t="n">
        <x:f>PRODUCT(1+'Return Data'!Q74:Q84)-1</x:f>
        <x:v>-0.19967892102256157</x:v>
      </x:c>
      <x:c r="R73" s="26" t="n">
        <x:f>PRODUCT(1+'Return Data'!R74:R84)-1</x:f>
        <x:v>-0.076890743663514</x:v>
      </x:c>
      <x:c r="S73" s="26" t="n">
        <x:f>PRODUCT(1+'Return Data'!S74:S84)-1</x:f>
        <x:v>-0.04775941038729825</x:v>
      </x:c>
      <x:c r="T73" s="26" t="n">
        <x:f>PRODUCT(1+'Return Data'!T74:T84)-1</x:f>
        <x:v>0.27841421159411683</x:v>
      </x:c>
      <x:c r="U73" s="26" t="n">
        <x:f>PRODUCT(1+'Return Data'!U74:U84)-1</x:f>
        <x:v>0.7140235867431961</x:v>
      </x:c>
    </x:row>
    <x:row r="74">
      <x:c r="A74" s="20" t="n">
        <x:f>'Return Data'!A87</x:f>
        <x:v>46233</x:v>
      </x:c>
      <x:c r="B74" s="26" t="n">
        <x:f>PRODUCT(1+'Return Data'!B75:B85)-1</x:f>
        <x:v>0.2493320847757634</x:v>
      </x:c>
      <x:c r="C74" s="26" t="n">
        <x:f>PRODUCT(1+'Return Data'!C75:C85)-1</x:f>
        <x:v>-0.10797832783025318</x:v>
      </x:c>
      <x:c r="D74" s="26" t="n">
        <x:f>PRODUCT(1+'Return Data'!D75:D85)-1</x:f>
        <x:v>-0.05612228120019214</x:v>
      </x:c>
      <x:c r="E74" s="26" t="n">
        <x:f>PRODUCT(1+'Return Data'!E75:E85)-1</x:f>
        <x:v>0.0952773228401913</x:v>
      </x:c>
      <x:c r="F74" s="26" t="n">
        <x:f>PRODUCT(1+'Return Data'!F75:F85)-1</x:f>
        <x:v>0.15253690473398995</x:v>
      </x:c>
      <x:c r="G74" s="26" t="n">
        <x:f>PRODUCT(1+'Return Data'!G75:G85)-1</x:f>
        <x:v>-0.006031135731286996</x:v>
      </x:c>
      <x:c r="H74" s="26" t="n">
        <x:f>PRODUCT(1+'Return Data'!H75:H85)-1</x:f>
        <x:v>0.12269123394340498</x:v>
      </x:c>
      <x:c r="I74" s="26" t="n">
        <x:f>PRODUCT(1+'Return Data'!I75:I85)-1</x:f>
        <x:v>0.04767528624756512</x:v>
      </x:c>
      <x:c r="J74" s="26" t="n">
        <x:f>PRODUCT(1+'Return Data'!J75:J85)-1</x:f>
        <x:v>0.1658777129915554</x:v>
      </x:c>
      <x:c r="K74" s="26" t="n">
        <x:f>PRODUCT(1+'Return Data'!K75:K85)-1</x:f>
        <x:v>-0.003992177561556898</x:v>
      </x:c>
      <x:c r="L74" s="26" t="n">
        <x:f>PRODUCT(1+'Return Data'!L75:L85)-1</x:f>
        <x:v>-0.05097558352197129</x:v>
      </x:c>
      <x:c r="M74" s="26" t="n">
        <x:f>PRODUCT(1+'Return Data'!M75:M85)-1</x:f>
        <x:v>0.470948255972623</x:v>
      </x:c>
      <x:c r="N74" s="26" t="n">
        <x:f>PRODUCT(1+'Return Data'!N75:N85)-1</x:f>
        <x:v>-0.020136212518079177</x:v>
      </x:c>
      <x:c r="O74" s="26" t="n">
        <x:f>PRODUCT(1+'Return Data'!O75:O85)-1</x:f>
        <x:v>-0.09280992485844775</x:v>
      </x:c>
      <x:c r="P74" s="26" t="n">
        <x:f>PRODUCT(1+'Return Data'!P75:P85)-1</x:f>
        <x:v>-0.1819240090380948</x:v>
      </x:c>
      <x:c r="Q74" s="26" t="n">
        <x:f>PRODUCT(1+'Return Data'!Q75:Q85)-1</x:f>
        <x:v>-0.06608930677864644</x:v>
      </x:c>
      <x:c r="R74" s="26" t="n">
        <x:f>PRODUCT(1+'Return Data'!R75:R85)-1</x:f>
        <x:v>-0.0014344948955845593</x:v>
      </x:c>
      <x:c r="S74" s="26" t="n">
        <x:f>PRODUCT(1+'Return Data'!S75:S85)-1</x:f>
        <x:v>0.15757118618063282</x:v>
      </x:c>
      <x:c r="T74" s="26" t="n">
        <x:f>PRODUCT(1+'Return Data'!T75:T85)-1</x:f>
        <x:v>0.26237463602555455</x:v>
      </x:c>
      <x:c r="U74" s="26" t="n">
        <x:f>PRODUCT(1+'Return Data'!U75:U85)-1</x:f>
        <x:v>0.3916163497486531</x:v>
      </x:c>
    </x:row>
    <x:row r="75">
      <x:c r="A75" s="20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</x:row>
  </x:sheetData>
  <x:mergeCells>
    <x:mergeCell ref="A1:V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2" hidden="0" customWidth="1"/>
    <x:col min="4" max="4" width="13" hidden="0" customWidth="1"/>
    <x:col min="5" max="5" width="16" hidden="0" customWidth="1"/>
    <x:col min="6" max="6" width="14" hidden="0" customWidth="1"/>
    <x:col min="7" max="7" width="15" hidden="0" customWidth="1"/>
    <x:col min="8" max="8" width="17" hidden="0" customWidth="1"/>
    <x:col min="9" max="9" width="17" hidden="0" customWidth="1"/>
    <x:col min="10" max="10" width="14" hidden="0" customWidth="1"/>
    <x:col min="11" max="11" width="18" hidden="0" customWidth="1"/>
  </x:cols>
  <x:sheetData>
    <x:row r="1" ht="27" customHeight="1">
      <x:c r="A1" s="3" t="str">
        <x:v>Momentum Backtest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17" t="str">
        <x:v>Month</x:v>
      </x:c>
      <x:c r="B3" s="17" t="str">
        <x:v>Gross Momentum</x:v>
      </x:c>
      <x:c r="C3" s="17" t="str">
        <x:v>Turnover</x:v>
      </x:c>
      <x:c r="D3" s="17" t="str">
        <x:v>Trading Cost</x:v>
      </x:c>
      <x:c r="E3" s="17" t="str">
        <x:v>Net Momentum</x:v>
      </x:c>
      <x:c r="F3" s="17" t="str">
        <x:v>Benchmark</x:v>
      </x:c>
      <x:c r="G3" s="17" t="str">
        <x:v>Excess Return</x:v>
      </x:c>
      <x:c r="H3" s="17" t="str">
        <x:v>Momentum Wealth</x:v>
      </x:c>
      <x:c r="I3" s="17" t="str">
        <x:v>Benchmark Wealth</x:v>
      </x:c>
      <x:c r="J3" s="17" t="str">
        <x:v>Drawdown</x:v>
      </x:c>
      <x:c r="K3" s="17" t="str">
        <x:v>Benchmark Drawdown</x:v>
      </x:c>
    </x:row>
    <x:row r="4">
      <x:c r="A4" s="20" t="n">
        <x:f>'Return Data'!A18</x:f>
        <x:v>44134</x:v>
      </x:c>
      <x:c r="B4" s="26" t="n">
        <x:f>(IF(RANK.EQ('Momentum Ranks'!B4,'Momentum Ranks'!$B4:$U4,0)&lt;='Strategy Settings'!$B$7,'Return Data'!B18,0)+IF(RANK.EQ('Momentum Ranks'!C4,'Momentum Ranks'!$B4:$U4,0)&lt;='Strategy Settings'!$B$7,'Return Data'!C18,0)+IF(RANK.EQ('Momentum Ranks'!D4,'Momentum Ranks'!$B4:$U4,0)&lt;='Strategy Settings'!$B$7,'Return Data'!D18,0)+IF(RANK.EQ('Momentum Ranks'!E4,'Momentum Ranks'!$B4:$U4,0)&lt;='Strategy Settings'!$B$7,'Return Data'!E18,0)+IF(RANK.EQ('Momentum Ranks'!F4,'Momentum Ranks'!$B4:$U4,0)&lt;='Strategy Settings'!$B$7,'Return Data'!F18,0)+IF(RANK.EQ('Momentum Ranks'!G4,'Momentum Ranks'!$B4:$U4,0)&lt;='Strategy Settings'!$B$7,'Return Data'!G18,0)+IF(RANK.EQ('Momentum Ranks'!H4,'Momentum Ranks'!$B4:$U4,0)&lt;='Strategy Settings'!$B$7,'Return Data'!H18,0)+IF(RANK.EQ('Momentum Ranks'!I4,'Momentum Ranks'!$B4:$U4,0)&lt;='Strategy Settings'!$B$7,'Return Data'!I18,0)+IF(RANK.EQ('Momentum Ranks'!J4,'Momentum Ranks'!$B4:$U4,0)&lt;='Strategy Settings'!$B$7,'Return Data'!J18,0)+IF(RANK.EQ('Momentum Ranks'!K4,'Momentum Ranks'!$B4:$U4,0)&lt;='Strategy Settings'!$B$7,'Return Data'!K18,0)+IF(RANK.EQ('Momentum Ranks'!L4,'Momentum Ranks'!$B4:$U4,0)&lt;='Strategy Settings'!$B$7,'Return Data'!L18,0)+IF(RANK.EQ('Momentum Ranks'!M4,'Momentum Ranks'!$B4:$U4,0)&lt;='Strategy Settings'!$B$7,'Return Data'!M18,0)+IF(RANK.EQ('Momentum Ranks'!N4,'Momentum Ranks'!$B4:$U4,0)&lt;='Strategy Settings'!$B$7,'Return Data'!N18,0)+IF(RANK.EQ('Momentum Ranks'!O4,'Momentum Ranks'!$B4:$U4,0)&lt;='Strategy Settings'!$B$7,'Return Data'!O18,0)+IF(RANK.EQ('Momentum Ranks'!P4,'Momentum Ranks'!$B4:$U4,0)&lt;='Strategy Settings'!$B$7,'Return Data'!P18,0)+IF(RANK.EQ('Momentum Ranks'!Q4,'Momentum Ranks'!$B4:$U4,0)&lt;='Strategy Settings'!$B$7,'Return Data'!Q18,0)+IF(RANK.EQ('Momentum Ranks'!R4,'Momentum Ranks'!$B4:$U4,0)&lt;='Strategy Settings'!$B$7,'Return Data'!R18,0)+IF(RANK.EQ('Momentum Ranks'!S4,'Momentum Ranks'!$B4:$U4,0)&lt;='Strategy Settings'!$B$7,'Return Data'!S18,0)+IF(RANK.EQ('Momentum Ranks'!T4,'Momentum Ranks'!$B4:$U4,0)&lt;='Strategy Settings'!$B$7,'Return Data'!T18,0)+IF(RANK.EQ('Momentum Ranks'!U4,'Momentum Ranks'!$B4:$U4,0)&lt;='Strategy Settings'!$B$7,'Return Data'!U18,0))/'Strategy Settings'!$B$7</x:f>
        <x:v>-0.01219728309085816</x:v>
      </x:c>
      <x:c r="C4" s="26" t="n">
        <x:v>1</x:v>
      </x:c>
      <x:c r="D4" s="26" t="n">
        <x:f>C4*'Strategy Settings'!$B$9</x:f>
        <x:v>0.001</x:v>
      </x:c>
      <x:c r="E4" s="26" t="n">
        <x:f>B4-D4</x:f>
        <x:v>-0.013197283090858158</x:v>
      </x:c>
      <x:c r="F4" s="26" t="n">
        <x:f>'Return Data'!V14</x:f>
        <x:v>0.04304334645137863</x:v>
      </x:c>
      <x:c r="G4" s="26" t="n">
        <x:f>E4-F4</x:f>
        <x:v>-0.05624062954223679</x:v>
      </x:c>
      <x:c r="H4" s="28" t="n">
        <x:f>1+E4</x:f>
        <x:v>0.9868027169091418</x:v>
      </x:c>
      <x:c r="I4" s="28" t="n">
        <x:f>1+F4</x:f>
        <x:v>1.0430433464513786</x:v>
      </x:c>
      <x:c r="J4" s="26" t="n">
        <x:v>0</x:v>
      </x:c>
      <x:c r="K4" s="26" t="n">
        <x:v>0</x:v>
      </x:c>
    </x:row>
    <x:row r="5">
      <x:c r="A5" s="20" t="n">
        <x:f>'Return Data'!A19</x:f>
        <x:v>44165</x:v>
      </x:c>
      <x:c r="B5" s="26" t="n">
        <x:f>(IF(RANK.EQ('Momentum Ranks'!B5,'Momentum Ranks'!$B5:$U5,0)&lt;='Strategy Settings'!$B$7,'Return Data'!B19,0)+IF(RANK.EQ('Momentum Ranks'!C5,'Momentum Ranks'!$B5:$U5,0)&lt;='Strategy Settings'!$B$7,'Return Data'!C19,0)+IF(RANK.EQ('Momentum Ranks'!D5,'Momentum Ranks'!$B5:$U5,0)&lt;='Strategy Settings'!$B$7,'Return Data'!D19,0)+IF(RANK.EQ('Momentum Ranks'!E5,'Momentum Ranks'!$B5:$U5,0)&lt;='Strategy Settings'!$B$7,'Return Data'!E19,0)+IF(RANK.EQ('Momentum Ranks'!F5,'Momentum Ranks'!$B5:$U5,0)&lt;='Strategy Settings'!$B$7,'Return Data'!F19,0)+IF(RANK.EQ('Momentum Ranks'!G5,'Momentum Ranks'!$B5:$U5,0)&lt;='Strategy Settings'!$B$7,'Return Data'!G19,0)+IF(RANK.EQ('Momentum Ranks'!H5,'Momentum Ranks'!$B5:$U5,0)&lt;='Strategy Settings'!$B$7,'Return Data'!H19,0)+IF(RANK.EQ('Momentum Ranks'!I5,'Momentum Ranks'!$B5:$U5,0)&lt;='Strategy Settings'!$B$7,'Return Data'!I19,0)+IF(RANK.EQ('Momentum Ranks'!J5,'Momentum Ranks'!$B5:$U5,0)&lt;='Strategy Settings'!$B$7,'Return Data'!J19,0)+IF(RANK.EQ('Momentum Ranks'!K5,'Momentum Ranks'!$B5:$U5,0)&lt;='Strategy Settings'!$B$7,'Return Data'!K19,0)+IF(RANK.EQ('Momentum Ranks'!L5,'Momentum Ranks'!$B5:$U5,0)&lt;='Strategy Settings'!$B$7,'Return Data'!L19,0)+IF(RANK.EQ('Momentum Ranks'!M5,'Momentum Ranks'!$B5:$U5,0)&lt;='Strategy Settings'!$B$7,'Return Data'!M19,0)+IF(RANK.EQ('Momentum Ranks'!N5,'Momentum Ranks'!$B5:$U5,0)&lt;='Strategy Settings'!$B$7,'Return Data'!N19,0)+IF(RANK.EQ('Momentum Ranks'!O5,'Momentum Ranks'!$B5:$U5,0)&lt;='Strategy Settings'!$B$7,'Return Data'!O19,0)+IF(RANK.EQ('Momentum Ranks'!P5,'Momentum Ranks'!$B5:$U5,0)&lt;='Strategy Settings'!$B$7,'Return Data'!P19,0)+IF(RANK.EQ('Momentum Ranks'!Q5,'Momentum Ranks'!$B5:$U5,0)&lt;='Strategy Settings'!$B$7,'Return Data'!Q19,0)+IF(RANK.EQ('Momentum Ranks'!R5,'Momentum Ranks'!$B5:$U5,0)&lt;='Strategy Settings'!$B$7,'Return Data'!R19,0)+IF(RANK.EQ('Momentum Ranks'!S5,'Momentum Ranks'!$B5:$U5,0)&lt;='Strategy Settings'!$B$7,'Return Data'!S19,0)+IF(RANK.EQ('Momentum Ranks'!T5,'Momentum Ranks'!$B5:$U5,0)&lt;='Strategy Settings'!$B$7,'Return Data'!T19,0)+IF(RANK.EQ('Momentum Ranks'!U5,'Momentum Ranks'!$B5:$U5,0)&lt;='Strategy Settings'!$B$7,'Return Data'!U19,0))/'Strategy Settings'!$B$7</x:f>
        <x:v>0.07141065387098083</x:v>
      </x:c>
      <x:c r="C5" s="26" t="n">
        <x:f>1-(IF(AND(RANK.EQ('Momentum Ranks'!B5,'Momentum Ranks'!$B5:$U5,0)&lt;='Strategy Settings'!$B$7,RANK.EQ('Momentum Ranks'!B4,'Momentum Ranks'!$B4:$U4,0)&lt;='Strategy Settings'!$B$7),1,0)+IF(AND(RANK.EQ('Momentum Ranks'!C5,'Momentum Ranks'!$B5:$U5,0)&lt;='Strategy Settings'!$B$7,RANK.EQ('Momentum Ranks'!C4,'Momentum Ranks'!$B4:$U4,0)&lt;='Strategy Settings'!$B$7),1,0)+IF(AND(RANK.EQ('Momentum Ranks'!D5,'Momentum Ranks'!$B5:$U5,0)&lt;='Strategy Settings'!$B$7,RANK.EQ('Momentum Ranks'!D4,'Momentum Ranks'!$B4:$U4,0)&lt;='Strategy Settings'!$B$7),1,0)+IF(AND(RANK.EQ('Momentum Ranks'!E5,'Momentum Ranks'!$B5:$U5,0)&lt;='Strategy Settings'!$B$7,RANK.EQ('Momentum Ranks'!E4,'Momentum Ranks'!$B4:$U4,0)&lt;='Strategy Settings'!$B$7),1,0)+IF(AND(RANK.EQ('Momentum Ranks'!F5,'Momentum Ranks'!$B5:$U5,0)&lt;='Strategy Settings'!$B$7,RANK.EQ('Momentum Ranks'!F4,'Momentum Ranks'!$B4:$U4,0)&lt;='Strategy Settings'!$B$7),1,0)+IF(AND(RANK.EQ('Momentum Ranks'!G5,'Momentum Ranks'!$B5:$U5,0)&lt;='Strategy Settings'!$B$7,RANK.EQ('Momentum Ranks'!G4,'Momentum Ranks'!$B4:$U4,0)&lt;='Strategy Settings'!$B$7),1,0)+IF(AND(RANK.EQ('Momentum Ranks'!H5,'Momentum Ranks'!$B5:$U5,0)&lt;='Strategy Settings'!$B$7,RANK.EQ('Momentum Ranks'!H4,'Momentum Ranks'!$B4:$U4,0)&lt;='Strategy Settings'!$B$7),1,0)+IF(AND(RANK.EQ('Momentum Ranks'!I5,'Momentum Ranks'!$B5:$U5,0)&lt;='Strategy Settings'!$B$7,RANK.EQ('Momentum Ranks'!I4,'Momentum Ranks'!$B4:$U4,0)&lt;='Strategy Settings'!$B$7),1,0)+IF(AND(RANK.EQ('Momentum Ranks'!J5,'Momentum Ranks'!$B5:$U5,0)&lt;='Strategy Settings'!$B$7,RANK.EQ('Momentum Ranks'!J4,'Momentum Ranks'!$B4:$U4,0)&lt;='Strategy Settings'!$B$7),1,0)+IF(AND(RANK.EQ('Momentum Ranks'!K5,'Momentum Ranks'!$B5:$U5,0)&lt;='Strategy Settings'!$B$7,RANK.EQ('Momentum Ranks'!K4,'Momentum Ranks'!$B4:$U4,0)&lt;='Strategy Settings'!$B$7),1,0)+IF(AND(RANK.EQ('Momentum Ranks'!L5,'Momentum Ranks'!$B5:$U5,0)&lt;='Strategy Settings'!$B$7,RANK.EQ('Momentum Ranks'!L4,'Momentum Ranks'!$B4:$U4,0)&lt;='Strategy Settings'!$B$7),1,0)+IF(AND(RANK.EQ('Momentum Ranks'!M5,'Momentum Ranks'!$B5:$U5,0)&lt;='Strategy Settings'!$B$7,RANK.EQ('Momentum Ranks'!M4,'Momentum Ranks'!$B4:$U4,0)&lt;='Strategy Settings'!$B$7),1,0)+IF(AND(RANK.EQ('Momentum Ranks'!N5,'Momentum Ranks'!$B5:$U5,0)&lt;='Strategy Settings'!$B$7,RANK.EQ('Momentum Ranks'!N4,'Momentum Ranks'!$B4:$U4,0)&lt;='Strategy Settings'!$B$7),1,0)+IF(AND(RANK.EQ('Momentum Ranks'!O5,'Momentum Ranks'!$B5:$U5,0)&lt;='Strategy Settings'!$B$7,RANK.EQ('Momentum Ranks'!O4,'Momentum Ranks'!$B4:$U4,0)&lt;='Strategy Settings'!$B$7),1,0)+IF(AND(RANK.EQ('Momentum Ranks'!P5,'Momentum Ranks'!$B5:$U5,0)&lt;='Strategy Settings'!$B$7,RANK.EQ('Momentum Ranks'!P4,'Momentum Ranks'!$B4:$U4,0)&lt;='Strategy Settings'!$B$7),1,0)+IF(AND(RANK.EQ('Momentum Ranks'!Q5,'Momentum Ranks'!$B5:$U5,0)&lt;='Strategy Settings'!$B$7,RANK.EQ('Momentum Ranks'!Q4,'Momentum Ranks'!$B4:$U4,0)&lt;='Strategy Settings'!$B$7),1,0)+IF(AND(RANK.EQ('Momentum Ranks'!R5,'Momentum Ranks'!$B5:$U5,0)&lt;='Strategy Settings'!$B$7,RANK.EQ('Momentum Ranks'!R4,'Momentum Ranks'!$B4:$U4,0)&lt;='Strategy Settings'!$B$7),1,0)+IF(AND(RANK.EQ('Momentum Ranks'!S5,'Momentum Ranks'!$B5:$U5,0)&lt;='Strategy Settings'!$B$7,RANK.EQ('Momentum Ranks'!S4,'Momentum Ranks'!$B4:$U4,0)&lt;='Strategy Settings'!$B$7),1,0)+IF(AND(RANK.EQ('Momentum Ranks'!T5,'Momentum Ranks'!$B5:$U5,0)&lt;='Strategy Settings'!$B$7,RANK.EQ('Momentum Ranks'!T4,'Momentum Ranks'!$B4:$U4,0)&lt;='Strategy Settings'!$B$7),1,0)+IF(AND(RANK.EQ('Momentum Ranks'!U5,'Momentum Ranks'!$B5:$U5,0)&lt;='Strategy Settings'!$B$7,RANK.EQ('Momentum Ranks'!U4,'Momentum Ranks'!$B4:$U4,0)&lt;='Strategy Settings'!$B$7),1,0))/'Strategy Settings'!$B$7</x:f>
        <x:v>0.25</x:v>
      </x:c>
      <x:c r="D5" s="26" t="n">
        <x:f>C5*'Strategy Settings'!$B$9</x:f>
        <x:v>0.00025</x:v>
      </x:c>
      <x:c r="E5" s="26" t="n">
        <x:f>B5-D5</x:f>
        <x:v>0.07116065387098083</x:v>
      </x:c>
      <x:c r="F5" s="26" t="n">
        <x:f>'Return Data'!V15</x:f>
        <x:v>0.08067497944982924</x:v>
      </x:c>
      <x:c r="G5" s="26" t="n">
        <x:f>E5-F5</x:f>
        <x:v>-0.009514325578848404</x:v>
      </x:c>
      <x:c r="H5" s="28" t="n">
        <x:f>H4*(1+E5)</x:f>
        <x:v>1.0570242434860566</x:v>
      </x:c>
      <x:c r="I5" s="28" t="n">
        <x:f>I4*(1+F5)</x:f>
        <x:v>1.1271908469916248</x:v>
      </x:c>
      <x:c r="J5" s="26" t="n">
        <x:f>H5/MAX($H$4:H5)-1</x:f>
        <x:v>0</x:v>
      </x:c>
      <x:c r="K5" s="26" t="n">
        <x:f>I5/MAX($I$4:I5)-1</x:f>
        <x:v>0</x:v>
      </x:c>
    </x:row>
    <x:row r="6">
      <x:c r="A6" s="20" t="n">
        <x:f>'Return Data'!A20</x:f>
        <x:v>44195</x:v>
      </x:c>
      <x:c r="B6" s="26" t="n">
        <x:f>(IF(RANK.EQ('Momentum Ranks'!B6,'Momentum Ranks'!$B6:$U6,0)&lt;='Strategy Settings'!$B$7,'Return Data'!B20,0)+IF(RANK.EQ('Momentum Ranks'!C6,'Momentum Ranks'!$B6:$U6,0)&lt;='Strategy Settings'!$B$7,'Return Data'!C20,0)+IF(RANK.EQ('Momentum Ranks'!D6,'Momentum Ranks'!$B6:$U6,0)&lt;='Strategy Settings'!$B$7,'Return Data'!D20,0)+IF(RANK.EQ('Momentum Ranks'!E6,'Momentum Ranks'!$B6:$U6,0)&lt;='Strategy Settings'!$B$7,'Return Data'!E20,0)+IF(RANK.EQ('Momentum Ranks'!F6,'Momentum Ranks'!$B6:$U6,0)&lt;='Strategy Settings'!$B$7,'Return Data'!F20,0)+IF(RANK.EQ('Momentum Ranks'!G6,'Momentum Ranks'!$B6:$U6,0)&lt;='Strategy Settings'!$B$7,'Return Data'!G20,0)+IF(RANK.EQ('Momentum Ranks'!H6,'Momentum Ranks'!$B6:$U6,0)&lt;='Strategy Settings'!$B$7,'Return Data'!H20,0)+IF(RANK.EQ('Momentum Ranks'!I6,'Momentum Ranks'!$B6:$U6,0)&lt;='Strategy Settings'!$B$7,'Return Data'!I20,0)+IF(RANK.EQ('Momentum Ranks'!J6,'Momentum Ranks'!$B6:$U6,0)&lt;='Strategy Settings'!$B$7,'Return Data'!J20,0)+IF(RANK.EQ('Momentum Ranks'!K6,'Momentum Ranks'!$B6:$U6,0)&lt;='Strategy Settings'!$B$7,'Return Data'!K20,0)+IF(RANK.EQ('Momentum Ranks'!L6,'Momentum Ranks'!$B6:$U6,0)&lt;='Strategy Settings'!$B$7,'Return Data'!L20,0)+IF(RANK.EQ('Momentum Ranks'!M6,'Momentum Ranks'!$B6:$U6,0)&lt;='Strategy Settings'!$B$7,'Return Data'!M20,0)+IF(RANK.EQ('Momentum Ranks'!N6,'Momentum Ranks'!$B6:$U6,0)&lt;='Strategy Settings'!$B$7,'Return Data'!N20,0)+IF(RANK.EQ('Momentum Ranks'!O6,'Momentum Ranks'!$B6:$U6,0)&lt;='Strategy Settings'!$B$7,'Return Data'!O20,0)+IF(RANK.EQ('Momentum Ranks'!P6,'Momentum Ranks'!$B6:$U6,0)&lt;='Strategy Settings'!$B$7,'Return Data'!P20,0)+IF(RANK.EQ('Momentum Ranks'!Q6,'Momentum Ranks'!$B6:$U6,0)&lt;='Strategy Settings'!$B$7,'Return Data'!Q20,0)+IF(RANK.EQ('Momentum Ranks'!R6,'Momentum Ranks'!$B6:$U6,0)&lt;='Strategy Settings'!$B$7,'Return Data'!R20,0)+IF(RANK.EQ('Momentum Ranks'!S6,'Momentum Ranks'!$B6:$U6,0)&lt;='Strategy Settings'!$B$7,'Return Data'!S20,0)+IF(RANK.EQ('Momentum Ranks'!T6,'Momentum Ranks'!$B6:$U6,0)&lt;='Strategy Settings'!$B$7,'Return Data'!T20,0)+IF(RANK.EQ('Momentum Ranks'!U6,'Momentum Ranks'!$B6:$U6,0)&lt;='Strategy Settings'!$B$7,'Return Data'!U20,0))/'Strategy Settings'!$B$7</x:f>
        <x:v>-0.03126330148951541</x:v>
      </x:c>
      <x:c r="C6" s="26" t="n">
        <x:f>1-(IF(AND(RANK.EQ('Momentum Ranks'!B6,'Momentum Ranks'!$B6:$U6,0)&lt;='Strategy Settings'!$B$7,RANK.EQ('Momentum Ranks'!B5,'Momentum Ranks'!$B5:$U5,0)&lt;='Strategy Settings'!$B$7),1,0)+IF(AND(RANK.EQ('Momentum Ranks'!C6,'Momentum Ranks'!$B6:$U6,0)&lt;='Strategy Settings'!$B$7,RANK.EQ('Momentum Ranks'!C5,'Momentum Ranks'!$B5:$U5,0)&lt;='Strategy Settings'!$B$7),1,0)+IF(AND(RANK.EQ('Momentum Ranks'!D6,'Momentum Ranks'!$B6:$U6,0)&lt;='Strategy Settings'!$B$7,RANK.EQ('Momentum Ranks'!D5,'Momentum Ranks'!$B5:$U5,0)&lt;='Strategy Settings'!$B$7),1,0)+IF(AND(RANK.EQ('Momentum Ranks'!E6,'Momentum Ranks'!$B6:$U6,0)&lt;='Strategy Settings'!$B$7,RANK.EQ('Momentum Ranks'!E5,'Momentum Ranks'!$B5:$U5,0)&lt;='Strategy Settings'!$B$7),1,0)+IF(AND(RANK.EQ('Momentum Ranks'!F6,'Momentum Ranks'!$B6:$U6,0)&lt;='Strategy Settings'!$B$7,RANK.EQ('Momentum Ranks'!F5,'Momentum Ranks'!$B5:$U5,0)&lt;='Strategy Settings'!$B$7),1,0)+IF(AND(RANK.EQ('Momentum Ranks'!G6,'Momentum Ranks'!$B6:$U6,0)&lt;='Strategy Settings'!$B$7,RANK.EQ('Momentum Ranks'!G5,'Momentum Ranks'!$B5:$U5,0)&lt;='Strategy Settings'!$B$7),1,0)+IF(AND(RANK.EQ('Momentum Ranks'!H6,'Momentum Ranks'!$B6:$U6,0)&lt;='Strategy Settings'!$B$7,RANK.EQ('Momentum Ranks'!H5,'Momentum Ranks'!$B5:$U5,0)&lt;='Strategy Settings'!$B$7),1,0)+IF(AND(RANK.EQ('Momentum Ranks'!I6,'Momentum Ranks'!$B6:$U6,0)&lt;='Strategy Settings'!$B$7,RANK.EQ('Momentum Ranks'!I5,'Momentum Ranks'!$B5:$U5,0)&lt;='Strategy Settings'!$B$7),1,0)+IF(AND(RANK.EQ('Momentum Ranks'!J6,'Momentum Ranks'!$B6:$U6,0)&lt;='Strategy Settings'!$B$7,RANK.EQ('Momentum Ranks'!J5,'Momentum Ranks'!$B5:$U5,0)&lt;='Strategy Settings'!$B$7),1,0)+IF(AND(RANK.EQ('Momentum Ranks'!K6,'Momentum Ranks'!$B6:$U6,0)&lt;='Strategy Settings'!$B$7,RANK.EQ('Momentum Ranks'!K5,'Momentum Ranks'!$B5:$U5,0)&lt;='Strategy Settings'!$B$7),1,0)+IF(AND(RANK.EQ('Momentum Ranks'!L6,'Momentum Ranks'!$B6:$U6,0)&lt;='Strategy Settings'!$B$7,RANK.EQ('Momentum Ranks'!L5,'Momentum Ranks'!$B5:$U5,0)&lt;='Strategy Settings'!$B$7),1,0)+IF(AND(RANK.EQ('Momentum Ranks'!M6,'Momentum Ranks'!$B6:$U6,0)&lt;='Strategy Settings'!$B$7,RANK.EQ('Momentum Ranks'!M5,'Momentum Ranks'!$B5:$U5,0)&lt;='Strategy Settings'!$B$7),1,0)+IF(AND(RANK.EQ('Momentum Ranks'!N6,'Momentum Ranks'!$B6:$U6,0)&lt;='Strategy Settings'!$B$7,RANK.EQ('Momentum Ranks'!N5,'Momentum Ranks'!$B5:$U5,0)&lt;='Strategy Settings'!$B$7),1,0)+IF(AND(RANK.EQ('Momentum Ranks'!O6,'Momentum Ranks'!$B6:$U6,0)&lt;='Strategy Settings'!$B$7,RANK.EQ('Momentum Ranks'!O5,'Momentum Ranks'!$B5:$U5,0)&lt;='Strategy Settings'!$B$7),1,0)+IF(AND(RANK.EQ('Momentum Ranks'!P6,'Momentum Ranks'!$B6:$U6,0)&lt;='Strategy Settings'!$B$7,RANK.EQ('Momentum Ranks'!P5,'Momentum Ranks'!$B5:$U5,0)&lt;='Strategy Settings'!$B$7),1,0)+IF(AND(RANK.EQ('Momentum Ranks'!Q6,'Momentum Ranks'!$B6:$U6,0)&lt;='Strategy Settings'!$B$7,RANK.EQ('Momentum Ranks'!Q5,'Momentum Ranks'!$B5:$U5,0)&lt;='Strategy Settings'!$B$7),1,0)+IF(AND(RANK.EQ('Momentum Ranks'!R6,'Momentum Ranks'!$B6:$U6,0)&lt;='Strategy Settings'!$B$7,RANK.EQ('Momentum Ranks'!R5,'Momentum Ranks'!$B5:$U5,0)&lt;='Strategy Settings'!$B$7),1,0)+IF(AND(RANK.EQ('Momentum Ranks'!S6,'Momentum Ranks'!$B6:$U6,0)&lt;='Strategy Settings'!$B$7,RANK.EQ('Momentum Ranks'!S5,'Momentum Ranks'!$B5:$U5,0)&lt;='Strategy Settings'!$B$7),1,0)+IF(AND(RANK.EQ('Momentum Ranks'!T6,'Momentum Ranks'!$B6:$U6,0)&lt;='Strategy Settings'!$B$7,RANK.EQ('Momentum Ranks'!T5,'Momentum Ranks'!$B5:$U5,0)&lt;='Strategy Settings'!$B$7),1,0)+IF(AND(RANK.EQ('Momentum Ranks'!U6,'Momentum Ranks'!$B6:$U6,0)&lt;='Strategy Settings'!$B$7,RANK.EQ('Momentum Ranks'!U5,'Momentum Ranks'!$B5:$U5,0)&lt;='Strategy Settings'!$B$7),1,0))/'Strategy Settings'!$B$7</x:f>
        <x:v>0.25</x:v>
      </x:c>
      <x:c r="D6" s="26" t="n">
        <x:f>C6*'Strategy Settings'!$B$9</x:f>
        <x:v>0.00025</x:v>
      </x:c>
      <x:c r="E6" s="26" t="n">
        <x:f>B6-D6</x:f>
        <x:v>-0.03151330148951541</x:v>
      </x:c>
      <x:c r="F6" s="26" t="n">
        <x:f>'Return Data'!V16</x:f>
        <x:v>-0.05376975296874179</x:v>
      </x:c>
      <x:c r="G6" s="26" t="n">
        <x:f>E6-F6</x:f>
        <x:v>0.022256451479226384</x:v>
      </x:c>
      <x:c r="H6" s="28" t="n">
        <x:f>H5*(1+E6)</x:f>
        <x:v>1.0237139198193537</x:v>
      </x:c>
      <x:c r="I6" s="28" t="n">
        <x:f>I5*(1+F6)</x:f>
        <x:v>1.0665820736002583</x:v>
      </x:c>
      <x:c r="J6" s="26" t="n">
        <x:f>H6/MAX($H$4:H6)-1</x:f>
        <x:v>-0.031513301489515366</x:v>
      </x:c>
      <x:c r="K6" s="26" t="n">
        <x:f>I6/MAX($I$4:I6)-1</x:f>
        <x:v>-0.05376975296874176</x:v>
      </x:c>
    </x:row>
    <x:row r="7">
      <x:c r="A7" s="20" t="n">
        <x:f>'Return Data'!A21</x:f>
        <x:v>44226</x:v>
      </x:c>
      <x:c r="B7" s="26" t="n">
        <x:f>(IF(RANK.EQ('Momentum Ranks'!B7,'Momentum Ranks'!$B7:$U7,0)&lt;='Strategy Settings'!$B$7,'Return Data'!B21,0)+IF(RANK.EQ('Momentum Ranks'!C7,'Momentum Ranks'!$B7:$U7,0)&lt;='Strategy Settings'!$B$7,'Return Data'!C21,0)+IF(RANK.EQ('Momentum Ranks'!D7,'Momentum Ranks'!$B7:$U7,0)&lt;='Strategy Settings'!$B$7,'Return Data'!D21,0)+IF(RANK.EQ('Momentum Ranks'!E7,'Momentum Ranks'!$B7:$U7,0)&lt;='Strategy Settings'!$B$7,'Return Data'!E21,0)+IF(RANK.EQ('Momentum Ranks'!F7,'Momentum Ranks'!$B7:$U7,0)&lt;='Strategy Settings'!$B$7,'Return Data'!F21,0)+IF(RANK.EQ('Momentum Ranks'!G7,'Momentum Ranks'!$B7:$U7,0)&lt;='Strategy Settings'!$B$7,'Return Data'!G21,0)+IF(RANK.EQ('Momentum Ranks'!H7,'Momentum Ranks'!$B7:$U7,0)&lt;='Strategy Settings'!$B$7,'Return Data'!H21,0)+IF(RANK.EQ('Momentum Ranks'!I7,'Momentum Ranks'!$B7:$U7,0)&lt;='Strategy Settings'!$B$7,'Return Data'!I21,0)+IF(RANK.EQ('Momentum Ranks'!J7,'Momentum Ranks'!$B7:$U7,0)&lt;='Strategy Settings'!$B$7,'Return Data'!J21,0)+IF(RANK.EQ('Momentum Ranks'!K7,'Momentum Ranks'!$B7:$U7,0)&lt;='Strategy Settings'!$B$7,'Return Data'!K21,0)+IF(RANK.EQ('Momentum Ranks'!L7,'Momentum Ranks'!$B7:$U7,0)&lt;='Strategy Settings'!$B$7,'Return Data'!L21,0)+IF(RANK.EQ('Momentum Ranks'!M7,'Momentum Ranks'!$B7:$U7,0)&lt;='Strategy Settings'!$B$7,'Return Data'!M21,0)+IF(RANK.EQ('Momentum Ranks'!N7,'Momentum Ranks'!$B7:$U7,0)&lt;='Strategy Settings'!$B$7,'Return Data'!N21,0)+IF(RANK.EQ('Momentum Ranks'!O7,'Momentum Ranks'!$B7:$U7,0)&lt;='Strategy Settings'!$B$7,'Return Data'!O21,0)+IF(RANK.EQ('Momentum Ranks'!P7,'Momentum Ranks'!$B7:$U7,0)&lt;='Strategy Settings'!$B$7,'Return Data'!P21,0)+IF(RANK.EQ('Momentum Ranks'!Q7,'Momentum Ranks'!$B7:$U7,0)&lt;='Strategy Settings'!$B$7,'Return Data'!Q21,0)+IF(RANK.EQ('Momentum Ranks'!R7,'Momentum Ranks'!$B7:$U7,0)&lt;='Strategy Settings'!$B$7,'Return Data'!R21,0)+IF(RANK.EQ('Momentum Ranks'!S7,'Momentum Ranks'!$B7:$U7,0)&lt;='Strategy Settings'!$B$7,'Return Data'!S21,0)+IF(RANK.EQ('Momentum Ranks'!T7,'Momentum Ranks'!$B7:$U7,0)&lt;='Strategy Settings'!$B$7,'Return Data'!T21,0)+IF(RANK.EQ('Momentum Ranks'!U7,'Momentum Ranks'!$B7:$U7,0)&lt;='Strategy Settings'!$B$7,'Return Data'!U21,0))/'Strategy Settings'!$B$7</x:f>
        <x:v>-0.02916046206749815</x:v>
      </x:c>
      <x:c r="C7" s="26" t="n">
        <x:f>1-(IF(AND(RANK.EQ('Momentum Ranks'!B7,'Momentum Ranks'!$B7:$U7,0)&lt;='Strategy Settings'!$B$7,RANK.EQ('Momentum Ranks'!B6,'Momentum Ranks'!$B6:$U6,0)&lt;='Strategy Settings'!$B$7),1,0)+IF(AND(RANK.EQ('Momentum Ranks'!C7,'Momentum Ranks'!$B7:$U7,0)&lt;='Strategy Settings'!$B$7,RANK.EQ('Momentum Ranks'!C6,'Momentum Ranks'!$B6:$U6,0)&lt;='Strategy Settings'!$B$7),1,0)+IF(AND(RANK.EQ('Momentum Ranks'!D7,'Momentum Ranks'!$B7:$U7,0)&lt;='Strategy Settings'!$B$7,RANK.EQ('Momentum Ranks'!D6,'Momentum Ranks'!$B6:$U6,0)&lt;='Strategy Settings'!$B$7),1,0)+IF(AND(RANK.EQ('Momentum Ranks'!E7,'Momentum Ranks'!$B7:$U7,0)&lt;='Strategy Settings'!$B$7,RANK.EQ('Momentum Ranks'!E6,'Momentum Ranks'!$B6:$U6,0)&lt;='Strategy Settings'!$B$7),1,0)+IF(AND(RANK.EQ('Momentum Ranks'!F7,'Momentum Ranks'!$B7:$U7,0)&lt;='Strategy Settings'!$B$7,RANK.EQ('Momentum Ranks'!F6,'Momentum Ranks'!$B6:$U6,0)&lt;='Strategy Settings'!$B$7),1,0)+IF(AND(RANK.EQ('Momentum Ranks'!G7,'Momentum Ranks'!$B7:$U7,0)&lt;='Strategy Settings'!$B$7,RANK.EQ('Momentum Ranks'!G6,'Momentum Ranks'!$B6:$U6,0)&lt;='Strategy Settings'!$B$7),1,0)+IF(AND(RANK.EQ('Momentum Ranks'!H7,'Momentum Ranks'!$B7:$U7,0)&lt;='Strategy Settings'!$B$7,RANK.EQ('Momentum Ranks'!H6,'Momentum Ranks'!$B6:$U6,0)&lt;='Strategy Settings'!$B$7),1,0)+IF(AND(RANK.EQ('Momentum Ranks'!I7,'Momentum Ranks'!$B7:$U7,0)&lt;='Strategy Settings'!$B$7,RANK.EQ('Momentum Ranks'!I6,'Momentum Ranks'!$B6:$U6,0)&lt;='Strategy Settings'!$B$7),1,0)+IF(AND(RANK.EQ('Momentum Ranks'!J7,'Momentum Ranks'!$B7:$U7,0)&lt;='Strategy Settings'!$B$7,RANK.EQ('Momentum Ranks'!J6,'Momentum Ranks'!$B6:$U6,0)&lt;='Strategy Settings'!$B$7),1,0)+IF(AND(RANK.EQ('Momentum Ranks'!K7,'Momentum Ranks'!$B7:$U7,0)&lt;='Strategy Settings'!$B$7,RANK.EQ('Momentum Ranks'!K6,'Momentum Ranks'!$B6:$U6,0)&lt;='Strategy Settings'!$B$7),1,0)+IF(AND(RANK.EQ('Momentum Ranks'!L7,'Momentum Ranks'!$B7:$U7,0)&lt;='Strategy Settings'!$B$7,RANK.EQ('Momentum Ranks'!L6,'Momentum Ranks'!$B6:$U6,0)&lt;='Strategy Settings'!$B$7),1,0)+IF(AND(RANK.EQ('Momentum Ranks'!M7,'Momentum Ranks'!$B7:$U7,0)&lt;='Strategy Settings'!$B$7,RANK.EQ('Momentum Ranks'!M6,'Momentum Ranks'!$B6:$U6,0)&lt;='Strategy Settings'!$B$7),1,0)+IF(AND(RANK.EQ('Momentum Ranks'!N7,'Momentum Ranks'!$B7:$U7,0)&lt;='Strategy Settings'!$B$7,RANK.EQ('Momentum Ranks'!N6,'Momentum Ranks'!$B6:$U6,0)&lt;='Strategy Settings'!$B$7),1,0)+IF(AND(RANK.EQ('Momentum Ranks'!O7,'Momentum Ranks'!$B7:$U7,0)&lt;='Strategy Settings'!$B$7,RANK.EQ('Momentum Ranks'!O6,'Momentum Ranks'!$B6:$U6,0)&lt;='Strategy Settings'!$B$7),1,0)+IF(AND(RANK.EQ('Momentum Ranks'!P7,'Momentum Ranks'!$B7:$U7,0)&lt;='Strategy Settings'!$B$7,RANK.EQ('Momentum Ranks'!P6,'Momentum Ranks'!$B6:$U6,0)&lt;='Strategy Settings'!$B$7),1,0)+IF(AND(RANK.EQ('Momentum Ranks'!Q7,'Momentum Ranks'!$B7:$U7,0)&lt;='Strategy Settings'!$B$7,RANK.EQ('Momentum Ranks'!Q6,'Momentum Ranks'!$B6:$U6,0)&lt;='Strategy Settings'!$B$7),1,0)+IF(AND(RANK.EQ('Momentum Ranks'!R7,'Momentum Ranks'!$B7:$U7,0)&lt;='Strategy Settings'!$B$7,RANK.EQ('Momentum Ranks'!R6,'Momentum Ranks'!$B6:$U6,0)&lt;='Strategy Settings'!$B$7),1,0)+IF(AND(RANK.EQ('Momentum Ranks'!S7,'Momentum Ranks'!$B7:$U7,0)&lt;='Strategy Settings'!$B$7,RANK.EQ('Momentum Ranks'!S6,'Momentum Ranks'!$B6:$U6,0)&lt;='Strategy Settings'!$B$7),1,0)+IF(AND(RANK.EQ('Momentum Ranks'!T7,'Momentum Ranks'!$B7:$U7,0)&lt;='Strategy Settings'!$B$7,RANK.EQ('Momentum Ranks'!T6,'Momentum Ranks'!$B6:$U6,0)&lt;='Strategy Settings'!$B$7),1,0)+IF(AND(RANK.EQ('Momentum Ranks'!U7,'Momentum Ranks'!$B7:$U7,0)&lt;='Strategy Settings'!$B$7,RANK.EQ('Momentum Ranks'!U6,'Momentum Ranks'!$B6:$U6,0)&lt;='Strategy Settings'!$B$7),1,0))/'Strategy Settings'!$B$7</x:f>
        <x:v>0.25</x:v>
      </x:c>
      <x:c r="D7" s="26" t="n">
        <x:f>C7*'Strategy Settings'!$B$9</x:f>
        <x:v>0.00025</x:v>
      </x:c>
      <x:c r="E7" s="26" t="n">
        <x:f>B7-D7</x:f>
        <x:v>-0.02941046206749815</x:v>
      </x:c>
      <x:c r="F7" s="26" t="n">
        <x:f>'Return Data'!V17</x:f>
        <x:v>0.03507380939132168</x:v>
      </x:c>
      <x:c r="G7" s="26" t="n">
        <x:f>E7-F7</x:f>
        <x:v>-0.06448427145881983</x:v>
      </x:c>
      <x:c r="H7" s="28" t="n">
        <x:f>H6*(1+E7)</x:f>
        <x:v>0.9936060204125367</x:v>
      </x:c>
      <x:c r="I7" s="28" t="n">
        <x:f>I6*(1+F7)</x:f>
        <x:v>1.1039911699499143</x:v>
      </x:c>
      <x:c r="J7" s="26" t="n">
        <x:f>H7/MAX($H$4:H7)-1</x:f>
        <x:v>-0.05999694279893453</x:v>
      </x:c>
      <x:c r="K7" s="26" t="n">
        <x:f>I7/MAX($I$4:I7)-1</x:f>
        <x:v>-0.020581853644064285</x:v>
      </x:c>
    </x:row>
    <x:row r="8">
      <x:c r="A8" s="20" t="n">
        <x:f>'Return Data'!A22</x:f>
        <x:v>44255</x:v>
      </x:c>
      <x:c r="B8" s="26" t="n">
        <x:f>(IF(RANK.EQ('Momentum Ranks'!B8,'Momentum Ranks'!$B8:$U8,0)&lt;='Strategy Settings'!$B$7,'Return Data'!B22,0)+IF(RANK.EQ('Momentum Ranks'!C8,'Momentum Ranks'!$B8:$U8,0)&lt;='Strategy Settings'!$B$7,'Return Data'!C22,0)+IF(RANK.EQ('Momentum Ranks'!D8,'Momentum Ranks'!$B8:$U8,0)&lt;='Strategy Settings'!$B$7,'Return Data'!D22,0)+IF(RANK.EQ('Momentum Ranks'!E8,'Momentum Ranks'!$B8:$U8,0)&lt;='Strategy Settings'!$B$7,'Return Data'!E22,0)+IF(RANK.EQ('Momentum Ranks'!F8,'Momentum Ranks'!$B8:$U8,0)&lt;='Strategy Settings'!$B$7,'Return Data'!F22,0)+IF(RANK.EQ('Momentum Ranks'!G8,'Momentum Ranks'!$B8:$U8,0)&lt;='Strategy Settings'!$B$7,'Return Data'!G22,0)+IF(RANK.EQ('Momentum Ranks'!H8,'Momentum Ranks'!$B8:$U8,0)&lt;='Strategy Settings'!$B$7,'Return Data'!H22,0)+IF(RANK.EQ('Momentum Ranks'!I8,'Momentum Ranks'!$B8:$U8,0)&lt;='Strategy Settings'!$B$7,'Return Data'!I22,0)+IF(RANK.EQ('Momentum Ranks'!J8,'Momentum Ranks'!$B8:$U8,0)&lt;='Strategy Settings'!$B$7,'Return Data'!J22,0)+IF(RANK.EQ('Momentum Ranks'!K8,'Momentum Ranks'!$B8:$U8,0)&lt;='Strategy Settings'!$B$7,'Return Data'!K22,0)+IF(RANK.EQ('Momentum Ranks'!L8,'Momentum Ranks'!$B8:$U8,0)&lt;='Strategy Settings'!$B$7,'Return Data'!L22,0)+IF(RANK.EQ('Momentum Ranks'!M8,'Momentum Ranks'!$B8:$U8,0)&lt;='Strategy Settings'!$B$7,'Return Data'!M22,0)+IF(RANK.EQ('Momentum Ranks'!N8,'Momentum Ranks'!$B8:$U8,0)&lt;='Strategy Settings'!$B$7,'Return Data'!N22,0)+IF(RANK.EQ('Momentum Ranks'!O8,'Momentum Ranks'!$B8:$U8,0)&lt;='Strategy Settings'!$B$7,'Return Data'!O22,0)+IF(RANK.EQ('Momentum Ranks'!P8,'Momentum Ranks'!$B8:$U8,0)&lt;='Strategy Settings'!$B$7,'Return Data'!P22,0)+IF(RANK.EQ('Momentum Ranks'!Q8,'Momentum Ranks'!$B8:$U8,0)&lt;='Strategy Settings'!$B$7,'Return Data'!Q22,0)+IF(RANK.EQ('Momentum Ranks'!R8,'Momentum Ranks'!$B8:$U8,0)&lt;='Strategy Settings'!$B$7,'Return Data'!R22,0)+IF(RANK.EQ('Momentum Ranks'!S8,'Momentum Ranks'!$B8:$U8,0)&lt;='Strategy Settings'!$B$7,'Return Data'!S22,0)+IF(RANK.EQ('Momentum Ranks'!T8,'Momentum Ranks'!$B8:$U8,0)&lt;='Strategy Settings'!$B$7,'Return Data'!T22,0)+IF(RANK.EQ('Momentum Ranks'!U8,'Momentum Ranks'!$B8:$U8,0)&lt;='Strategy Settings'!$B$7,'Return Data'!U22,0))/'Strategy Settings'!$B$7</x:f>
        <x:v>-0.05174001200088306</x:v>
      </x:c>
      <x:c r="C8" s="26" t="n">
        <x:f>1-(IF(AND(RANK.EQ('Momentum Ranks'!B8,'Momentum Ranks'!$B8:$U8,0)&lt;='Strategy Settings'!$B$7,RANK.EQ('Momentum Ranks'!B7,'Momentum Ranks'!$B7:$U7,0)&lt;='Strategy Settings'!$B$7),1,0)+IF(AND(RANK.EQ('Momentum Ranks'!C8,'Momentum Ranks'!$B8:$U8,0)&lt;='Strategy Settings'!$B$7,RANK.EQ('Momentum Ranks'!C7,'Momentum Ranks'!$B7:$U7,0)&lt;='Strategy Settings'!$B$7),1,0)+IF(AND(RANK.EQ('Momentum Ranks'!D8,'Momentum Ranks'!$B8:$U8,0)&lt;='Strategy Settings'!$B$7,RANK.EQ('Momentum Ranks'!D7,'Momentum Ranks'!$B7:$U7,0)&lt;='Strategy Settings'!$B$7),1,0)+IF(AND(RANK.EQ('Momentum Ranks'!E8,'Momentum Ranks'!$B8:$U8,0)&lt;='Strategy Settings'!$B$7,RANK.EQ('Momentum Ranks'!E7,'Momentum Ranks'!$B7:$U7,0)&lt;='Strategy Settings'!$B$7),1,0)+IF(AND(RANK.EQ('Momentum Ranks'!F8,'Momentum Ranks'!$B8:$U8,0)&lt;='Strategy Settings'!$B$7,RANK.EQ('Momentum Ranks'!F7,'Momentum Ranks'!$B7:$U7,0)&lt;='Strategy Settings'!$B$7),1,0)+IF(AND(RANK.EQ('Momentum Ranks'!G8,'Momentum Ranks'!$B8:$U8,0)&lt;='Strategy Settings'!$B$7,RANK.EQ('Momentum Ranks'!G7,'Momentum Ranks'!$B7:$U7,0)&lt;='Strategy Settings'!$B$7),1,0)+IF(AND(RANK.EQ('Momentum Ranks'!H8,'Momentum Ranks'!$B8:$U8,0)&lt;='Strategy Settings'!$B$7,RANK.EQ('Momentum Ranks'!H7,'Momentum Ranks'!$B7:$U7,0)&lt;='Strategy Settings'!$B$7),1,0)+IF(AND(RANK.EQ('Momentum Ranks'!I8,'Momentum Ranks'!$B8:$U8,0)&lt;='Strategy Settings'!$B$7,RANK.EQ('Momentum Ranks'!I7,'Momentum Ranks'!$B7:$U7,0)&lt;='Strategy Settings'!$B$7),1,0)+IF(AND(RANK.EQ('Momentum Ranks'!J8,'Momentum Ranks'!$B8:$U8,0)&lt;='Strategy Settings'!$B$7,RANK.EQ('Momentum Ranks'!J7,'Momentum Ranks'!$B7:$U7,0)&lt;='Strategy Settings'!$B$7),1,0)+IF(AND(RANK.EQ('Momentum Ranks'!K8,'Momentum Ranks'!$B8:$U8,0)&lt;='Strategy Settings'!$B$7,RANK.EQ('Momentum Ranks'!K7,'Momentum Ranks'!$B7:$U7,0)&lt;='Strategy Settings'!$B$7),1,0)+IF(AND(RANK.EQ('Momentum Ranks'!L8,'Momentum Ranks'!$B8:$U8,0)&lt;='Strategy Settings'!$B$7,RANK.EQ('Momentum Ranks'!L7,'Momentum Ranks'!$B7:$U7,0)&lt;='Strategy Settings'!$B$7),1,0)+IF(AND(RANK.EQ('Momentum Ranks'!M8,'Momentum Ranks'!$B8:$U8,0)&lt;='Strategy Settings'!$B$7,RANK.EQ('Momentum Ranks'!M7,'Momentum Ranks'!$B7:$U7,0)&lt;='Strategy Settings'!$B$7),1,0)+IF(AND(RANK.EQ('Momentum Ranks'!N8,'Momentum Ranks'!$B8:$U8,0)&lt;='Strategy Settings'!$B$7,RANK.EQ('Momentum Ranks'!N7,'Momentum Ranks'!$B7:$U7,0)&lt;='Strategy Settings'!$B$7),1,0)+IF(AND(RANK.EQ('Momentum Ranks'!O8,'Momentum Ranks'!$B8:$U8,0)&lt;='Strategy Settings'!$B$7,RANK.EQ('Momentum Ranks'!O7,'Momentum Ranks'!$B7:$U7,0)&lt;='Strategy Settings'!$B$7),1,0)+IF(AND(RANK.EQ('Momentum Ranks'!P8,'Momentum Ranks'!$B8:$U8,0)&lt;='Strategy Settings'!$B$7,RANK.EQ('Momentum Ranks'!P7,'Momentum Ranks'!$B7:$U7,0)&lt;='Strategy Settings'!$B$7),1,0)+IF(AND(RANK.EQ('Momentum Ranks'!Q8,'Momentum Ranks'!$B8:$U8,0)&lt;='Strategy Settings'!$B$7,RANK.EQ('Momentum Ranks'!Q7,'Momentum Ranks'!$B7:$U7,0)&lt;='Strategy Settings'!$B$7),1,0)+IF(AND(RANK.EQ('Momentum Ranks'!R8,'Momentum Ranks'!$B8:$U8,0)&lt;='Strategy Settings'!$B$7,RANK.EQ('Momentum Ranks'!R7,'Momentum Ranks'!$B7:$U7,0)&lt;='Strategy Settings'!$B$7),1,0)+IF(AND(RANK.EQ('Momentum Ranks'!S8,'Momentum Ranks'!$B8:$U8,0)&lt;='Strategy Settings'!$B$7,RANK.EQ('Momentum Ranks'!S7,'Momentum Ranks'!$B7:$U7,0)&lt;='Strategy Settings'!$B$7),1,0)+IF(AND(RANK.EQ('Momentum Ranks'!T8,'Momentum Ranks'!$B8:$U8,0)&lt;='Strategy Settings'!$B$7,RANK.EQ('Momentum Ranks'!T7,'Momentum Ranks'!$B7:$U7,0)&lt;='Strategy Settings'!$B$7),1,0)+IF(AND(RANK.EQ('Momentum Ranks'!U8,'Momentum Ranks'!$B8:$U8,0)&lt;='Strategy Settings'!$B$7,RANK.EQ('Momentum Ranks'!U7,'Momentum Ranks'!$B7:$U7,0)&lt;='Strategy Settings'!$B$7),1,0))/'Strategy Settings'!$B$7</x:f>
        <x:v>0.25</x:v>
      </x:c>
      <x:c r="D8" s="26" t="n">
        <x:f>C8*'Strategy Settings'!$B$9</x:f>
        <x:v>0.00025</x:v>
      </x:c>
      <x:c r="E8" s="26" t="n">
        <x:f>B8-D8</x:f>
        <x:v>-0.05199001200088306</x:v>
      </x:c>
      <x:c r="F8" s="26" t="n">
        <x:f>'Return Data'!V18</x:f>
        <x:v>-0.0068368486356091135</x:v>
      </x:c>
      <x:c r="G8" s="26" t="n">
        <x:f>E8-F8</x:f>
        <x:v>-0.045153163365273946</x:v>
      </x:c>
      <x:c r="H8" s="28" t="n">
        <x:f>H7*(1+E8)</x:f>
        <x:v>0.9419484314871392</x:v>
      </x:c>
      <x:c r="I8" s="28" t="n">
        <x:f>I7*(1+F8)</x:f>
        <x:v>1.0964433494259178</x:v>
      </x:c>
      <x:c r="J8" s="26" t="n">
        <x:f>H8/MAX($H$4:H8)-1</x:f>
        <x:v>-0.10886771302368459</x:v>
      </x:c>
      <x:c r="K8" s="26" t="n">
        <x:f>I8/MAX($I$4:I8)-1</x:f>
        <x:v>-0.027277987261668524</x:v>
      </x:c>
    </x:row>
    <x:row r="9">
      <x:c r="A9" s="20" t="n">
        <x:f>'Return Data'!A23</x:f>
        <x:v>44285</x:v>
      </x:c>
      <x:c r="B9" s="26" t="n">
        <x:f>(IF(RANK.EQ('Momentum Ranks'!B9,'Momentum Ranks'!$B9:$U9,0)&lt;='Strategy Settings'!$B$7,'Return Data'!B23,0)+IF(RANK.EQ('Momentum Ranks'!C9,'Momentum Ranks'!$B9:$U9,0)&lt;='Strategy Settings'!$B$7,'Return Data'!C23,0)+IF(RANK.EQ('Momentum Ranks'!D9,'Momentum Ranks'!$B9:$U9,0)&lt;='Strategy Settings'!$B$7,'Return Data'!D23,0)+IF(RANK.EQ('Momentum Ranks'!E9,'Momentum Ranks'!$B9:$U9,0)&lt;='Strategy Settings'!$B$7,'Return Data'!E23,0)+IF(RANK.EQ('Momentum Ranks'!F9,'Momentum Ranks'!$B9:$U9,0)&lt;='Strategy Settings'!$B$7,'Return Data'!F23,0)+IF(RANK.EQ('Momentum Ranks'!G9,'Momentum Ranks'!$B9:$U9,0)&lt;='Strategy Settings'!$B$7,'Return Data'!G23,0)+IF(RANK.EQ('Momentum Ranks'!H9,'Momentum Ranks'!$B9:$U9,0)&lt;='Strategy Settings'!$B$7,'Return Data'!H23,0)+IF(RANK.EQ('Momentum Ranks'!I9,'Momentum Ranks'!$B9:$U9,0)&lt;='Strategy Settings'!$B$7,'Return Data'!I23,0)+IF(RANK.EQ('Momentum Ranks'!J9,'Momentum Ranks'!$B9:$U9,0)&lt;='Strategy Settings'!$B$7,'Return Data'!J23,0)+IF(RANK.EQ('Momentum Ranks'!K9,'Momentum Ranks'!$B9:$U9,0)&lt;='Strategy Settings'!$B$7,'Return Data'!K23,0)+IF(RANK.EQ('Momentum Ranks'!L9,'Momentum Ranks'!$B9:$U9,0)&lt;='Strategy Settings'!$B$7,'Return Data'!L23,0)+IF(RANK.EQ('Momentum Ranks'!M9,'Momentum Ranks'!$B9:$U9,0)&lt;='Strategy Settings'!$B$7,'Return Data'!M23,0)+IF(RANK.EQ('Momentum Ranks'!N9,'Momentum Ranks'!$B9:$U9,0)&lt;='Strategy Settings'!$B$7,'Return Data'!N23,0)+IF(RANK.EQ('Momentum Ranks'!O9,'Momentum Ranks'!$B9:$U9,0)&lt;='Strategy Settings'!$B$7,'Return Data'!O23,0)+IF(RANK.EQ('Momentum Ranks'!P9,'Momentum Ranks'!$B9:$U9,0)&lt;='Strategy Settings'!$B$7,'Return Data'!P23,0)+IF(RANK.EQ('Momentum Ranks'!Q9,'Momentum Ranks'!$B9:$U9,0)&lt;='Strategy Settings'!$B$7,'Return Data'!Q23,0)+IF(RANK.EQ('Momentum Ranks'!R9,'Momentum Ranks'!$B9:$U9,0)&lt;='Strategy Settings'!$B$7,'Return Data'!R23,0)+IF(RANK.EQ('Momentum Ranks'!S9,'Momentum Ranks'!$B9:$U9,0)&lt;='Strategy Settings'!$B$7,'Return Data'!S23,0)+IF(RANK.EQ('Momentum Ranks'!T9,'Momentum Ranks'!$B9:$U9,0)&lt;='Strategy Settings'!$B$7,'Return Data'!T23,0)+IF(RANK.EQ('Momentum Ranks'!U9,'Momentum Ranks'!$B9:$U9,0)&lt;='Strategy Settings'!$B$7,'Return Data'!U23,0))/'Strategy Settings'!$B$7</x:f>
        <x:v>-0.007568579042392646</x:v>
      </x:c>
      <x:c r="C9" s="26" t="n">
        <x:f>1-(IF(AND(RANK.EQ('Momentum Ranks'!B9,'Momentum Ranks'!$B9:$U9,0)&lt;='Strategy Settings'!$B$7,RANK.EQ('Momentum Ranks'!B8,'Momentum Ranks'!$B8:$U8,0)&lt;='Strategy Settings'!$B$7),1,0)+IF(AND(RANK.EQ('Momentum Ranks'!C9,'Momentum Ranks'!$B9:$U9,0)&lt;='Strategy Settings'!$B$7,RANK.EQ('Momentum Ranks'!C8,'Momentum Ranks'!$B8:$U8,0)&lt;='Strategy Settings'!$B$7),1,0)+IF(AND(RANK.EQ('Momentum Ranks'!D9,'Momentum Ranks'!$B9:$U9,0)&lt;='Strategy Settings'!$B$7,RANK.EQ('Momentum Ranks'!D8,'Momentum Ranks'!$B8:$U8,0)&lt;='Strategy Settings'!$B$7),1,0)+IF(AND(RANK.EQ('Momentum Ranks'!E9,'Momentum Ranks'!$B9:$U9,0)&lt;='Strategy Settings'!$B$7,RANK.EQ('Momentum Ranks'!E8,'Momentum Ranks'!$B8:$U8,0)&lt;='Strategy Settings'!$B$7),1,0)+IF(AND(RANK.EQ('Momentum Ranks'!F9,'Momentum Ranks'!$B9:$U9,0)&lt;='Strategy Settings'!$B$7,RANK.EQ('Momentum Ranks'!F8,'Momentum Ranks'!$B8:$U8,0)&lt;='Strategy Settings'!$B$7),1,0)+IF(AND(RANK.EQ('Momentum Ranks'!G9,'Momentum Ranks'!$B9:$U9,0)&lt;='Strategy Settings'!$B$7,RANK.EQ('Momentum Ranks'!G8,'Momentum Ranks'!$B8:$U8,0)&lt;='Strategy Settings'!$B$7),1,0)+IF(AND(RANK.EQ('Momentum Ranks'!H9,'Momentum Ranks'!$B9:$U9,0)&lt;='Strategy Settings'!$B$7,RANK.EQ('Momentum Ranks'!H8,'Momentum Ranks'!$B8:$U8,0)&lt;='Strategy Settings'!$B$7),1,0)+IF(AND(RANK.EQ('Momentum Ranks'!I9,'Momentum Ranks'!$B9:$U9,0)&lt;='Strategy Settings'!$B$7,RANK.EQ('Momentum Ranks'!I8,'Momentum Ranks'!$B8:$U8,0)&lt;='Strategy Settings'!$B$7),1,0)+IF(AND(RANK.EQ('Momentum Ranks'!J9,'Momentum Ranks'!$B9:$U9,0)&lt;='Strategy Settings'!$B$7,RANK.EQ('Momentum Ranks'!J8,'Momentum Ranks'!$B8:$U8,0)&lt;='Strategy Settings'!$B$7),1,0)+IF(AND(RANK.EQ('Momentum Ranks'!K9,'Momentum Ranks'!$B9:$U9,0)&lt;='Strategy Settings'!$B$7,RANK.EQ('Momentum Ranks'!K8,'Momentum Ranks'!$B8:$U8,0)&lt;='Strategy Settings'!$B$7),1,0)+IF(AND(RANK.EQ('Momentum Ranks'!L9,'Momentum Ranks'!$B9:$U9,0)&lt;='Strategy Settings'!$B$7,RANK.EQ('Momentum Ranks'!L8,'Momentum Ranks'!$B8:$U8,0)&lt;='Strategy Settings'!$B$7),1,0)+IF(AND(RANK.EQ('Momentum Ranks'!M9,'Momentum Ranks'!$B9:$U9,0)&lt;='Strategy Settings'!$B$7,RANK.EQ('Momentum Ranks'!M8,'Momentum Ranks'!$B8:$U8,0)&lt;='Strategy Settings'!$B$7),1,0)+IF(AND(RANK.EQ('Momentum Ranks'!N9,'Momentum Ranks'!$B9:$U9,0)&lt;='Strategy Settings'!$B$7,RANK.EQ('Momentum Ranks'!N8,'Momentum Ranks'!$B8:$U8,0)&lt;='Strategy Settings'!$B$7),1,0)+IF(AND(RANK.EQ('Momentum Ranks'!O9,'Momentum Ranks'!$B9:$U9,0)&lt;='Strategy Settings'!$B$7,RANK.EQ('Momentum Ranks'!O8,'Momentum Ranks'!$B8:$U8,0)&lt;='Strategy Settings'!$B$7),1,0)+IF(AND(RANK.EQ('Momentum Ranks'!P9,'Momentum Ranks'!$B9:$U9,0)&lt;='Strategy Settings'!$B$7,RANK.EQ('Momentum Ranks'!P8,'Momentum Ranks'!$B8:$U8,0)&lt;='Strategy Settings'!$B$7),1,0)+IF(AND(RANK.EQ('Momentum Ranks'!Q9,'Momentum Ranks'!$B9:$U9,0)&lt;='Strategy Settings'!$B$7,RANK.EQ('Momentum Ranks'!Q8,'Momentum Ranks'!$B8:$U8,0)&lt;='Strategy Settings'!$B$7),1,0)+IF(AND(RANK.EQ('Momentum Ranks'!R9,'Momentum Ranks'!$B9:$U9,0)&lt;='Strategy Settings'!$B$7,RANK.EQ('Momentum Ranks'!R8,'Momentum Ranks'!$B8:$U8,0)&lt;='Strategy Settings'!$B$7),1,0)+IF(AND(RANK.EQ('Momentum Ranks'!S9,'Momentum Ranks'!$B9:$U9,0)&lt;='Strategy Settings'!$B$7,RANK.EQ('Momentum Ranks'!S8,'Momentum Ranks'!$B8:$U8,0)&lt;='Strategy Settings'!$B$7),1,0)+IF(AND(RANK.EQ('Momentum Ranks'!T9,'Momentum Ranks'!$B9:$U9,0)&lt;='Strategy Settings'!$B$7,RANK.EQ('Momentum Ranks'!T8,'Momentum Ranks'!$B8:$U8,0)&lt;='Strategy Settings'!$B$7),1,0)+IF(AND(RANK.EQ('Momentum Ranks'!U9,'Momentum Ranks'!$B9:$U9,0)&lt;='Strategy Settings'!$B$7,RANK.EQ('Momentum Ranks'!U8,'Momentum Ranks'!$B8:$U8,0)&lt;='Strategy Settings'!$B$7),1,0))/'Strategy Settings'!$B$7</x:f>
        <x:v>0.25</x:v>
      </x:c>
      <x:c r="D9" s="26" t="n">
        <x:f>C9*'Strategy Settings'!$B$9</x:f>
        <x:v>0.00025</x:v>
      </x:c>
      <x:c r="E9" s="26" t="n">
        <x:f>B9-D9</x:f>
        <x:v>-0.007818579042392646</x:v>
      </x:c>
      <x:c r="F9" s="26" t="n">
        <x:f>'Return Data'!V19</x:f>
        <x:v>0.0797842754201725</x:v>
      </x:c>
      <x:c r="G9" s="26" t="n">
        <x:f>E9-F9</x:f>
        <x:v>-0.08760285446256515</x:v>
      </x:c>
      <x:c r="H9" s="28" t="n">
        <x:f>H8*(1+E9)</x:f>
        <x:v>0.9345837332216992</x:v>
      </x:c>
      <x:c r="I9" s="28" t="n">
        <x:f>I8*(1+F9)</x:f>
        <x:v>1.1839222875991318</x:v>
      </x:c>
      <x:c r="J9" s="26" t="n">
        <x:f>H9/MAX($H$4:H9)-1</x:f>
        <x:v>-0.1158351012466372</x:v>
      </x:c>
      <x:c r="K9" s="26" t="n">
        <x:f>I9/MAX($I$4:I9)-1</x:f>
        <x:v>0</x:v>
      </x:c>
    </x:row>
    <x:row r="10">
      <x:c r="A10" s="20" t="n">
        <x:f>'Return Data'!A24</x:f>
        <x:v>44316</x:v>
      </x:c>
      <x:c r="B10" s="26" t="n">
        <x:f>(IF(RANK.EQ('Momentum Ranks'!B10,'Momentum Ranks'!$B10:$U10,0)&lt;='Strategy Settings'!$B$7,'Return Data'!B24,0)+IF(RANK.EQ('Momentum Ranks'!C10,'Momentum Ranks'!$B10:$U10,0)&lt;='Strategy Settings'!$B$7,'Return Data'!C24,0)+IF(RANK.EQ('Momentum Ranks'!D10,'Momentum Ranks'!$B10:$U10,0)&lt;='Strategy Settings'!$B$7,'Return Data'!D24,0)+IF(RANK.EQ('Momentum Ranks'!E10,'Momentum Ranks'!$B10:$U10,0)&lt;='Strategy Settings'!$B$7,'Return Data'!E24,0)+IF(RANK.EQ('Momentum Ranks'!F10,'Momentum Ranks'!$B10:$U10,0)&lt;='Strategy Settings'!$B$7,'Return Data'!F24,0)+IF(RANK.EQ('Momentum Ranks'!G10,'Momentum Ranks'!$B10:$U10,0)&lt;='Strategy Settings'!$B$7,'Return Data'!G24,0)+IF(RANK.EQ('Momentum Ranks'!H10,'Momentum Ranks'!$B10:$U10,0)&lt;='Strategy Settings'!$B$7,'Return Data'!H24,0)+IF(RANK.EQ('Momentum Ranks'!I10,'Momentum Ranks'!$B10:$U10,0)&lt;='Strategy Settings'!$B$7,'Return Data'!I24,0)+IF(RANK.EQ('Momentum Ranks'!J10,'Momentum Ranks'!$B10:$U10,0)&lt;='Strategy Settings'!$B$7,'Return Data'!J24,0)+IF(RANK.EQ('Momentum Ranks'!K10,'Momentum Ranks'!$B10:$U10,0)&lt;='Strategy Settings'!$B$7,'Return Data'!K24,0)+IF(RANK.EQ('Momentum Ranks'!L10,'Momentum Ranks'!$B10:$U10,0)&lt;='Strategy Settings'!$B$7,'Return Data'!L24,0)+IF(RANK.EQ('Momentum Ranks'!M10,'Momentum Ranks'!$B10:$U10,0)&lt;='Strategy Settings'!$B$7,'Return Data'!M24,0)+IF(RANK.EQ('Momentum Ranks'!N10,'Momentum Ranks'!$B10:$U10,0)&lt;='Strategy Settings'!$B$7,'Return Data'!N24,0)+IF(RANK.EQ('Momentum Ranks'!O10,'Momentum Ranks'!$B10:$U10,0)&lt;='Strategy Settings'!$B$7,'Return Data'!O24,0)+IF(RANK.EQ('Momentum Ranks'!P10,'Momentum Ranks'!$B10:$U10,0)&lt;='Strategy Settings'!$B$7,'Return Data'!P24,0)+IF(RANK.EQ('Momentum Ranks'!Q10,'Momentum Ranks'!$B10:$U10,0)&lt;='Strategy Settings'!$B$7,'Return Data'!Q24,0)+IF(RANK.EQ('Momentum Ranks'!R10,'Momentum Ranks'!$B10:$U10,0)&lt;='Strategy Settings'!$B$7,'Return Data'!R24,0)+IF(RANK.EQ('Momentum Ranks'!S10,'Momentum Ranks'!$B10:$U10,0)&lt;='Strategy Settings'!$B$7,'Return Data'!S24,0)+IF(RANK.EQ('Momentum Ranks'!T10,'Momentum Ranks'!$B10:$U10,0)&lt;='Strategy Settings'!$B$7,'Return Data'!T24,0)+IF(RANK.EQ('Momentum Ranks'!U10,'Momentum Ranks'!$B10:$U10,0)&lt;='Strategy Settings'!$B$7,'Return Data'!U24,0))/'Strategy Settings'!$B$7</x:f>
        <x:v>-0.00037418402519946367</x:v>
      </x:c>
      <x:c r="C10" s="26" t="n">
        <x:f>1-(IF(AND(RANK.EQ('Momentum Ranks'!B10,'Momentum Ranks'!$B10:$U10,0)&lt;='Strategy Settings'!$B$7,RANK.EQ('Momentum Ranks'!B9,'Momentum Ranks'!$B9:$U9,0)&lt;='Strategy Settings'!$B$7),1,0)+IF(AND(RANK.EQ('Momentum Ranks'!C10,'Momentum Ranks'!$B10:$U10,0)&lt;='Strategy Settings'!$B$7,RANK.EQ('Momentum Ranks'!C9,'Momentum Ranks'!$B9:$U9,0)&lt;='Strategy Settings'!$B$7),1,0)+IF(AND(RANK.EQ('Momentum Ranks'!D10,'Momentum Ranks'!$B10:$U10,0)&lt;='Strategy Settings'!$B$7,RANK.EQ('Momentum Ranks'!D9,'Momentum Ranks'!$B9:$U9,0)&lt;='Strategy Settings'!$B$7),1,0)+IF(AND(RANK.EQ('Momentum Ranks'!E10,'Momentum Ranks'!$B10:$U10,0)&lt;='Strategy Settings'!$B$7,RANK.EQ('Momentum Ranks'!E9,'Momentum Ranks'!$B9:$U9,0)&lt;='Strategy Settings'!$B$7),1,0)+IF(AND(RANK.EQ('Momentum Ranks'!F10,'Momentum Ranks'!$B10:$U10,0)&lt;='Strategy Settings'!$B$7,RANK.EQ('Momentum Ranks'!F9,'Momentum Ranks'!$B9:$U9,0)&lt;='Strategy Settings'!$B$7),1,0)+IF(AND(RANK.EQ('Momentum Ranks'!G10,'Momentum Ranks'!$B10:$U10,0)&lt;='Strategy Settings'!$B$7,RANK.EQ('Momentum Ranks'!G9,'Momentum Ranks'!$B9:$U9,0)&lt;='Strategy Settings'!$B$7),1,0)+IF(AND(RANK.EQ('Momentum Ranks'!H10,'Momentum Ranks'!$B10:$U10,0)&lt;='Strategy Settings'!$B$7,RANK.EQ('Momentum Ranks'!H9,'Momentum Ranks'!$B9:$U9,0)&lt;='Strategy Settings'!$B$7),1,0)+IF(AND(RANK.EQ('Momentum Ranks'!I10,'Momentum Ranks'!$B10:$U10,0)&lt;='Strategy Settings'!$B$7,RANK.EQ('Momentum Ranks'!I9,'Momentum Ranks'!$B9:$U9,0)&lt;='Strategy Settings'!$B$7),1,0)+IF(AND(RANK.EQ('Momentum Ranks'!J10,'Momentum Ranks'!$B10:$U10,0)&lt;='Strategy Settings'!$B$7,RANK.EQ('Momentum Ranks'!J9,'Momentum Ranks'!$B9:$U9,0)&lt;='Strategy Settings'!$B$7),1,0)+IF(AND(RANK.EQ('Momentum Ranks'!K10,'Momentum Ranks'!$B10:$U10,0)&lt;='Strategy Settings'!$B$7,RANK.EQ('Momentum Ranks'!K9,'Momentum Ranks'!$B9:$U9,0)&lt;='Strategy Settings'!$B$7),1,0)+IF(AND(RANK.EQ('Momentum Ranks'!L10,'Momentum Ranks'!$B10:$U10,0)&lt;='Strategy Settings'!$B$7,RANK.EQ('Momentum Ranks'!L9,'Momentum Ranks'!$B9:$U9,0)&lt;='Strategy Settings'!$B$7),1,0)+IF(AND(RANK.EQ('Momentum Ranks'!M10,'Momentum Ranks'!$B10:$U10,0)&lt;='Strategy Settings'!$B$7,RANK.EQ('Momentum Ranks'!M9,'Momentum Ranks'!$B9:$U9,0)&lt;='Strategy Settings'!$B$7),1,0)+IF(AND(RANK.EQ('Momentum Ranks'!N10,'Momentum Ranks'!$B10:$U10,0)&lt;='Strategy Settings'!$B$7,RANK.EQ('Momentum Ranks'!N9,'Momentum Ranks'!$B9:$U9,0)&lt;='Strategy Settings'!$B$7),1,0)+IF(AND(RANK.EQ('Momentum Ranks'!O10,'Momentum Ranks'!$B10:$U10,0)&lt;='Strategy Settings'!$B$7,RANK.EQ('Momentum Ranks'!O9,'Momentum Ranks'!$B9:$U9,0)&lt;='Strategy Settings'!$B$7),1,0)+IF(AND(RANK.EQ('Momentum Ranks'!P10,'Momentum Ranks'!$B10:$U10,0)&lt;='Strategy Settings'!$B$7,RANK.EQ('Momentum Ranks'!P9,'Momentum Ranks'!$B9:$U9,0)&lt;='Strategy Settings'!$B$7),1,0)+IF(AND(RANK.EQ('Momentum Ranks'!Q10,'Momentum Ranks'!$B10:$U10,0)&lt;='Strategy Settings'!$B$7,RANK.EQ('Momentum Ranks'!Q9,'Momentum Ranks'!$B9:$U9,0)&lt;='Strategy Settings'!$B$7),1,0)+IF(AND(RANK.EQ('Momentum Ranks'!R10,'Momentum Ranks'!$B10:$U10,0)&lt;='Strategy Settings'!$B$7,RANK.EQ('Momentum Ranks'!R9,'Momentum Ranks'!$B9:$U9,0)&lt;='Strategy Settings'!$B$7),1,0)+IF(AND(RANK.EQ('Momentum Ranks'!S10,'Momentum Ranks'!$B10:$U10,0)&lt;='Strategy Settings'!$B$7,RANK.EQ('Momentum Ranks'!S9,'Momentum Ranks'!$B9:$U9,0)&lt;='Strategy Settings'!$B$7),1,0)+IF(AND(RANK.EQ('Momentum Ranks'!T10,'Momentum Ranks'!$B10:$U10,0)&lt;='Strategy Settings'!$B$7,RANK.EQ('Momentum Ranks'!T9,'Momentum Ranks'!$B9:$U9,0)&lt;='Strategy Settings'!$B$7),1,0)+IF(AND(RANK.EQ('Momentum Ranks'!U10,'Momentum Ranks'!$B10:$U10,0)&lt;='Strategy Settings'!$B$7,RANK.EQ('Momentum Ranks'!U9,'Momentum Ranks'!$B9:$U9,0)&lt;='Strategy Settings'!$B$7),1,0))/'Strategy Settings'!$B$7</x:f>
        <x:v>0.25</x:v>
      </x:c>
      <x:c r="D10" s="26" t="n">
        <x:f>C10*'Strategy Settings'!$B$9</x:f>
        <x:v>0.00025</x:v>
      </x:c>
      <x:c r="E10" s="26" t="n">
        <x:f>B10-D10</x:f>
        <x:v>-0.0006241840251994637</x:v>
      </x:c>
      <x:c r="F10" s="26" t="n">
        <x:f>'Return Data'!V20</x:f>
        <x:v>-0.08104801913981109</x:v>
      </x:c>
      <x:c r="G10" s="26" t="n">
        <x:f>E10-F10</x:f>
        <x:v>0.08042383511461162</x:v>
      </x:c>
      <x:c r="H10" s="28" t="n">
        <x:f>H9*(1+E10)</x:f>
        <x:v>0.9340003809852109</x:v>
      </x:c>
      <x:c r="I10" s="28" t="n">
        <x:f>I9*(1+F10)</x:f>
        <x:v>1.0879677313737484</x:v>
      </x:c>
      <x:c r="J10" s="26" t="n">
        <x:f>H10/MAX($H$4:H10)-1</x:f>
        <x:v>-0.11638698285208116</x:v>
      </x:c>
      <x:c r="K10" s="26" t="n">
        <x:f>I10/MAX($I$4:I10)-1</x:f>
        <x:v>-0.08104801913981108</x:v>
      </x:c>
    </x:row>
    <x:row r="11">
      <x:c r="A11" s="20" t="n">
        <x:f>'Return Data'!A25</x:f>
        <x:v>44346</x:v>
      </x:c>
      <x:c r="B11" s="26" t="n">
        <x:f>(IF(RANK.EQ('Momentum Ranks'!B11,'Momentum Ranks'!$B11:$U11,0)&lt;='Strategy Settings'!$B$7,'Return Data'!B25,0)+IF(RANK.EQ('Momentum Ranks'!C11,'Momentum Ranks'!$B11:$U11,0)&lt;='Strategy Settings'!$B$7,'Return Data'!C25,0)+IF(RANK.EQ('Momentum Ranks'!D11,'Momentum Ranks'!$B11:$U11,0)&lt;='Strategy Settings'!$B$7,'Return Data'!D25,0)+IF(RANK.EQ('Momentum Ranks'!E11,'Momentum Ranks'!$B11:$U11,0)&lt;='Strategy Settings'!$B$7,'Return Data'!E25,0)+IF(RANK.EQ('Momentum Ranks'!F11,'Momentum Ranks'!$B11:$U11,0)&lt;='Strategy Settings'!$B$7,'Return Data'!F25,0)+IF(RANK.EQ('Momentum Ranks'!G11,'Momentum Ranks'!$B11:$U11,0)&lt;='Strategy Settings'!$B$7,'Return Data'!G25,0)+IF(RANK.EQ('Momentum Ranks'!H11,'Momentum Ranks'!$B11:$U11,0)&lt;='Strategy Settings'!$B$7,'Return Data'!H25,0)+IF(RANK.EQ('Momentum Ranks'!I11,'Momentum Ranks'!$B11:$U11,0)&lt;='Strategy Settings'!$B$7,'Return Data'!I25,0)+IF(RANK.EQ('Momentum Ranks'!J11,'Momentum Ranks'!$B11:$U11,0)&lt;='Strategy Settings'!$B$7,'Return Data'!J25,0)+IF(RANK.EQ('Momentum Ranks'!K11,'Momentum Ranks'!$B11:$U11,0)&lt;='Strategy Settings'!$B$7,'Return Data'!K25,0)+IF(RANK.EQ('Momentum Ranks'!L11,'Momentum Ranks'!$B11:$U11,0)&lt;='Strategy Settings'!$B$7,'Return Data'!L25,0)+IF(RANK.EQ('Momentum Ranks'!M11,'Momentum Ranks'!$B11:$U11,0)&lt;='Strategy Settings'!$B$7,'Return Data'!M25,0)+IF(RANK.EQ('Momentum Ranks'!N11,'Momentum Ranks'!$B11:$U11,0)&lt;='Strategy Settings'!$B$7,'Return Data'!N25,0)+IF(RANK.EQ('Momentum Ranks'!O11,'Momentum Ranks'!$B11:$U11,0)&lt;='Strategy Settings'!$B$7,'Return Data'!O25,0)+IF(RANK.EQ('Momentum Ranks'!P11,'Momentum Ranks'!$B11:$U11,0)&lt;='Strategy Settings'!$B$7,'Return Data'!P25,0)+IF(RANK.EQ('Momentum Ranks'!Q11,'Momentum Ranks'!$B11:$U11,0)&lt;='Strategy Settings'!$B$7,'Return Data'!Q25,0)+IF(RANK.EQ('Momentum Ranks'!R11,'Momentum Ranks'!$B11:$U11,0)&lt;='Strategy Settings'!$B$7,'Return Data'!R25,0)+IF(RANK.EQ('Momentum Ranks'!S11,'Momentum Ranks'!$B11:$U11,0)&lt;='Strategy Settings'!$B$7,'Return Data'!S25,0)+IF(RANK.EQ('Momentum Ranks'!T11,'Momentum Ranks'!$B11:$U11,0)&lt;='Strategy Settings'!$B$7,'Return Data'!T25,0)+IF(RANK.EQ('Momentum Ranks'!U11,'Momentum Ranks'!$B11:$U11,0)&lt;='Strategy Settings'!$B$7,'Return Data'!U25,0))/'Strategy Settings'!$B$7</x:f>
        <x:v>0.06310727039826662</x:v>
      </x:c>
      <x:c r="C11" s="26" t="n">
        <x:f>1-(IF(AND(RANK.EQ('Momentum Ranks'!B11,'Momentum Ranks'!$B11:$U11,0)&lt;='Strategy Settings'!$B$7,RANK.EQ('Momentum Ranks'!B10,'Momentum Ranks'!$B10:$U10,0)&lt;='Strategy Settings'!$B$7),1,0)+IF(AND(RANK.EQ('Momentum Ranks'!C11,'Momentum Ranks'!$B11:$U11,0)&lt;='Strategy Settings'!$B$7,RANK.EQ('Momentum Ranks'!C10,'Momentum Ranks'!$B10:$U10,0)&lt;='Strategy Settings'!$B$7),1,0)+IF(AND(RANK.EQ('Momentum Ranks'!D11,'Momentum Ranks'!$B11:$U11,0)&lt;='Strategy Settings'!$B$7,RANK.EQ('Momentum Ranks'!D10,'Momentum Ranks'!$B10:$U10,0)&lt;='Strategy Settings'!$B$7),1,0)+IF(AND(RANK.EQ('Momentum Ranks'!E11,'Momentum Ranks'!$B11:$U11,0)&lt;='Strategy Settings'!$B$7,RANK.EQ('Momentum Ranks'!E10,'Momentum Ranks'!$B10:$U10,0)&lt;='Strategy Settings'!$B$7),1,0)+IF(AND(RANK.EQ('Momentum Ranks'!F11,'Momentum Ranks'!$B11:$U11,0)&lt;='Strategy Settings'!$B$7,RANK.EQ('Momentum Ranks'!F10,'Momentum Ranks'!$B10:$U10,0)&lt;='Strategy Settings'!$B$7),1,0)+IF(AND(RANK.EQ('Momentum Ranks'!G11,'Momentum Ranks'!$B11:$U11,0)&lt;='Strategy Settings'!$B$7,RANK.EQ('Momentum Ranks'!G10,'Momentum Ranks'!$B10:$U10,0)&lt;='Strategy Settings'!$B$7),1,0)+IF(AND(RANK.EQ('Momentum Ranks'!H11,'Momentum Ranks'!$B11:$U11,0)&lt;='Strategy Settings'!$B$7,RANK.EQ('Momentum Ranks'!H10,'Momentum Ranks'!$B10:$U10,0)&lt;='Strategy Settings'!$B$7),1,0)+IF(AND(RANK.EQ('Momentum Ranks'!I11,'Momentum Ranks'!$B11:$U11,0)&lt;='Strategy Settings'!$B$7,RANK.EQ('Momentum Ranks'!I10,'Momentum Ranks'!$B10:$U10,0)&lt;='Strategy Settings'!$B$7),1,0)+IF(AND(RANK.EQ('Momentum Ranks'!J11,'Momentum Ranks'!$B11:$U11,0)&lt;='Strategy Settings'!$B$7,RANK.EQ('Momentum Ranks'!J10,'Momentum Ranks'!$B10:$U10,0)&lt;='Strategy Settings'!$B$7),1,0)+IF(AND(RANK.EQ('Momentum Ranks'!K11,'Momentum Ranks'!$B11:$U11,0)&lt;='Strategy Settings'!$B$7,RANK.EQ('Momentum Ranks'!K10,'Momentum Ranks'!$B10:$U10,0)&lt;='Strategy Settings'!$B$7),1,0)+IF(AND(RANK.EQ('Momentum Ranks'!L11,'Momentum Ranks'!$B11:$U11,0)&lt;='Strategy Settings'!$B$7,RANK.EQ('Momentum Ranks'!L10,'Momentum Ranks'!$B10:$U10,0)&lt;='Strategy Settings'!$B$7),1,0)+IF(AND(RANK.EQ('Momentum Ranks'!M11,'Momentum Ranks'!$B11:$U11,0)&lt;='Strategy Settings'!$B$7,RANK.EQ('Momentum Ranks'!M10,'Momentum Ranks'!$B10:$U10,0)&lt;='Strategy Settings'!$B$7),1,0)+IF(AND(RANK.EQ('Momentum Ranks'!N11,'Momentum Ranks'!$B11:$U11,0)&lt;='Strategy Settings'!$B$7,RANK.EQ('Momentum Ranks'!N10,'Momentum Ranks'!$B10:$U10,0)&lt;='Strategy Settings'!$B$7),1,0)+IF(AND(RANK.EQ('Momentum Ranks'!O11,'Momentum Ranks'!$B11:$U11,0)&lt;='Strategy Settings'!$B$7,RANK.EQ('Momentum Ranks'!O10,'Momentum Ranks'!$B10:$U10,0)&lt;='Strategy Settings'!$B$7),1,0)+IF(AND(RANK.EQ('Momentum Ranks'!P11,'Momentum Ranks'!$B11:$U11,0)&lt;='Strategy Settings'!$B$7,RANK.EQ('Momentum Ranks'!P10,'Momentum Ranks'!$B10:$U10,0)&lt;='Strategy Settings'!$B$7),1,0)+IF(AND(RANK.EQ('Momentum Ranks'!Q11,'Momentum Ranks'!$B11:$U11,0)&lt;='Strategy Settings'!$B$7,RANK.EQ('Momentum Ranks'!Q10,'Momentum Ranks'!$B10:$U10,0)&lt;='Strategy Settings'!$B$7),1,0)+IF(AND(RANK.EQ('Momentum Ranks'!R11,'Momentum Ranks'!$B11:$U11,0)&lt;='Strategy Settings'!$B$7,RANK.EQ('Momentum Ranks'!R10,'Momentum Ranks'!$B10:$U10,0)&lt;='Strategy Settings'!$B$7),1,0)+IF(AND(RANK.EQ('Momentum Ranks'!S11,'Momentum Ranks'!$B11:$U11,0)&lt;='Strategy Settings'!$B$7,RANK.EQ('Momentum Ranks'!S10,'Momentum Ranks'!$B10:$U10,0)&lt;='Strategy Settings'!$B$7),1,0)+IF(AND(RANK.EQ('Momentum Ranks'!T11,'Momentum Ranks'!$B11:$U11,0)&lt;='Strategy Settings'!$B$7,RANK.EQ('Momentum Ranks'!T10,'Momentum Ranks'!$B10:$U10,0)&lt;='Strategy Settings'!$B$7),1,0)+IF(AND(RANK.EQ('Momentum Ranks'!U11,'Momentum Ranks'!$B11:$U11,0)&lt;='Strategy Settings'!$B$7,RANK.EQ('Momentum Ranks'!U10,'Momentum Ranks'!$B10:$U10,0)&lt;='Strategy Settings'!$B$7),1,0))/'Strategy Settings'!$B$7</x:f>
        <x:v>0.25</x:v>
      </x:c>
      <x:c r="D11" s="26" t="n">
        <x:f>C11*'Strategy Settings'!$B$9</x:f>
        <x:v>0.00025</x:v>
      </x:c>
      <x:c r="E11" s="26" t="n">
        <x:f>B11-D11</x:f>
        <x:v>0.06285727039826662</x:v>
      </x:c>
      <x:c r="F11" s="26" t="n">
        <x:f>'Return Data'!V21</x:f>
        <x:v>-0.025268020744376705</x:v>
      </x:c>
      <x:c r="G11" s="26" t="n">
        <x:f>E11-F11</x:f>
        <x:v>0.08812529114264332</x:v>
      </x:c>
      <x:c r="H11" s="28" t="n">
        <x:f>H10*(1+E11)</x:f>
        <x:v>0.9927090954848823</x:v>
      </x:c>
      <x:c r="I11" s="28" t="n">
        <x:f>I10*(1+F11)</x:f>
        <x:v>1.060476940168184</x:v>
      </x:c>
      <x:c r="J11" s="26" t="n">
        <x:f>H11/MAX($H$4:H11)-1</x:f>
        <x:v>-0.06084548050578631</x:v>
      </x:c>
      <x:c r="K11" s="26" t="n">
        <x:f>I11/MAX($I$4:I11)-1</x:f>
        <x:v>-0.10426811685527249</x:v>
      </x:c>
    </x:row>
    <x:row r="12">
      <x:c r="A12" s="20" t="n">
        <x:f>'Return Data'!A26</x:f>
        <x:v>44377</x:v>
      </x:c>
      <x:c r="B12" s="26" t="n">
        <x:f>(IF(RANK.EQ('Momentum Ranks'!B12,'Momentum Ranks'!$B12:$U12,0)&lt;='Strategy Settings'!$B$7,'Return Data'!B26,0)+IF(RANK.EQ('Momentum Ranks'!C12,'Momentum Ranks'!$B12:$U12,0)&lt;='Strategy Settings'!$B$7,'Return Data'!C26,0)+IF(RANK.EQ('Momentum Ranks'!D12,'Momentum Ranks'!$B12:$U12,0)&lt;='Strategy Settings'!$B$7,'Return Data'!D26,0)+IF(RANK.EQ('Momentum Ranks'!E12,'Momentum Ranks'!$B12:$U12,0)&lt;='Strategy Settings'!$B$7,'Return Data'!E26,0)+IF(RANK.EQ('Momentum Ranks'!F12,'Momentum Ranks'!$B12:$U12,0)&lt;='Strategy Settings'!$B$7,'Return Data'!F26,0)+IF(RANK.EQ('Momentum Ranks'!G12,'Momentum Ranks'!$B12:$U12,0)&lt;='Strategy Settings'!$B$7,'Return Data'!G26,0)+IF(RANK.EQ('Momentum Ranks'!H12,'Momentum Ranks'!$B12:$U12,0)&lt;='Strategy Settings'!$B$7,'Return Data'!H26,0)+IF(RANK.EQ('Momentum Ranks'!I12,'Momentum Ranks'!$B12:$U12,0)&lt;='Strategy Settings'!$B$7,'Return Data'!I26,0)+IF(RANK.EQ('Momentum Ranks'!J12,'Momentum Ranks'!$B12:$U12,0)&lt;='Strategy Settings'!$B$7,'Return Data'!J26,0)+IF(RANK.EQ('Momentum Ranks'!K12,'Momentum Ranks'!$B12:$U12,0)&lt;='Strategy Settings'!$B$7,'Return Data'!K26,0)+IF(RANK.EQ('Momentum Ranks'!L12,'Momentum Ranks'!$B12:$U12,0)&lt;='Strategy Settings'!$B$7,'Return Data'!L26,0)+IF(RANK.EQ('Momentum Ranks'!M12,'Momentum Ranks'!$B12:$U12,0)&lt;='Strategy Settings'!$B$7,'Return Data'!M26,0)+IF(RANK.EQ('Momentum Ranks'!N12,'Momentum Ranks'!$B12:$U12,0)&lt;='Strategy Settings'!$B$7,'Return Data'!N26,0)+IF(RANK.EQ('Momentum Ranks'!O12,'Momentum Ranks'!$B12:$U12,0)&lt;='Strategy Settings'!$B$7,'Return Data'!O26,0)+IF(RANK.EQ('Momentum Ranks'!P12,'Momentum Ranks'!$B12:$U12,0)&lt;='Strategy Settings'!$B$7,'Return Data'!P26,0)+IF(RANK.EQ('Momentum Ranks'!Q12,'Momentum Ranks'!$B12:$U12,0)&lt;='Strategy Settings'!$B$7,'Return Data'!Q26,0)+IF(RANK.EQ('Momentum Ranks'!R12,'Momentum Ranks'!$B12:$U12,0)&lt;='Strategy Settings'!$B$7,'Return Data'!R26,0)+IF(RANK.EQ('Momentum Ranks'!S12,'Momentum Ranks'!$B12:$U12,0)&lt;='Strategy Settings'!$B$7,'Return Data'!S26,0)+IF(RANK.EQ('Momentum Ranks'!T12,'Momentum Ranks'!$B12:$U12,0)&lt;='Strategy Settings'!$B$7,'Return Data'!T26,0)+IF(RANK.EQ('Momentum Ranks'!U12,'Momentum Ranks'!$B12:$U12,0)&lt;='Strategy Settings'!$B$7,'Return Data'!U26,0))/'Strategy Settings'!$B$7</x:f>
        <x:v>-0.0064393761984222996</x:v>
      </x:c>
      <x:c r="C12" s="26" t="n">
        <x:f>1-(IF(AND(RANK.EQ('Momentum Ranks'!B12,'Momentum Ranks'!$B12:$U12,0)&lt;='Strategy Settings'!$B$7,RANK.EQ('Momentum Ranks'!B11,'Momentum Ranks'!$B11:$U11,0)&lt;='Strategy Settings'!$B$7),1,0)+IF(AND(RANK.EQ('Momentum Ranks'!C12,'Momentum Ranks'!$B12:$U12,0)&lt;='Strategy Settings'!$B$7,RANK.EQ('Momentum Ranks'!C11,'Momentum Ranks'!$B11:$U11,0)&lt;='Strategy Settings'!$B$7),1,0)+IF(AND(RANK.EQ('Momentum Ranks'!D12,'Momentum Ranks'!$B12:$U12,0)&lt;='Strategy Settings'!$B$7,RANK.EQ('Momentum Ranks'!D11,'Momentum Ranks'!$B11:$U11,0)&lt;='Strategy Settings'!$B$7),1,0)+IF(AND(RANK.EQ('Momentum Ranks'!E12,'Momentum Ranks'!$B12:$U12,0)&lt;='Strategy Settings'!$B$7,RANK.EQ('Momentum Ranks'!E11,'Momentum Ranks'!$B11:$U11,0)&lt;='Strategy Settings'!$B$7),1,0)+IF(AND(RANK.EQ('Momentum Ranks'!F12,'Momentum Ranks'!$B12:$U12,0)&lt;='Strategy Settings'!$B$7,RANK.EQ('Momentum Ranks'!F11,'Momentum Ranks'!$B11:$U11,0)&lt;='Strategy Settings'!$B$7),1,0)+IF(AND(RANK.EQ('Momentum Ranks'!G12,'Momentum Ranks'!$B12:$U12,0)&lt;='Strategy Settings'!$B$7,RANK.EQ('Momentum Ranks'!G11,'Momentum Ranks'!$B11:$U11,0)&lt;='Strategy Settings'!$B$7),1,0)+IF(AND(RANK.EQ('Momentum Ranks'!H12,'Momentum Ranks'!$B12:$U12,0)&lt;='Strategy Settings'!$B$7,RANK.EQ('Momentum Ranks'!H11,'Momentum Ranks'!$B11:$U11,0)&lt;='Strategy Settings'!$B$7),1,0)+IF(AND(RANK.EQ('Momentum Ranks'!I12,'Momentum Ranks'!$B12:$U12,0)&lt;='Strategy Settings'!$B$7,RANK.EQ('Momentum Ranks'!I11,'Momentum Ranks'!$B11:$U11,0)&lt;='Strategy Settings'!$B$7),1,0)+IF(AND(RANK.EQ('Momentum Ranks'!J12,'Momentum Ranks'!$B12:$U12,0)&lt;='Strategy Settings'!$B$7,RANK.EQ('Momentum Ranks'!J11,'Momentum Ranks'!$B11:$U11,0)&lt;='Strategy Settings'!$B$7),1,0)+IF(AND(RANK.EQ('Momentum Ranks'!K12,'Momentum Ranks'!$B12:$U12,0)&lt;='Strategy Settings'!$B$7,RANK.EQ('Momentum Ranks'!K11,'Momentum Ranks'!$B11:$U11,0)&lt;='Strategy Settings'!$B$7),1,0)+IF(AND(RANK.EQ('Momentum Ranks'!L12,'Momentum Ranks'!$B12:$U12,0)&lt;='Strategy Settings'!$B$7,RANK.EQ('Momentum Ranks'!L11,'Momentum Ranks'!$B11:$U11,0)&lt;='Strategy Settings'!$B$7),1,0)+IF(AND(RANK.EQ('Momentum Ranks'!M12,'Momentum Ranks'!$B12:$U12,0)&lt;='Strategy Settings'!$B$7,RANK.EQ('Momentum Ranks'!M11,'Momentum Ranks'!$B11:$U11,0)&lt;='Strategy Settings'!$B$7),1,0)+IF(AND(RANK.EQ('Momentum Ranks'!N12,'Momentum Ranks'!$B12:$U12,0)&lt;='Strategy Settings'!$B$7,RANK.EQ('Momentum Ranks'!N11,'Momentum Ranks'!$B11:$U11,0)&lt;='Strategy Settings'!$B$7),1,0)+IF(AND(RANK.EQ('Momentum Ranks'!O12,'Momentum Ranks'!$B12:$U12,0)&lt;='Strategy Settings'!$B$7,RANK.EQ('Momentum Ranks'!O11,'Momentum Ranks'!$B11:$U11,0)&lt;='Strategy Settings'!$B$7),1,0)+IF(AND(RANK.EQ('Momentum Ranks'!P12,'Momentum Ranks'!$B12:$U12,0)&lt;='Strategy Settings'!$B$7,RANK.EQ('Momentum Ranks'!P11,'Momentum Ranks'!$B11:$U11,0)&lt;='Strategy Settings'!$B$7),1,0)+IF(AND(RANK.EQ('Momentum Ranks'!Q12,'Momentum Ranks'!$B12:$U12,0)&lt;='Strategy Settings'!$B$7,RANK.EQ('Momentum Ranks'!Q11,'Momentum Ranks'!$B11:$U11,0)&lt;='Strategy Settings'!$B$7),1,0)+IF(AND(RANK.EQ('Momentum Ranks'!R12,'Momentum Ranks'!$B12:$U12,0)&lt;='Strategy Settings'!$B$7,RANK.EQ('Momentum Ranks'!R11,'Momentum Ranks'!$B11:$U11,0)&lt;='Strategy Settings'!$B$7),1,0)+IF(AND(RANK.EQ('Momentum Ranks'!S12,'Momentum Ranks'!$B12:$U12,0)&lt;='Strategy Settings'!$B$7,RANK.EQ('Momentum Ranks'!S11,'Momentum Ranks'!$B11:$U11,0)&lt;='Strategy Settings'!$B$7),1,0)+IF(AND(RANK.EQ('Momentum Ranks'!T12,'Momentum Ranks'!$B12:$U12,0)&lt;='Strategy Settings'!$B$7,RANK.EQ('Momentum Ranks'!T11,'Momentum Ranks'!$B11:$U11,0)&lt;='Strategy Settings'!$B$7),1,0)+IF(AND(RANK.EQ('Momentum Ranks'!U12,'Momentum Ranks'!$B12:$U12,0)&lt;='Strategy Settings'!$B$7,RANK.EQ('Momentum Ranks'!U11,'Momentum Ranks'!$B11:$U11,0)&lt;='Strategy Settings'!$B$7),1,0))/'Strategy Settings'!$B$7</x:f>
        <x:v>0.25</x:v>
      </x:c>
      <x:c r="D12" s="26" t="n">
        <x:f>C12*'Strategy Settings'!$B$9</x:f>
        <x:v>0.00025</x:v>
      </x:c>
      <x:c r="E12" s="26" t="n">
        <x:f>B12-D12</x:f>
        <x:v>-0.0066893761984223</x:v>
      </x:c>
      <x:c r="F12" s="26" t="n">
        <x:f>'Return Data'!V22</x:f>
        <x:v>-0.01660601620882183</x:v>
      </x:c>
      <x:c r="G12" s="26" t="n">
        <x:f>E12-F12</x:f>
        <x:v>0.00991664001039953</x:v>
      </x:c>
      <x:c r="H12" s="28" t="n">
        <x:f>H11*(1+E12)</x:f>
        <x:v>0.9860684908895885</x:v>
      </x:c>
      <x:c r="I12" s="28" t="n">
        <x:f>I11*(1+F12)</x:f>
        <x:v>1.0428666429106692</x:v>
      </x:c>
      <x:c r="J12" s="26" t="n">
        <x:f>H12/MAX($H$4:H12)-1</x:f>
        <x:v>-0.06712783839513148</x:v>
      </x:c>
      <x:c r="K12" s="26" t="n">
        <x:f>I12/MAX($I$4:I12)-1</x:f>
        <x:v>-0.11914265502553245</x:v>
      </x:c>
    </x:row>
    <x:row r="13">
      <x:c r="A13" s="20" t="n">
        <x:f>'Return Data'!A27</x:f>
        <x:v>44407</x:v>
      </x:c>
      <x:c r="B13" s="26" t="n">
        <x:f>(IF(RANK.EQ('Momentum Ranks'!B13,'Momentum Ranks'!$B13:$U13,0)&lt;='Strategy Settings'!$B$7,'Return Data'!B27,0)+IF(RANK.EQ('Momentum Ranks'!C13,'Momentum Ranks'!$B13:$U13,0)&lt;='Strategy Settings'!$B$7,'Return Data'!C27,0)+IF(RANK.EQ('Momentum Ranks'!D13,'Momentum Ranks'!$B13:$U13,0)&lt;='Strategy Settings'!$B$7,'Return Data'!D27,0)+IF(RANK.EQ('Momentum Ranks'!E13,'Momentum Ranks'!$B13:$U13,0)&lt;='Strategy Settings'!$B$7,'Return Data'!E27,0)+IF(RANK.EQ('Momentum Ranks'!F13,'Momentum Ranks'!$B13:$U13,0)&lt;='Strategy Settings'!$B$7,'Return Data'!F27,0)+IF(RANK.EQ('Momentum Ranks'!G13,'Momentum Ranks'!$B13:$U13,0)&lt;='Strategy Settings'!$B$7,'Return Data'!G27,0)+IF(RANK.EQ('Momentum Ranks'!H13,'Momentum Ranks'!$B13:$U13,0)&lt;='Strategy Settings'!$B$7,'Return Data'!H27,0)+IF(RANK.EQ('Momentum Ranks'!I13,'Momentum Ranks'!$B13:$U13,0)&lt;='Strategy Settings'!$B$7,'Return Data'!I27,0)+IF(RANK.EQ('Momentum Ranks'!J13,'Momentum Ranks'!$B13:$U13,0)&lt;='Strategy Settings'!$B$7,'Return Data'!J27,0)+IF(RANK.EQ('Momentum Ranks'!K13,'Momentum Ranks'!$B13:$U13,0)&lt;='Strategy Settings'!$B$7,'Return Data'!K27,0)+IF(RANK.EQ('Momentum Ranks'!L13,'Momentum Ranks'!$B13:$U13,0)&lt;='Strategy Settings'!$B$7,'Return Data'!L27,0)+IF(RANK.EQ('Momentum Ranks'!M13,'Momentum Ranks'!$B13:$U13,0)&lt;='Strategy Settings'!$B$7,'Return Data'!M27,0)+IF(RANK.EQ('Momentum Ranks'!N13,'Momentum Ranks'!$B13:$U13,0)&lt;='Strategy Settings'!$B$7,'Return Data'!N27,0)+IF(RANK.EQ('Momentum Ranks'!O13,'Momentum Ranks'!$B13:$U13,0)&lt;='Strategy Settings'!$B$7,'Return Data'!O27,0)+IF(RANK.EQ('Momentum Ranks'!P13,'Momentum Ranks'!$B13:$U13,0)&lt;='Strategy Settings'!$B$7,'Return Data'!P27,0)+IF(RANK.EQ('Momentum Ranks'!Q13,'Momentum Ranks'!$B13:$U13,0)&lt;='Strategy Settings'!$B$7,'Return Data'!Q27,0)+IF(RANK.EQ('Momentum Ranks'!R13,'Momentum Ranks'!$B13:$U13,0)&lt;='Strategy Settings'!$B$7,'Return Data'!R27,0)+IF(RANK.EQ('Momentum Ranks'!S13,'Momentum Ranks'!$B13:$U13,0)&lt;='Strategy Settings'!$B$7,'Return Data'!S27,0)+IF(RANK.EQ('Momentum Ranks'!T13,'Momentum Ranks'!$B13:$U13,0)&lt;='Strategy Settings'!$B$7,'Return Data'!T27,0)+IF(RANK.EQ('Momentum Ranks'!U13,'Momentum Ranks'!$B13:$U13,0)&lt;='Strategy Settings'!$B$7,'Return Data'!U27,0))/'Strategy Settings'!$B$7</x:f>
        <x:v>0.09891137686002505</x:v>
      </x:c>
      <x:c r="C13" s="26" t="n">
        <x:f>1-(IF(AND(RANK.EQ('Momentum Ranks'!B13,'Momentum Ranks'!$B13:$U13,0)&lt;='Strategy Settings'!$B$7,RANK.EQ('Momentum Ranks'!B12,'Momentum Ranks'!$B12:$U12,0)&lt;='Strategy Settings'!$B$7),1,0)+IF(AND(RANK.EQ('Momentum Ranks'!C13,'Momentum Ranks'!$B13:$U13,0)&lt;='Strategy Settings'!$B$7,RANK.EQ('Momentum Ranks'!C12,'Momentum Ranks'!$B12:$U12,0)&lt;='Strategy Settings'!$B$7),1,0)+IF(AND(RANK.EQ('Momentum Ranks'!D13,'Momentum Ranks'!$B13:$U13,0)&lt;='Strategy Settings'!$B$7,RANK.EQ('Momentum Ranks'!D12,'Momentum Ranks'!$B12:$U12,0)&lt;='Strategy Settings'!$B$7),1,0)+IF(AND(RANK.EQ('Momentum Ranks'!E13,'Momentum Ranks'!$B13:$U13,0)&lt;='Strategy Settings'!$B$7,RANK.EQ('Momentum Ranks'!E12,'Momentum Ranks'!$B12:$U12,0)&lt;='Strategy Settings'!$B$7),1,0)+IF(AND(RANK.EQ('Momentum Ranks'!F13,'Momentum Ranks'!$B13:$U13,0)&lt;='Strategy Settings'!$B$7,RANK.EQ('Momentum Ranks'!F12,'Momentum Ranks'!$B12:$U12,0)&lt;='Strategy Settings'!$B$7),1,0)+IF(AND(RANK.EQ('Momentum Ranks'!G13,'Momentum Ranks'!$B13:$U13,0)&lt;='Strategy Settings'!$B$7,RANK.EQ('Momentum Ranks'!G12,'Momentum Ranks'!$B12:$U12,0)&lt;='Strategy Settings'!$B$7),1,0)+IF(AND(RANK.EQ('Momentum Ranks'!H13,'Momentum Ranks'!$B13:$U13,0)&lt;='Strategy Settings'!$B$7,RANK.EQ('Momentum Ranks'!H12,'Momentum Ranks'!$B12:$U12,0)&lt;='Strategy Settings'!$B$7),1,0)+IF(AND(RANK.EQ('Momentum Ranks'!I13,'Momentum Ranks'!$B13:$U13,0)&lt;='Strategy Settings'!$B$7,RANK.EQ('Momentum Ranks'!I12,'Momentum Ranks'!$B12:$U12,0)&lt;='Strategy Settings'!$B$7),1,0)+IF(AND(RANK.EQ('Momentum Ranks'!J13,'Momentum Ranks'!$B13:$U13,0)&lt;='Strategy Settings'!$B$7,RANK.EQ('Momentum Ranks'!J12,'Momentum Ranks'!$B12:$U12,0)&lt;='Strategy Settings'!$B$7),1,0)+IF(AND(RANK.EQ('Momentum Ranks'!K13,'Momentum Ranks'!$B13:$U13,0)&lt;='Strategy Settings'!$B$7,RANK.EQ('Momentum Ranks'!K12,'Momentum Ranks'!$B12:$U12,0)&lt;='Strategy Settings'!$B$7),1,0)+IF(AND(RANK.EQ('Momentum Ranks'!L13,'Momentum Ranks'!$B13:$U13,0)&lt;='Strategy Settings'!$B$7,RANK.EQ('Momentum Ranks'!L12,'Momentum Ranks'!$B12:$U12,0)&lt;='Strategy Settings'!$B$7),1,0)+IF(AND(RANK.EQ('Momentum Ranks'!M13,'Momentum Ranks'!$B13:$U13,0)&lt;='Strategy Settings'!$B$7,RANK.EQ('Momentum Ranks'!M12,'Momentum Ranks'!$B12:$U12,0)&lt;='Strategy Settings'!$B$7),1,0)+IF(AND(RANK.EQ('Momentum Ranks'!N13,'Momentum Ranks'!$B13:$U13,0)&lt;='Strategy Settings'!$B$7,RANK.EQ('Momentum Ranks'!N12,'Momentum Ranks'!$B12:$U12,0)&lt;='Strategy Settings'!$B$7),1,0)+IF(AND(RANK.EQ('Momentum Ranks'!O13,'Momentum Ranks'!$B13:$U13,0)&lt;='Strategy Settings'!$B$7,RANK.EQ('Momentum Ranks'!O12,'Momentum Ranks'!$B12:$U12,0)&lt;='Strategy Settings'!$B$7),1,0)+IF(AND(RANK.EQ('Momentum Ranks'!P13,'Momentum Ranks'!$B13:$U13,0)&lt;='Strategy Settings'!$B$7,RANK.EQ('Momentum Ranks'!P12,'Momentum Ranks'!$B12:$U12,0)&lt;='Strategy Settings'!$B$7),1,0)+IF(AND(RANK.EQ('Momentum Ranks'!Q13,'Momentum Ranks'!$B13:$U13,0)&lt;='Strategy Settings'!$B$7,RANK.EQ('Momentum Ranks'!Q12,'Momentum Ranks'!$B12:$U12,0)&lt;='Strategy Settings'!$B$7),1,0)+IF(AND(RANK.EQ('Momentum Ranks'!R13,'Momentum Ranks'!$B13:$U13,0)&lt;='Strategy Settings'!$B$7,RANK.EQ('Momentum Ranks'!R12,'Momentum Ranks'!$B12:$U12,0)&lt;='Strategy Settings'!$B$7),1,0)+IF(AND(RANK.EQ('Momentum Ranks'!S13,'Momentum Ranks'!$B13:$U13,0)&lt;='Strategy Settings'!$B$7,RANK.EQ('Momentum Ranks'!S12,'Momentum Ranks'!$B12:$U12,0)&lt;='Strategy Settings'!$B$7),1,0)+IF(AND(RANK.EQ('Momentum Ranks'!T13,'Momentum Ranks'!$B13:$U13,0)&lt;='Strategy Settings'!$B$7,RANK.EQ('Momentum Ranks'!T12,'Momentum Ranks'!$B12:$U12,0)&lt;='Strategy Settings'!$B$7),1,0)+IF(AND(RANK.EQ('Momentum Ranks'!U13,'Momentum Ranks'!$B13:$U13,0)&lt;='Strategy Settings'!$B$7,RANK.EQ('Momentum Ranks'!U12,'Momentum Ranks'!$B12:$U12,0)&lt;='Strategy Settings'!$B$7),1,0))/'Strategy Settings'!$B$7</x:f>
        <x:v>0.25</x:v>
      </x:c>
      <x:c r="D13" s="26" t="n">
        <x:f>C13*'Strategy Settings'!$B$9</x:f>
        <x:v>0.00025</x:v>
      </x:c>
      <x:c r="E13" s="26" t="n">
        <x:f>B13-D13</x:f>
        <x:v>0.09866137686002505</x:v>
      </x:c>
      <x:c r="F13" s="26" t="n">
        <x:f>'Return Data'!V23</x:f>
        <x:v>0.01050460318077633</x:v>
      </x:c>
      <x:c r="G13" s="26" t="n">
        <x:f>E13-F13</x:f>
        <x:v>0.08815677367924872</x:v>
      </x:c>
      <x:c r="H13" s="28" t="n">
        <x:f>H12*(1+E13)</x:f>
        <x:v>1.0833553658790425</x:v>
      </x:c>
      <x:c r="I13" s="28" t="n">
        <x:f>I12*(1+F13)</x:f>
        <x:v>1.053821543164914</x:v>
      </x:c>
      <x:c r="J13" s="26" t="n">
        <x:f>H13/MAX($H$4:H13)-1</x:f>
        <x:v>0</x:v>
      </x:c>
      <x:c r="K13" s="26" t="n">
        <x:f>I13/MAX($I$4:I13)-1</x:f>
        <x:v>-0.1098895981577035</x:v>
      </x:c>
    </x:row>
    <x:row r="14">
      <x:c r="A14" s="20" t="n">
        <x:f>'Return Data'!A28</x:f>
        <x:v>44438</x:v>
      </x:c>
      <x:c r="B14" s="26" t="n">
        <x:f>(IF(RANK.EQ('Momentum Ranks'!B14,'Momentum Ranks'!$B14:$U14,0)&lt;='Strategy Settings'!$B$7,'Return Data'!B28,0)+IF(RANK.EQ('Momentum Ranks'!C14,'Momentum Ranks'!$B14:$U14,0)&lt;='Strategy Settings'!$B$7,'Return Data'!C28,0)+IF(RANK.EQ('Momentum Ranks'!D14,'Momentum Ranks'!$B14:$U14,0)&lt;='Strategy Settings'!$B$7,'Return Data'!D28,0)+IF(RANK.EQ('Momentum Ranks'!E14,'Momentum Ranks'!$B14:$U14,0)&lt;='Strategy Settings'!$B$7,'Return Data'!E28,0)+IF(RANK.EQ('Momentum Ranks'!F14,'Momentum Ranks'!$B14:$U14,0)&lt;='Strategy Settings'!$B$7,'Return Data'!F28,0)+IF(RANK.EQ('Momentum Ranks'!G14,'Momentum Ranks'!$B14:$U14,0)&lt;='Strategy Settings'!$B$7,'Return Data'!G28,0)+IF(RANK.EQ('Momentum Ranks'!H14,'Momentum Ranks'!$B14:$U14,0)&lt;='Strategy Settings'!$B$7,'Return Data'!H28,0)+IF(RANK.EQ('Momentum Ranks'!I14,'Momentum Ranks'!$B14:$U14,0)&lt;='Strategy Settings'!$B$7,'Return Data'!I28,0)+IF(RANK.EQ('Momentum Ranks'!J14,'Momentum Ranks'!$B14:$U14,0)&lt;='Strategy Settings'!$B$7,'Return Data'!J28,0)+IF(RANK.EQ('Momentum Ranks'!K14,'Momentum Ranks'!$B14:$U14,0)&lt;='Strategy Settings'!$B$7,'Return Data'!K28,0)+IF(RANK.EQ('Momentum Ranks'!L14,'Momentum Ranks'!$B14:$U14,0)&lt;='Strategy Settings'!$B$7,'Return Data'!L28,0)+IF(RANK.EQ('Momentum Ranks'!M14,'Momentum Ranks'!$B14:$U14,0)&lt;='Strategy Settings'!$B$7,'Return Data'!M28,0)+IF(RANK.EQ('Momentum Ranks'!N14,'Momentum Ranks'!$B14:$U14,0)&lt;='Strategy Settings'!$B$7,'Return Data'!N28,0)+IF(RANK.EQ('Momentum Ranks'!O14,'Momentum Ranks'!$B14:$U14,0)&lt;='Strategy Settings'!$B$7,'Return Data'!O28,0)+IF(RANK.EQ('Momentum Ranks'!P14,'Momentum Ranks'!$B14:$U14,0)&lt;='Strategy Settings'!$B$7,'Return Data'!P28,0)+IF(RANK.EQ('Momentum Ranks'!Q14,'Momentum Ranks'!$B14:$U14,0)&lt;='Strategy Settings'!$B$7,'Return Data'!Q28,0)+IF(RANK.EQ('Momentum Ranks'!R14,'Momentum Ranks'!$B14:$U14,0)&lt;='Strategy Settings'!$B$7,'Return Data'!R28,0)+IF(RANK.EQ('Momentum Ranks'!S14,'Momentum Ranks'!$B14:$U14,0)&lt;='Strategy Settings'!$B$7,'Return Data'!S28,0)+IF(RANK.EQ('Momentum Ranks'!T14,'Momentum Ranks'!$B14:$U14,0)&lt;='Strategy Settings'!$B$7,'Return Data'!T28,0)+IF(RANK.EQ('Momentum Ranks'!U14,'Momentum Ranks'!$B14:$U14,0)&lt;='Strategy Settings'!$B$7,'Return Data'!U28,0))/'Strategy Settings'!$B$7</x:f>
        <x:v>0.10105352614453961</x:v>
      </x:c>
      <x:c r="C14" s="26" t="n">
        <x:f>1-(IF(AND(RANK.EQ('Momentum Ranks'!B14,'Momentum Ranks'!$B14:$U14,0)&lt;='Strategy Settings'!$B$7,RANK.EQ('Momentum Ranks'!B13,'Momentum Ranks'!$B13:$U13,0)&lt;='Strategy Settings'!$B$7),1,0)+IF(AND(RANK.EQ('Momentum Ranks'!C14,'Momentum Ranks'!$B14:$U14,0)&lt;='Strategy Settings'!$B$7,RANK.EQ('Momentum Ranks'!C13,'Momentum Ranks'!$B13:$U13,0)&lt;='Strategy Settings'!$B$7),1,0)+IF(AND(RANK.EQ('Momentum Ranks'!D14,'Momentum Ranks'!$B14:$U14,0)&lt;='Strategy Settings'!$B$7,RANK.EQ('Momentum Ranks'!D13,'Momentum Ranks'!$B13:$U13,0)&lt;='Strategy Settings'!$B$7),1,0)+IF(AND(RANK.EQ('Momentum Ranks'!E14,'Momentum Ranks'!$B14:$U14,0)&lt;='Strategy Settings'!$B$7,RANK.EQ('Momentum Ranks'!E13,'Momentum Ranks'!$B13:$U13,0)&lt;='Strategy Settings'!$B$7),1,0)+IF(AND(RANK.EQ('Momentum Ranks'!F14,'Momentum Ranks'!$B14:$U14,0)&lt;='Strategy Settings'!$B$7,RANK.EQ('Momentum Ranks'!F13,'Momentum Ranks'!$B13:$U13,0)&lt;='Strategy Settings'!$B$7),1,0)+IF(AND(RANK.EQ('Momentum Ranks'!G14,'Momentum Ranks'!$B14:$U14,0)&lt;='Strategy Settings'!$B$7,RANK.EQ('Momentum Ranks'!G13,'Momentum Ranks'!$B13:$U13,0)&lt;='Strategy Settings'!$B$7),1,0)+IF(AND(RANK.EQ('Momentum Ranks'!H14,'Momentum Ranks'!$B14:$U14,0)&lt;='Strategy Settings'!$B$7,RANK.EQ('Momentum Ranks'!H13,'Momentum Ranks'!$B13:$U13,0)&lt;='Strategy Settings'!$B$7),1,0)+IF(AND(RANK.EQ('Momentum Ranks'!I14,'Momentum Ranks'!$B14:$U14,0)&lt;='Strategy Settings'!$B$7,RANK.EQ('Momentum Ranks'!I13,'Momentum Ranks'!$B13:$U13,0)&lt;='Strategy Settings'!$B$7),1,0)+IF(AND(RANK.EQ('Momentum Ranks'!J14,'Momentum Ranks'!$B14:$U14,0)&lt;='Strategy Settings'!$B$7,RANK.EQ('Momentum Ranks'!J13,'Momentum Ranks'!$B13:$U13,0)&lt;='Strategy Settings'!$B$7),1,0)+IF(AND(RANK.EQ('Momentum Ranks'!K14,'Momentum Ranks'!$B14:$U14,0)&lt;='Strategy Settings'!$B$7,RANK.EQ('Momentum Ranks'!K13,'Momentum Ranks'!$B13:$U13,0)&lt;='Strategy Settings'!$B$7),1,0)+IF(AND(RANK.EQ('Momentum Ranks'!L14,'Momentum Ranks'!$B14:$U14,0)&lt;='Strategy Settings'!$B$7,RANK.EQ('Momentum Ranks'!L13,'Momentum Ranks'!$B13:$U13,0)&lt;='Strategy Settings'!$B$7),1,0)+IF(AND(RANK.EQ('Momentum Ranks'!M14,'Momentum Ranks'!$B14:$U14,0)&lt;='Strategy Settings'!$B$7,RANK.EQ('Momentum Ranks'!M13,'Momentum Ranks'!$B13:$U13,0)&lt;='Strategy Settings'!$B$7),1,0)+IF(AND(RANK.EQ('Momentum Ranks'!N14,'Momentum Ranks'!$B14:$U14,0)&lt;='Strategy Settings'!$B$7,RANK.EQ('Momentum Ranks'!N13,'Momentum Ranks'!$B13:$U13,0)&lt;='Strategy Settings'!$B$7),1,0)+IF(AND(RANK.EQ('Momentum Ranks'!O14,'Momentum Ranks'!$B14:$U14,0)&lt;='Strategy Settings'!$B$7,RANK.EQ('Momentum Ranks'!O13,'Momentum Ranks'!$B13:$U13,0)&lt;='Strategy Settings'!$B$7),1,0)+IF(AND(RANK.EQ('Momentum Ranks'!P14,'Momentum Ranks'!$B14:$U14,0)&lt;='Strategy Settings'!$B$7,RANK.EQ('Momentum Ranks'!P13,'Momentum Ranks'!$B13:$U13,0)&lt;='Strategy Settings'!$B$7),1,0)+IF(AND(RANK.EQ('Momentum Ranks'!Q14,'Momentum Ranks'!$B14:$U14,0)&lt;='Strategy Settings'!$B$7,RANK.EQ('Momentum Ranks'!Q13,'Momentum Ranks'!$B13:$U13,0)&lt;='Strategy Settings'!$B$7),1,0)+IF(AND(RANK.EQ('Momentum Ranks'!R14,'Momentum Ranks'!$B14:$U14,0)&lt;='Strategy Settings'!$B$7,RANK.EQ('Momentum Ranks'!R13,'Momentum Ranks'!$B13:$U13,0)&lt;='Strategy Settings'!$B$7),1,0)+IF(AND(RANK.EQ('Momentum Ranks'!S14,'Momentum Ranks'!$B14:$U14,0)&lt;='Strategy Settings'!$B$7,RANK.EQ('Momentum Ranks'!S13,'Momentum Ranks'!$B13:$U13,0)&lt;='Strategy Settings'!$B$7),1,0)+IF(AND(RANK.EQ('Momentum Ranks'!T14,'Momentum Ranks'!$B14:$U14,0)&lt;='Strategy Settings'!$B$7,RANK.EQ('Momentum Ranks'!T13,'Momentum Ranks'!$B13:$U13,0)&lt;='Strategy Settings'!$B$7),1,0)+IF(AND(RANK.EQ('Momentum Ranks'!U14,'Momentum Ranks'!$B14:$U14,0)&lt;='Strategy Settings'!$B$7,RANK.EQ('Momentum Ranks'!U13,'Momentum Ranks'!$B13:$U13,0)&lt;='Strategy Settings'!$B$7),1,0))/'Strategy Settings'!$B$7</x:f>
        <x:v>0.75</x:v>
      </x:c>
      <x:c r="D14" s="26" t="n">
        <x:f>C14*'Strategy Settings'!$B$9</x:f>
        <x:v>0.00075</x:v>
      </x:c>
      <x:c r="E14" s="26" t="n">
        <x:f>B14-D14</x:f>
        <x:v>0.1003035261445396</x:v>
      </x:c>
      <x:c r="F14" s="26" t="n">
        <x:f>'Return Data'!V24</x:f>
        <x:v>-0.02168192181211953</x:v>
      </x:c>
      <x:c r="G14" s="26" t="n">
        <x:f>E14-F14</x:f>
        <x:v>0.12198544795665914</x:v>
      </x:c>
      <x:c r="H14" s="28" t="n">
        <x:f>H13*(1+E14)</x:f>
        <x:v>1.1920197291443182</x:v>
      </x:c>
      <x:c r="I14" s="28" t="n">
        <x:f>I13*(1+F14)</x:f>
        <x:v>1.030972666862085</x:v>
      </x:c>
      <x:c r="J14" s="26" t="n">
        <x:f>H14/MAX($H$4:H14)-1</x:f>
        <x:v>0</x:v>
      </x:c>
      <x:c r="K14" s="26" t="n">
        <x:f>I14/MAX($I$4:I14)-1</x:f>
        <x:v>-0.12918890229460267</x:v>
      </x:c>
    </x:row>
    <x:row r="15">
      <x:c r="A15" s="20" t="n">
        <x:f>'Return Data'!A29</x:f>
        <x:v>44469</x:v>
      </x:c>
      <x:c r="B15" s="26" t="n">
        <x:f>(IF(RANK.EQ('Momentum Ranks'!B15,'Momentum Ranks'!$B15:$U15,0)&lt;='Strategy Settings'!$B$7,'Return Data'!B29,0)+IF(RANK.EQ('Momentum Ranks'!C15,'Momentum Ranks'!$B15:$U15,0)&lt;='Strategy Settings'!$B$7,'Return Data'!C29,0)+IF(RANK.EQ('Momentum Ranks'!D15,'Momentum Ranks'!$B15:$U15,0)&lt;='Strategy Settings'!$B$7,'Return Data'!D29,0)+IF(RANK.EQ('Momentum Ranks'!E15,'Momentum Ranks'!$B15:$U15,0)&lt;='Strategy Settings'!$B$7,'Return Data'!E29,0)+IF(RANK.EQ('Momentum Ranks'!F15,'Momentum Ranks'!$B15:$U15,0)&lt;='Strategy Settings'!$B$7,'Return Data'!F29,0)+IF(RANK.EQ('Momentum Ranks'!G15,'Momentum Ranks'!$B15:$U15,0)&lt;='Strategy Settings'!$B$7,'Return Data'!G29,0)+IF(RANK.EQ('Momentum Ranks'!H15,'Momentum Ranks'!$B15:$U15,0)&lt;='Strategy Settings'!$B$7,'Return Data'!H29,0)+IF(RANK.EQ('Momentum Ranks'!I15,'Momentum Ranks'!$B15:$U15,0)&lt;='Strategy Settings'!$B$7,'Return Data'!I29,0)+IF(RANK.EQ('Momentum Ranks'!J15,'Momentum Ranks'!$B15:$U15,0)&lt;='Strategy Settings'!$B$7,'Return Data'!J29,0)+IF(RANK.EQ('Momentum Ranks'!K15,'Momentum Ranks'!$B15:$U15,0)&lt;='Strategy Settings'!$B$7,'Return Data'!K29,0)+IF(RANK.EQ('Momentum Ranks'!L15,'Momentum Ranks'!$B15:$U15,0)&lt;='Strategy Settings'!$B$7,'Return Data'!L29,0)+IF(RANK.EQ('Momentum Ranks'!M15,'Momentum Ranks'!$B15:$U15,0)&lt;='Strategy Settings'!$B$7,'Return Data'!M29,0)+IF(RANK.EQ('Momentum Ranks'!N15,'Momentum Ranks'!$B15:$U15,0)&lt;='Strategy Settings'!$B$7,'Return Data'!N29,0)+IF(RANK.EQ('Momentum Ranks'!O15,'Momentum Ranks'!$B15:$U15,0)&lt;='Strategy Settings'!$B$7,'Return Data'!O29,0)+IF(RANK.EQ('Momentum Ranks'!P15,'Momentum Ranks'!$B15:$U15,0)&lt;='Strategy Settings'!$B$7,'Return Data'!P29,0)+IF(RANK.EQ('Momentum Ranks'!Q15,'Momentum Ranks'!$B15:$U15,0)&lt;='Strategy Settings'!$B$7,'Return Data'!Q29,0)+IF(RANK.EQ('Momentum Ranks'!R15,'Momentum Ranks'!$B15:$U15,0)&lt;='Strategy Settings'!$B$7,'Return Data'!R29,0)+IF(RANK.EQ('Momentum Ranks'!S15,'Momentum Ranks'!$B15:$U15,0)&lt;='Strategy Settings'!$B$7,'Return Data'!S29,0)+IF(RANK.EQ('Momentum Ranks'!T15,'Momentum Ranks'!$B15:$U15,0)&lt;='Strategy Settings'!$B$7,'Return Data'!T29,0)+IF(RANK.EQ('Momentum Ranks'!U15,'Momentum Ranks'!$B15:$U15,0)&lt;='Strategy Settings'!$B$7,'Return Data'!U29,0))/'Strategy Settings'!$B$7</x:f>
        <x:v>-0.09101379543001961</x:v>
      </x:c>
      <x:c r="C15" s="26" t="n">
        <x:f>1-(IF(AND(RANK.EQ('Momentum Ranks'!B15,'Momentum Ranks'!$B15:$U15,0)&lt;='Strategy Settings'!$B$7,RANK.EQ('Momentum Ranks'!B14,'Momentum Ranks'!$B14:$U14,0)&lt;='Strategy Settings'!$B$7),1,0)+IF(AND(RANK.EQ('Momentum Ranks'!C15,'Momentum Ranks'!$B15:$U15,0)&lt;='Strategy Settings'!$B$7,RANK.EQ('Momentum Ranks'!C14,'Momentum Ranks'!$B14:$U14,0)&lt;='Strategy Settings'!$B$7),1,0)+IF(AND(RANK.EQ('Momentum Ranks'!D15,'Momentum Ranks'!$B15:$U15,0)&lt;='Strategy Settings'!$B$7,RANK.EQ('Momentum Ranks'!D14,'Momentum Ranks'!$B14:$U14,0)&lt;='Strategy Settings'!$B$7),1,0)+IF(AND(RANK.EQ('Momentum Ranks'!E15,'Momentum Ranks'!$B15:$U15,0)&lt;='Strategy Settings'!$B$7,RANK.EQ('Momentum Ranks'!E14,'Momentum Ranks'!$B14:$U14,0)&lt;='Strategy Settings'!$B$7),1,0)+IF(AND(RANK.EQ('Momentum Ranks'!F15,'Momentum Ranks'!$B15:$U15,0)&lt;='Strategy Settings'!$B$7,RANK.EQ('Momentum Ranks'!F14,'Momentum Ranks'!$B14:$U14,0)&lt;='Strategy Settings'!$B$7),1,0)+IF(AND(RANK.EQ('Momentum Ranks'!G15,'Momentum Ranks'!$B15:$U15,0)&lt;='Strategy Settings'!$B$7,RANK.EQ('Momentum Ranks'!G14,'Momentum Ranks'!$B14:$U14,0)&lt;='Strategy Settings'!$B$7),1,0)+IF(AND(RANK.EQ('Momentum Ranks'!H15,'Momentum Ranks'!$B15:$U15,0)&lt;='Strategy Settings'!$B$7,RANK.EQ('Momentum Ranks'!H14,'Momentum Ranks'!$B14:$U14,0)&lt;='Strategy Settings'!$B$7),1,0)+IF(AND(RANK.EQ('Momentum Ranks'!I15,'Momentum Ranks'!$B15:$U15,0)&lt;='Strategy Settings'!$B$7,RANK.EQ('Momentum Ranks'!I14,'Momentum Ranks'!$B14:$U14,0)&lt;='Strategy Settings'!$B$7),1,0)+IF(AND(RANK.EQ('Momentum Ranks'!J15,'Momentum Ranks'!$B15:$U15,0)&lt;='Strategy Settings'!$B$7,RANK.EQ('Momentum Ranks'!J14,'Momentum Ranks'!$B14:$U14,0)&lt;='Strategy Settings'!$B$7),1,0)+IF(AND(RANK.EQ('Momentum Ranks'!K15,'Momentum Ranks'!$B15:$U15,0)&lt;='Strategy Settings'!$B$7,RANK.EQ('Momentum Ranks'!K14,'Momentum Ranks'!$B14:$U14,0)&lt;='Strategy Settings'!$B$7),1,0)+IF(AND(RANK.EQ('Momentum Ranks'!L15,'Momentum Ranks'!$B15:$U15,0)&lt;='Strategy Settings'!$B$7,RANK.EQ('Momentum Ranks'!L14,'Momentum Ranks'!$B14:$U14,0)&lt;='Strategy Settings'!$B$7),1,0)+IF(AND(RANK.EQ('Momentum Ranks'!M15,'Momentum Ranks'!$B15:$U15,0)&lt;='Strategy Settings'!$B$7,RANK.EQ('Momentum Ranks'!M14,'Momentum Ranks'!$B14:$U14,0)&lt;='Strategy Settings'!$B$7),1,0)+IF(AND(RANK.EQ('Momentum Ranks'!N15,'Momentum Ranks'!$B15:$U15,0)&lt;='Strategy Settings'!$B$7,RANK.EQ('Momentum Ranks'!N14,'Momentum Ranks'!$B14:$U14,0)&lt;='Strategy Settings'!$B$7),1,0)+IF(AND(RANK.EQ('Momentum Ranks'!O15,'Momentum Ranks'!$B15:$U15,0)&lt;='Strategy Settings'!$B$7,RANK.EQ('Momentum Ranks'!O14,'Momentum Ranks'!$B14:$U14,0)&lt;='Strategy Settings'!$B$7),1,0)+IF(AND(RANK.EQ('Momentum Ranks'!P15,'Momentum Ranks'!$B15:$U15,0)&lt;='Strategy Settings'!$B$7,RANK.EQ('Momentum Ranks'!P14,'Momentum Ranks'!$B14:$U14,0)&lt;='Strategy Settings'!$B$7),1,0)+IF(AND(RANK.EQ('Momentum Ranks'!Q15,'Momentum Ranks'!$B15:$U15,0)&lt;='Strategy Settings'!$B$7,RANK.EQ('Momentum Ranks'!Q14,'Momentum Ranks'!$B14:$U14,0)&lt;='Strategy Settings'!$B$7),1,0)+IF(AND(RANK.EQ('Momentum Ranks'!R15,'Momentum Ranks'!$B15:$U15,0)&lt;='Strategy Settings'!$B$7,RANK.EQ('Momentum Ranks'!R14,'Momentum Ranks'!$B14:$U14,0)&lt;='Strategy Settings'!$B$7),1,0)+IF(AND(RANK.EQ('Momentum Ranks'!S15,'Momentum Ranks'!$B15:$U15,0)&lt;='Strategy Settings'!$B$7,RANK.EQ('Momentum Ranks'!S14,'Momentum Ranks'!$B14:$U14,0)&lt;='Strategy Settings'!$B$7),1,0)+IF(AND(RANK.EQ('Momentum Ranks'!T15,'Momentum Ranks'!$B15:$U15,0)&lt;='Strategy Settings'!$B$7,RANK.EQ('Momentum Ranks'!T14,'Momentum Ranks'!$B14:$U14,0)&lt;='Strategy Settings'!$B$7),1,0)+IF(AND(RANK.EQ('Momentum Ranks'!U15,'Momentum Ranks'!$B15:$U15,0)&lt;='Strategy Settings'!$B$7,RANK.EQ('Momentum Ranks'!U14,'Momentum Ranks'!$B14:$U14,0)&lt;='Strategy Settings'!$B$7),1,0))/'Strategy Settings'!$B$7</x:f>
        <x:v>0.25</x:v>
      </x:c>
      <x:c r="D15" s="26" t="n">
        <x:f>C15*'Strategy Settings'!$B$9</x:f>
        <x:v>0.00025</x:v>
      </x:c>
      <x:c r="E15" s="26" t="n">
        <x:f>B15-D15</x:f>
        <x:v>-0.09126379543001961</x:v>
      </x:c>
      <x:c r="F15" s="26" t="n">
        <x:f>'Return Data'!V25</x:f>
        <x:v>0.030751339675280556</x:v>
      </x:c>
      <x:c r="G15" s="26" t="n">
        <x:f>E15-F15</x:f>
        <x:v>-0.12201513510530017</x:v>
      </x:c>
      <x:c r="H15" s="28" t="n">
        <x:f>H14*(1+E15)</x:f>
        <x:v>1.0832314844351438</x:v>
      </x:c>
      <x:c r="I15" s="28" t="n">
        <x:f>I14*(1+F15)</x:f>
        <x:v>1.062676457536691</x:v>
      </x:c>
      <x:c r="J15" s="26" t="n">
        <x:f>H15/MAX($H$4:H15)-1</x:f>
        <x:v>-0.0912637954300195</x:v>
      </x:c>
      <x:c r="K15" s="26" t="n">
        <x:f>I15/MAX($I$4:I15)-1</x:f>
        <x:v>-0.10241029443605998</x:v>
      </x:c>
    </x:row>
    <x:row r="16">
      <x:c r="A16" s="20" t="n">
        <x:f>'Return Data'!A30</x:f>
        <x:v>44499</x:v>
      </x:c>
      <x:c r="B16" s="26" t="n">
        <x:f>(IF(RANK.EQ('Momentum Ranks'!B16,'Momentum Ranks'!$B16:$U16,0)&lt;='Strategy Settings'!$B$7,'Return Data'!B30,0)+IF(RANK.EQ('Momentum Ranks'!C16,'Momentum Ranks'!$B16:$U16,0)&lt;='Strategy Settings'!$B$7,'Return Data'!C30,0)+IF(RANK.EQ('Momentum Ranks'!D16,'Momentum Ranks'!$B16:$U16,0)&lt;='Strategy Settings'!$B$7,'Return Data'!D30,0)+IF(RANK.EQ('Momentum Ranks'!E16,'Momentum Ranks'!$B16:$U16,0)&lt;='Strategy Settings'!$B$7,'Return Data'!E30,0)+IF(RANK.EQ('Momentum Ranks'!F16,'Momentum Ranks'!$B16:$U16,0)&lt;='Strategy Settings'!$B$7,'Return Data'!F30,0)+IF(RANK.EQ('Momentum Ranks'!G16,'Momentum Ranks'!$B16:$U16,0)&lt;='Strategy Settings'!$B$7,'Return Data'!G30,0)+IF(RANK.EQ('Momentum Ranks'!H16,'Momentum Ranks'!$B16:$U16,0)&lt;='Strategy Settings'!$B$7,'Return Data'!H30,0)+IF(RANK.EQ('Momentum Ranks'!I16,'Momentum Ranks'!$B16:$U16,0)&lt;='Strategy Settings'!$B$7,'Return Data'!I30,0)+IF(RANK.EQ('Momentum Ranks'!J16,'Momentum Ranks'!$B16:$U16,0)&lt;='Strategy Settings'!$B$7,'Return Data'!J30,0)+IF(RANK.EQ('Momentum Ranks'!K16,'Momentum Ranks'!$B16:$U16,0)&lt;='Strategy Settings'!$B$7,'Return Data'!K30,0)+IF(RANK.EQ('Momentum Ranks'!L16,'Momentum Ranks'!$B16:$U16,0)&lt;='Strategy Settings'!$B$7,'Return Data'!L30,0)+IF(RANK.EQ('Momentum Ranks'!M16,'Momentum Ranks'!$B16:$U16,0)&lt;='Strategy Settings'!$B$7,'Return Data'!M30,0)+IF(RANK.EQ('Momentum Ranks'!N16,'Momentum Ranks'!$B16:$U16,0)&lt;='Strategy Settings'!$B$7,'Return Data'!N30,0)+IF(RANK.EQ('Momentum Ranks'!O16,'Momentum Ranks'!$B16:$U16,0)&lt;='Strategy Settings'!$B$7,'Return Data'!O30,0)+IF(RANK.EQ('Momentum Ranks'!P16,'Momentum Ranks'!$B16:$U16,0)&lt;='Strategy Settings'!$B$7,'Return Data'!P30,0)+IF(RANK.EQ('Momentum Ranks'!Q16,'Momentum Ranks'!$B16:$U16,0)&lt;='Strategy Settings'!$B$7,'Return Data'!Q30,0)+IF(RANK.EQ('Momentum Ranks'!R16,'Momentum Ranks'!$B16:$U16,0)&lt;='Strategy Settings'!$B$7,'Return Data'!R30,0)+IF(RANK.EQ('Momentum Ranks'!S16,'Momentum Ranks'!$B16:$U16,0)&lt;='Strategy Settings'!$B$7,'Return Data'!S30,0)+IF(RANK.EQ('Momentum Ranks'!T16,'Momentum Ranks'!$B16:$U16,0)&lt;='Strategy Settings'!$B$7,'Return Data'!T30,0)+IF(RANK.EQ('Momentum Ranks'!U16,'Momentum Ranks'!$B16:$U16,0)&lt;='Strategy Settings'!$B$7,'Return Data'!U30,0))/'Strategy Settings'!$B$7</x:f>
        <x:v>0.13816934991068502</x:v>
      </x:c>
      <x:c r="C16" s="26" t="n">
        <x:f>1-(IF(AND(RANK.EQ('Momentum Ranks'!B16,'Momentum Ranks'!$B16:$U16,0)&lt;='Strategy Settings'!$B$7,RANK.EQ('Momentum Ranks'!B15,'Momentum Ranks'!$B15:$U15,0)&lt;='Strategy Settings'!$B$7),1,0)+IF(AND(RANK.EQ('Momentum Ranks'!C16,'Momentum Ranks'!$B16:$U16,0)&lt;='Strategy Settings'!$B$7,RANK.EQ('Momentum Ranks'!C15,'Momentum Ranks'!$B15:$U15,0)&lt;='Strategy Settings'!$B$7),1,0)+IF(AND(RANK.EQ('Momentum Ranks'!D16,'Momentum Ranks'!$B16:$U16,0)&lt;='Strategy Settings'!$B$7,RANK.EQ('Momentum Ranks'!D15,'Momentum Ranks'!$B15:$U15,0)&lt;='Strategy Settings'!$B$7),1,0)+IF(AND(RANK.EQ('Momentum Ranks'!E16,'Momentum Ranks'!$B16:$U16,0)&lt;='Strategy Settings'!$B$7,RANK.EQ('Momentum Ranks'!E15,'Momentum Ranks'!$B15:$U15,0)&lt;='Strategy Settings'!$B$7),1,0)+IF(AND(RANK.EQ('Momentum Ranks'!F16,'Momentum Ranks'!$B16:$U16,0)&lt;='Strategy Settings'!$B$7,RANK.EQ('Momentum Ranks'!F15,'Momentum Ranks'!$B15:$U15,0)&lt;='Strategy Settings'!$B$7),1,0)+IF(AND(RANK.EQ('Momentum Ranks'!G16,'Momentum Ranks'!$B16:$U16,0)&lt;='Strategy Settings'!$B$7,RANK.EQ('Momentum Ranks'!G15,'Momentum Ranks'!$B15:$U15,0)&lt;='Strategy Settings'!$B$7),1,0)+IF(AND(RANK.EQ('Momentum Ranks'!H16,'Momentum Ranks'!$B16:$U16,0)&lt;='Strategy Settings'!$B$7,RANK.EQ('Momentum Ranks'!H15,'Momentum Ranks'!$B15:$U15,0)&lt;='Strategy Settings'!$B$7),1,0)+IF(AND(RANK.EQ('Momentum Ranks'!I16,'Momentum Ranks'!$B16:$U16,0)&lt;='Strategy Settings'!$B$7,RANK.EQ('Momentum Ranks'!I15,'Momentum Ranks'!$B15:$U15,0)&lt;='Strategy Settings'!$B$7),1,0)+IF(AND(RANK.EQ('Momentum Ranks'!J16,'Momentum Ranks'!$B16:$U16,0)&lt;='Strategy Settings'!$B$7,RANK.EQ('Momentum Ranks'!J15,'Momentum Ranks'!$B15:$U15,0)&lt;='Strategy Settings'!$B$7),1,0)+IF(AND(RANK.EQ('Momentum Ranks'!K16,'Momentum Ranks'!$B16:$U16,0)&lt;='Strategy Settings'!$B$7,RANK.EQ('Momentum Ranks'!K15,'Momentum Ranks'!$B15:$U15,0)&lt;='Strategy Settings'!$B$7),1,0)+IF(AND(RANK.EQ('Momentum Ranks'!L16,'Momentum Ranks'!$B16:$U16,0)&lt;='Strategy Settings'!$B$7,RANK.EQ('Momentum Ranks'!L15,'Momentum Ranks'!$B15:$U15,0)&lt;='Strategy Settings'!$B$7),1,0)+IF(AND(RANK.EQ('Momentum Ranks'!M16,'Momentum Ranks'!$B16:$U16,0)&lt;='Strategy Settings'!$B$7,RANK.EQ('Momentum Ranks'!M15,'Momentum Ranks'!$B15:$U15,0)&lt;='Strategy Settings'!$B$7),1,0)+IF(AND(RANK.EQ('Momentum Ranks'!N16,'Momentum Ranks'!$B16:$U16,0)&lt;='Strategy Settings'!$B$7,RANK.EQ('Momentum Ranks'!N15,'Momentum Ranks'!$B15:$U15,0)&lt;='Strategy Settings'!$B$7),1,0)+IF(AND(RANK.EQ('Momentum Ranks'!O16,'Momentum Ranks'!$B16:$U16,0)&lt;='Strategy Settings'!$B$7,RANK.EQ('Momentum Ranks'!O15,'Momentum Ranks'!$B15:$U15,0)&lt;='Strategy Settings'!$B$7),1,0)+IF(AND(RANK.EQ('Momentum Ranks'!P16,'Momentum Ranks'!$B16:$U16,0)&lt;='Strategy Settings'!$B$7,RANK.EQ('Momentum Ranks'!P15,'Momentum Ranks'!$B15:$U15,0)&lt;='Strategy Settings'!$B$7),1,0)+IF(AND(RANK.EQ('Momentum Ranks'!Q16,'Momentum Ranks'!$B16:$U16,0)&lt;='Strategy Settings'!$B$7,RANK.EQ('Momentum Ranks'!Q15,'Momentum Ranks'!$B15:$U15,0)&lt;='Strategy Settings'!$B$7),1,0)+IF(AND(RANK.EQ('Momentum Ranks'!R16,'Momentum Ranks'!$B16:$U16,0)&lt;='Strategy Settings'!$B$7,RANK.EQ('Momentum Ranks'!R15,'Momentum Ranks'!$B15:$U15,0)&lt;='Strategy Settings'!$B$7),1,0)+IF(AND(RANK.EQ('Momentum Ranks'!S16,'Momentum Ranks'!$B16:$U16,0)&lt;='Strategy Settings'!$B$7,RANK.EQ('Momentum Ranks'!S15,'Momentum Ranks'!$B15:$U15,0)&lt;='Strategy Settings'!$B$7),1,0)+IF(AND(RANK.EQ('Momentum Ranks'!T16,'Momentum Ranks'!$B16:$U16,0)&lt;='Strategy Settings'!$B$7,RANK.EQ('Momentum Ranks'!T15,'Momentum Ranks'!$B15:$U15,0)&lt;='Strategy Settings'!$B$7),1,0)+IF(AND(RANK.EQ('Momentum Ranks'!U16,'Momentum Ranks'!$B16:$U16,0)&lt;='Strategy Settings'!$B$7,RANK.EQ('Momentum Ranks'!U15,'Momentum Ranks'!$B15:$U15,0)&lt;='Strategy Settings'!$B$7),1,0))/'Strategy Settings'!$B$7</x:f>
        <x:v>0</x:v>
      </x:c>
      <x:c r="D16" s="26" t="n">
        <x:f>C16*'Strategy Settings'!$B$9</x:f>
        <x:v>0</x:v>
      </x:c>
      <x:c r="E16" s="26" t="n">
        <x:f>B16-D16</x:f>
        <x:v>0.13816934991068502</x:v>
      </x:c>
      <x:c r="F16" s="26" t="n">
        <x:f>'Return Data'!V26</x:f>
        <x:v>0.027167743020776625</x:v>
      </x:c>
      <x:c r="G16" s="26" t="n">
        <x:f>E16-F16</x:f>
        <x:v>0.1110016068899084</x:v>
      </x:c>
      <x:c r="H16" s="28" t="n">
        <x:f>H15*(1+E16)</x:f>
        <x:v>1.232900874442334</x:v>
      </x:c>
      <x:c r="I16" s="28" t="n">
        <x:f>I15*(1+F16)</x:f>
        <x:v>1.091546978449277</x:v>
      </x:c>
      <x:c r="J16" s="26" t="n">
        <x:f>H16/MAX($H$4:H16)-1</x:f>
        <x:v>0</x:v>
      </x:c>
      <x:c r="K16" s="26" t="n">
        <x:f>I16/MAX($I$4:I16)-1</x:f>
        <x:v>-0.07802480797720435</x:v>
      </x:c>
    </x:row>
    <x:row r="17">
      <x:c r="A17" s="20" t="n">
        <x:f>'Return Data'!A31</x:f>
        <x:v>44530</x:v>
      </x:c>
      <x:c r="B17" s="26" t="n">
        <x:f>(IF(RANK.EQ('Momentum Ranks'!B17,'Momentum Ranks'!$B17:$U17,0)&lt;='Strategy Settings'!$B$7,'Return Data'!B31,0)+IF(RANK.EQ('Momentum Ranks'!C17,'Momentum Ranks'!$B17:$U17,0)&lt;='Strategy Settings'!$B$7,'Return Data'!C31,0)+IF(RANK.EQ('Momentum Ranks'!D17,'Momentum Ranks'!$B17:$U17,0)&lt;='Strategy Settings'!$B$7,'Return Data'!D31,0)+IF(RANK.EQ('Momentum Ranks'!E17,'Momentum Ranks'!$B17:$U17,0)&lt;='Strategy Settings'!$B$7,'Return Data'!E31,0)+IF(RANK.EQ('Momentum Ranks'!F17,'Momentum Ranks'!$B17:$U17,0)&lt;='Strategy Settings'!$B$7,'Return Data'!F31,0)+IF(RANK.EQ('Momentum Ranks'!G17,'Momentum Ranks'!$B17:$U17,0)&lt;='Strategy Settings'!$B$7,'Return Data'!G31,0)+IF(RANK.EQ('Momentum Ranks'!H17,'Momentum Ranks'!$B17:$U17,0)&lt;='Strategy Settings'!$B$7,'Return Data'!H31,0)+IF(RANK.EQ('Momentum Ranks'!I17,'Momentum Ranks'!$B17:$U17,0)&lt;='Strategy Settings'!$B$7,'Return Data'!I31,0)+IF(RANK.EQ('Momentum Ranks'!J17,'Momentum Ranks'!$B17:$U17,0)&lt;='Strategy Settings'!$B$7,'Return Data'!J31,0)+IF(RANK.EQ('Momentum Ranks'!K17,'Momentum Ranks'!$B17:$U17,0)&lt;='Strategy Settings'!$B$7,'Return Data'!K31,0)+IF(RANK.EQ('Momentum Ranks'!L17,'Momentum Ranks'!$B17:$U17,0)&lt;='Strategy Settings'!$B$7,'Return Data'!L31,0)+IF(RANK.EQ('Momentum Ranks'!M17,'Momentum Ranks'!$B17:$U17,0)&lt;='Strategy Settings'!$B$7,'Return Data'!M31,0)+IF(RANK.EQ('Momentum Ranks'!N17,'Momentum Ranks'!$B17:$U17,0)&lt;='Strategy Settings'!$B$7,'Return Data'!N31,0)+IF(RANK.EQ('Momentum Ranks'!O17,'Momentum Ranks'!$B17:$U17,0)&lt;='Strategy Settings'!$B$7,'Return Data'!O31,0)+IF(RANK.EQ('Momentum Ranks'!P17,'Momentum Ranks'!$B17:$U17,0)&lt;='Strategy Settings'!$B$7,'Return Data'!P31,0)+IF(RANK.EQ('Momentum Ranks'!Q17,'Momentum Ranks'!$B17:$U17,0)&lt;='Strategy Settings'!$B$7,'Return Data'!Q31,0)+IF(RANK.EQ('Momentum Ranks'!R17,'Momentum Ranks'!$B17:$U17,0)&lt;='Strategy Settings'!$B$7,'Return Data'!R31,0)+IF(RANK.EQ('Momentum Ranks'!S17,'Momentum Ranks'!$B17:$U17,0)&lt;='Strategy Settings'!$B$7,'Return Data'!S31,0)+IF(RANK.EQ('Momentum Ranks'!T17,'Momentum Ranks'!$B17:$U17,0)&lt;='Strategy Settings'!$B$7,'Return Data'!T31,0)+IF(RANK.EQ('Momentum Ranks'!U17,'Momentum Ranks'!$B17:$U17,0)&lt;='Strategy Settings'!$B$7,'Return Data'!U31,0))/'Strategy Settings'!$B$7</x:f>
        <x:v>0.07715968690629316</x:v>
      </x:c>
      <x:c r="C17" s="26" t="n">
        <x:f>1-(IF(AND(RANK.EQ('Momentum Ranks'!B17,'Momentum Ranks'!$B17:$U17,0)&lt;='Strategy Settings'!$B$7,RANK.EQ('Momentum Ranks'!B16,'Momentum Ranks'!$B16:$U16,0)&lt;='Strategy Settings'!$B$7),1,0)+IF(AND(RANK.EQ('Momentum Ranks'!C17,'Momentum Ranks'!$B17:$U17,0)&lt;='Strategy Settings'!$B$7,RANK.EQ('Momentum Ranks'!C16,'Momentum Ranks'!$B16:$U16,0)&lt;='Strategy Settings'!$B$7),1,0)+IF(AND(RANK.EQ('Momentum Ranks'!D17,'Momentum Ranks'!$B17:$U17,0)&lt;='Strategy Settings'!$B$7,RANK.EQ('Momentum Ranks'!D16,'Momentum Ranks'!$B16:$U16,0)&lt;='Strategy Settings'!$B$7),1,0)+IF(AND(RANK.EQ('Momentum Ranks'!E17,'Momentum Ranks'!$B17:$U17,0)&lt;='Strategy Settings'!$B$7,RANK.EQ('Momentum Ranks'!E16,'Momentum Ranks'!$B16:$U16,0)&lt;='Strategy Settings'!$B$7),1,0)+IF(AND(RANK.EQ('Momentum Ranks'!F17,'Momentum Ranks'!$B17:$U17,0)&lt;='Strategy Settings'!$B$7,RANK.EQ('Momentum Ranks'!F16,'Momentum Ranks'!$B16:$U16,0)&lt;='Strategy Settings'!$B$7),1,0)+IF(AND(RANK.EQ('Momentum Ranks'!G17,'Momentum Ranks'!$B17:$U17,0)&lt;='Strategy Settings'!$B$7,RANK.EQ('Momentum Ranks'!G16,'Momentum Ranks'!$B16:$U16,0)&lt;='Strategy Settings'!$B$7),1,0)+IF(AND(RANK.EQ('Momentum Ranks'!H17,'Momentum Ranks'!$B17:$U17,0)&lt;='Strategy Settings'!$B$7,RANK.EQ('Momentum Ranks'!H16,'Momentum Ranks'!$B16:$U16,0)&lt;='Strategy Settings'!$B$7),1,0)+IF(AND(RANK.EQ('Momentum Ranks'!I17,'Momentum Ranks'!$B17:$U17,0)&lt;='Strategy Settings'!$B$7,RANK.EQ('Momentum Ranks'!I16,'Momentum Ranks'!$B16:$U16,0)&lt;='Strategy Settings'!$B$7),1,0)+IF(AND(RANK.EQ('Momentum Ranks'!J17,'Momentum Ranks'!$B17:$U17,0)&lt;='Strategy Settings'!$B$7,RANK.EQ('Momentum Ranks'!J16,'Momentum Ranks'!$B16:$U16,0)&lt;='Strategy Settings'!$B$7),1,0)+IF(AND(RANK.EQ('Momentum Ranks'!K17,'Momentum Ranks'!$B17:$U17,0)&lt;='Strategy Settings'!$B$7,RANK.EQ('Momentum Ranks'!K16,'Momentum Ranks'!$B16:$U16,0)&lt;='Strategy Settings'!$B$7),1,0)+IF(AND(RANK.EQ('Momentum Ranks'!L17,'Momentum Ranks'!$B17:$U17,0)&lt;='Strategy Settings'!$B$7,RANK.EQ('Momentum Ranks'!L16,'Momentum Ranks'!$B16:$U16,0)&lt;='Strategy Settings'!$B$7),1,0)+IF(AND(RANK.EQ('Momentum Ranks'!M17,'Momentum Ranks'!$B17:$U17,0)&lt;='Strategy Settings'!$B$7,RANK.EQ('Momentum Ranks'!M16,'Momentum Ranks'!$B16:$U16,0)&lt;='Strategy Settings'!$B$7),1,0)+IF(AND(RANK.EQ('Momentum Ranks'!N17,'Momentum Ranks'!$B17:$U17,0)&lt;='Strategy Settings'!$B$7,RANK.EQ('Momentum Ranks'!N16,'Momentum Ranks'!$B16:$U16,0)&lt;='Strategy Settings'!$B$7),1,0)+IF(AND(RANK.EQ('Momentum Ranks'!O17,'Momentum Ranks'!$B17:$U17,0)&lt;='Strategy Settings'!$B$7,RANK.EQ('Momentum Ranks'!O16,'Momentum Ranks'!$B16:$U16,0)&lt;='Strategy Settings'!$B$7),1,0)+IF(AND(RANK.EQ('Momentum Ranks'!P17,'Momentum Ranks'!$B17:$U17,0)&lt;='Strategy Settings'!$B$7,RANK.EQ('Momentum Ranks'!P16,'Momentum Ranks'!$B16:$U16,0)&lt;='Strategy Settings'!$B$7),1,0)+IF(AND(RANK.EQ('Momentum Ranks'!Q17,'Momentum Ranks'!$B17:$U17,0)&lt;='Strategy Settings'!$B$7,RANK.EQ('Momentum Ranks'!Q16,'Momentum Ranks'!$B16:$U16,0)&lt;='Strategy Settings'!$B$7),1,0)+IF(AND(RANK.EQ('Momentum Ranks'!R17,'Momentum Ranks'!$B17:$U17,0)&lt;='Strategy Settings'!$B$7,RANK.EQ('Momentum Ranks'!R16,'Momentum Ranks'!$B16:$U16,0)&lt;='Strategy Settings'!$B$7),1,0)+IF(AND(RANK.EQ('Momentum Ranks'!S17,'Momentum Ranks'!$B17:$U17,0)&lt;='Strategy Settings'!$B$7,RANK.EQ('Momentum Ranks'!S16,'Momentum Ranks'!$B16:$U16,0)&lt;='Strategy Settings'!$B$7),1,0)+IF(AND(RANK.EQ('Momentum Ranks'!T17,'Momentum Ranks'!$B17:$U17,0)&lt;='Strategy Settings'!$B$7,RANK.EQ('Momentum Ranks'!T16,'Momentum Ranks'!$B16:$U16,0)&lt;='Strategy Settings'!$B$7),1,0)+IF(AND(RANK.EQ('Momentum Ranks'!U17,'Momentum Ranks'!$B17:$U17,0)&lt;='Strategy Settings'!$B$7,RANK.EQ('Momentum Ranks'!U16,'Momentum Ranks'!$B16:$U16,0)&lt;='Strategy Settings'!$B$7),1,0))/'Strategy Settings'!$B$7</x:f>
        <x:v>0</x:v>
      </x:c>
      <x:c r="D17" s="26" t="n">
        <x:f>C17*'Strategy Settings'!$B$9</x:f>
        <x:v>0</x:v>
      </x:c>
      <x:c r="E17" s="26" t="n">
        <x:f>B17-D17</x:f>
        <x:v>0.07715968690629316</x:v>
      </x:c>
      <x:c r="F17" s="26" t="n">
        <x:f>'Return Data'!V27</x:f>
        <x:v>0.056272558194525354</x:v>
      </x:c>
      <x:c r="G17" s="26" t="n">
        <x:f>E17-F17</x:f>
        <x:v>0.020887128711767802</x:v>
      </x:c>
      <x:c r="H17" s="28" t="n">
        <x:f>H16*(1+E17)</x:f>
        <x:v>1.3280311199007995</x:v>
      </x:c>
      <x:c r="I17" s="28" t="n">
        <x:f>I16*(1+F17)</x:f>
        <x:v>1.1529711193161223</x:v>
      </x:c>
      <x:c r="J17" s="26" t="n">
        <x:f>H17/MAX($H$4:H17)-1</x:f>
        <x:v>0</x:v>
      </x:c>
      <x:c r="K17" s="26" t="n">
        <x:f>I17/MAX($I$4:I17)-1</x:f>
        <x:v>-0.026142905330192923</x:v>
      </x:c>
    </x:row>
    <x:row r="18">
      <x:c r="A18" s="20" t="n">
        <x:f>'Return Data'!A32</x:f>
        <x:v>44560</x:v>
      </x:c>
      <x:c r="B18" s="26" t="n">
        <x:f>(IF(RANK.EQ('Momentum Ranks'!B18,'Momentum Ranks'!$B18:$U18,0)&lt;='Strategy Settings'!$B$7,'Return Data'!B32,0)+IF(RANK.EQ('Momentum Ranks'!C18,'Momentum Ranks'!$B18:$U18,0)&lt;='Strategy Settings'!$B$7,'Return Data'!C32,0)+IF(RANK.EQ('Momentum Ranks'!D18,'Momentum Ranks'!$B18:$U18,0)&lt;='Strategy Settings'!$B$7,'Return Data'!D32,0)+IF(RANK.EQ('Momentum Ranks'!E18,'Momentum Ranks'!$B18:$U18,0)&lt;='Strategy Settings'!$B$7,'Return Data'!E32,0)+IF(RANK.EQ('Momentum Ranks'!F18,'Momentum Ranks'!$B18:$U18,0)&lt;='Strategy Settings'!$B$7,'Return Data'!F32,0)+IF(RANK.EQ('Momentum Ranks'!G18,'Momentum Ranks'!$B18:$U18,0)&lt;='Strategy Settings'!$B$7,'Return Data'!G32,0)+IF(RANK.EQ('Momentum Ranks'!H18,'Momentum Ranks'!$B18:$U18,0)&lt;='Strategy Settings'!$B$7,'Return Data'!H32,0)+IF(RANK.EQ('Momentum Ranks'!I18,'Momentum Ranks'!$B18:$U18,0)&lt;='Strategy Settings'!$B$7,'Return Data'!I32,0)+IF(RANK.EQ('Momentum Ranks'!J18,'Momentum Ranks'!$B18:$U18,0)&lt;='Strategy Settings'!$B$7,'Return Data'!J32,0)+IF(RANK.EQ('Momentum Ranks'!K18,'Momentum Ranks'!$B18:$U18,0)&lt;='Strategy Settings'!$B$7,'Return Data'!K32,0)+IF(RANK.EQ('Momentum Ranks'!L18,'Momentum Ranks'!$B18:$U18,0)&lt;='Strategy Settings'!$B$7,'Return Data'!L32,0)+IF(RANK.EQ('Momentum Ranks'!M18,'Momentum Ranks'!$B18:$U18,0)&lt;='Strategy Settings'!$B$7,'Return Data'!M32,0)+IF(RANK.EQ('Momentum Ranks'!N18,'Momentum Ranks'!$B18:$U18,0)&lt;='Strategy Settings'!$B$7,'Return Data'!N32,0)+IF(RANK.EQ('Momentum Ranks'!O18,'Momentum Ranks'!$B18:$U18,0)&lt;='Strategy Settings'!$B$7,'Return Data'!O32,0)+IF(RANK.EQ('Momentum Ranks'!P18,'Momentum Ranks'!$B18:$U18,0)&lt;='Strategy Settings'!$B$7,'Return Data'!P32,0)+IF(RANK.EQ('Momentum Ranks'!Q18,'Momentum Ranks'!$B18:$U18,0)&lt;='Strategy Settings'!$B$7,'Return Data'!Q32,0)+IF(RANK.EQ('Momentum Ranks'!R18,'Momentum Ranks'!$B18:$U18,0)&lt;='Strategy Settings'!$B$7,'Return Data'!R32,0)+IF(RANK.EQ('Momentum Ranks'!S18,'Momentum Ranks'!$B18:$U18,0)&lt;='Strategy Settings'!$B$7,'Return Data'!S32,0)+IF(RANK.EQ('Momentum Ranks'!T18,'Momentum Ranks'!$B18:$U18,0)&lt;='Strategy Settings'!$B$7,'Return Data'!T32,0)+IF(RANK.EQ('Momentum Ranks'!U18,'Momentum Ranks'!$B18:$U18,0)&lt;='Strategy Settings'!$B$7,'Return Data'!U32,0))/'Strategy Settings'!$B$7</x:f>
        <x:v>0.04038384685865121</x:v>
      </x:c>
      <x:c r="C18" s="26" t="n">
        <x:f>1-(IF(AND(RANK.EQ('Momentum Ranks'!B18,'Momentum Ranks'!$B18:$U18,0)&lt;='Strategy Settings'!$B$7,RANK.EQ('Momentum Ranks'!B17,'Momentum Ranks'!$B17:$U17,0)&lt;='Strategy Settings'!$B$7),1,0)+IF(AND(RANK.EQ('Momentum Ranks'!C18,'Momentum Ranks'!$B18:$U18,0)&lt;='Strategy Settings'!$B$7,RANK.EQ('Momentum Ranks'!C17,'Momentum Ranks'!$B17:$U17,0)&lt;='Strategy Settings'!$B$7),1,0)+IF(AND(RANK.EQ('Momentum Ranks'!D18,'Momentum Ranks'!$B18:$U18,0)&lt;='Strategy Settings'!$B$7,RANK.EQ('Momentum Ranks'!D17,'Momentum Ranks'!$B17:$U17,0)&lt;='Strategy Settings'!$B$7),1,0)+IF(AND(RANK.EQ('Momentum Ranks'!E18,'Momentum Ranks'!$B18:$U18,0)&lt;='Strategy Settings'!$B$7,RANK.EQ('Momentum Ranks'!E17,'Momentum Ranks'!$B17:$U17,0)&lt;='Strategy Settings'!$B$7),1,0)+IF(AND(RANK.EQ('Momentum Ranks'!F18,'Momentum Ranks'!$B18:$U18,0)&lt;='Strategy Settings'!$B$7,RANK.EQ('Momentum Ranks'!F17,'Momentum Ranks'!$B17:$U17,0)&lt;='Strategy Settings'!$B$7),1,0)+IF(AND(RANK.EQ('Momentum Ranks'!G18,'Momentum Ranks'!$B18:$U18,0)&lt;='Strategy Settings'!$B$7,RANK.EQ('Momentum Ranks'!G17,'Momentum Ranks'!$B17:$U17,0)&lt;='Strategy Settings'!$B$7),1,0)+IF(AND(RANK.EQ('Momentum Ranks'!H18,'Momentum Ranks'!$B18:$U18,0)&lt;='Strategy Settings'!$B$7,RANK.EQ('Momentum Ranks'!H17,'Momentum Ranks'!$B17:$U17,0)&lt;='Strategy Settings'!$B$7),1,0)+IF(AND(RANK.EQ('Momentum Ranks'!I18,'Momentum Ranks'!$B18:$U18,0)&lt;='Strategy Settings'!$B$7,RANK.EQ('Momentum Ranks'!I17,'Momentum Ranks'!$B17:$U17,0)&lt;='Strategy Settings'!$B$7),1,0)+IF(AND(RANK.EQ('Momentum Ranks'!J18,'Momentum Ranks'!$B18:$U18,0)&lt;='Strategy Settings'!$B$7,RANK.EQ('Momentum Ranks'!J17,'Momentum Ranks'!$B17:$U17,0)&lt;='Strategy Settings'!$B$7),1,0)+IF(AND(RANK.EQ('Momentum Ranks'!K18,'Momentum Ranks'!$B18:$U18,0)&lt;='Strategy Settings'!$B$7,RANK.EQ('Momentum Ranks'!K17,'Momentum Ranks'!$B17:$U17,0)&lt;='Strategy Settings'!$B$7),1,0)+IF(AND(RANK.EQ('Momentum Ranks'!L18,'Momentum Ranks'!$B18:$U18,0)&lt;='Strategy Settings'!$B$7,RANK.EQ('Momentum Ranks'!L17,'Momentum Ranks'!$B17:$U17,0)&lt;='Strategy Settings'!$B$7),1,0)+IF(AND(RANK.EQ('Momentum Ranks'!M18,'Momentum Ranks'!$B18:$U18,0)&lt;='Strategy Settings'!$B$7,RANK.EQ('Momentum Ranks'!M17,'Momentum Ranks'!$B17:$U17,0)&lt;='Strategy Settings'!$B$7),1,0)+IF(AND(RANK.EQ('Momentum Ranks'!N18,'Momentum Ranks'!$B18:$U18,0)&lt;='Strategy Settings'!$B$7,RANK.EQ('Momentum Ranks'!N17,'Momentum Ranks'!$B17:$U17,0)&lt;='Strategy Settings'!$B$7),1,0)+IF(AND(RANK.EQ('Momentum Ranks'!O18,'Momentum Ranks'!$B18:$U18,0)&lt;='Strategy Settings'!$B$7,RANK.EQ('Momentum Ranks'!O17,'Momentum Ranks'!$B17:$U17,0)&lt;='Strategy Settings'!$B$7),1,0)+IF(AND(RANK.EQ('Momentum Ranks'!P18,'Momentum Ranks'!$B18:$U18,0)&lt;='Strategy Settings'!$B$7,RANK.EQ('Momentum Ranks'!P17,'Momentum Ranks'!$B17:$U17,0)&lt;='Strategy Settings'!$B$7),1,0)+IF(AND(RANK.EQ('Momentum Ranks'!Q18,'Momentum Ranks'!$B18:$U18,0)&lt;='Strategy Settings'!$B$7,RANK.EQ('Momentum Ranks'!Q17,'Momentum Ranks'!$B17:$U17,0)&lt;='Strategy Settings'!$B$7),1,0)+IF(AND(RANK.EQ('Momentum Ranks'!R18,'Momentum Ranks'!$B18:$U18,0)&lt;='Strategy Settings'!$B$7,RANK.EQ('Momentum Ranks'!R17,'Momentum Ranks'!$B17:$U17,0)&lt;='Strategy Settings'!$B$7),1,0)+IF(AND(RANK.EQ('Momentum Ranks'!S18,'Momentum Ranks'!$B18:$U18,0)&lt;='Strategy Settings'!$B$7,RANK.EQ('Momentum Ranks'!S17,'Momentum Ranks'!$B17:$U17,0)&lt;='Strategy Settings'!$B$7),1,0)+IF(AND(RANK.EQ('Momentum Ranks'!T18,'Momentum Ranks'!$B18:$U18,0)&lt;='Strategy Settings'!$B$7,RANK.EQ('Momentum Ranks'!T17,'Momentum Ranks'!$B17:$U17,0)&lt;='Strategy Settings'!$B$7),1,0)+IF(AND(RANK.EQ('Momentum Ranks'!U18,'Momentum Ranks'!$B18:$U18,0)&lt;='Strategy Settings'!$B$7,RANK.EQ('Momentum Ranks'!U17,'Momentum Ranks'!$B17:$U17,0)&lt;='Strategy Settings'!$B$7),1,0))/'Strategy Settings'!$B$7</x:f>
        <x:v>0.25</x:v>
      </x:c>
      <x:c r="D18" s="26" t="n">
        <x:f>C18*'Strategy Settings'!$B$9</x:f>
        <x:v>0.00025</x:v>
      </x:c>
      <x:c r="E18" s="26" t="n">
        <x:f>B18-D18</x:f>
        <x:v>0.040133846858651206</x:v>
      </x:c>
      <x:c r="F18" s="26" t="n">
        <x:f>'Return Data'!V28</x:f>
        <x:v>0.04003994237774378</x:v>
      </x:c>
      <x:c r="G18" s="26" t="n">
        <x:f>E18-F18</x:f>
        <x:v>0.00009390448090742382</x:v>
      </x:c>
      <x:c r="H18" s="28" t="n">
        <x:f>H17*(1+E18)</x:f>
        <x:v>1.3813301174904211</x:v>
      </x:c>
      <x:c r="I18" s="28" t="n">
        <x:f>I17*(1+F18)</x:f>
        <x:v>1.1991360164967426</x:v>
      </x:c>
      <x:c r="J18" s="26" t="n">
        <x:f>H18/MAX($H$4:H18)-1</x:f>
        <x:v>0</x:v>
      </x:c>
      <x:c r="K18" s="26" t="n">
        <x:f>I18/MAX($I$4:I18)-1</x:f>
        <x:v>0</x:v>
      </x:c>
    </x:row>
    <x:row r="19">
      <x:c r="A19" s="20" t="n">
        <x:f>'Return Data'!A33</x:f>
        <x:v>44591</x:v>
      </x:c>
      <x:c r="B19" s="26" t="n">
        <x:f>(IF(RANK.EQ('Momentum Ranks'!B19,'Momentum Ranks'!$B19:$U19,0)&lt;='Strategy Settings'!$B$7,'Return Data'!B33,0)+IF(RANK.EQ('Momentum Ranks'!C19,'Momentum Ranks'!$B19:$U19,0)&lt;='Strategy Settings'!$B$7,'Return Data'!C33,0)+IF(RANK.EQ('Momentum Ranks'!D19,'Momentum Ranks'!$B19:$U19,0)&lt;='Strategy Settings'!$B$7,'Return Data'!D33,0)+IF(RANK.EQ('Momentum Ranks'!E19,'Momentum Ranks'!$B19:$U19,0)&lt;='Strategy Settings'!$B$7,'Return Data'!E33,0)+IF(RANK.EQ('Momentum Ranks'!F19,'Momentum Ranks'!$B19:$U19,0)&lt;='Strategy Settings'!$B$7,'Return Data'!F33,0)+IF(RANK.EQ('Momentum Ranks'!G19,'Momentum Ranks'!$B19:$U19,0)&lt;='Strategy Settings'!$B$7,'Return Data'!G33,0)+IF(RANK.EQ('Momentum Ranks'!H19,'Momentum Ranks'!$B19:$U19,0)&lt;='Strategy Settings'!$B$7,'Return Data'!H33,0)+IF(RANK.EQ('Momentum Ranks'!I19,'Momentum Ranks'!$B19:$U19,0)&lt;='Strategy Settings'!$B$7,'Return Data'!I33,0)+IF(RANK.EQ('Momentum Ranks'!J19,'Momentum Ranks'!$B19:$U19,0)&lt;='Strategy Settings'!$B$7,'Return Data'!J33,0)+IF(RANK.EQ('Momentum Ranks'!K19,'Momentum Ranks'!$B19:$U19,0)&lt;='Strategy Settings'!$B$7,'Return Data'!K33,0)+IF(RANK.EQ('Momentum Ranks'!L19,'Momentum Ranks'!$B19:$U19,0)&lt;='Strategy Settings'!$B$7,'Return Data'!L33,0)+IF(RANK.EQ('Momentum Ranks'!M19,'Momentum Ranks'!$B19:$U19,0)&lt;='Strategy Settings'!$B$7,'Return Data'!M33,0)+IF(RANK.EQ('Momentum Ranks'!N19,'Momentum Ranks'!$B19:$U19,0)&lt;='Strategy Settings'!$B$7,'Return Data'!N33,0)+IF(RANK.EQ('Momentum Ranks'!O19,'Momentum Ranks'!$B19:$U19,0)&lt;='Strategy Settings'!$B$7,'Return Data'!O33,0)+IF(RANK.EQ('Momentum Ranks'!P19,'Momentum Ranks'!$B19:$U19,0)&lt;='Strategy Settings'!$B$7,'Return Data'!P33,0)+IF(RANK.EQ('Momentum Ranks'!Q19,'Momentum Ranks'!$B19:$U19,0)&lt;='Strategy Settings'!$B$7,'Return Data'!Q33,0)+IF(RANK.EQ('Momentum Ranks'!R19,'Momentum Ranks'!$B19:$U19,0)&lt;='Strategy Settings'!$B$7,'Return Data'!R33,0)+IF(RANK.EQ('Momentum Ranks'!S19,'Momentum Ranks'!$B19:$U19,0)&lt;='Strategy Settings'!$B$7,'Return Data'!S33,0)+IF(RANK.EQ('Momentum Ranks'!T19,'Momentum Ranks'!$B19:$U19,0)&lt;='Strategy Settings'!$B$7,'Return Data'!T33,0)+IF(RANK.EQ('Momentum Ranks'!U19,'Momentum Ranks'!$B19:$U19,0)&lt;='Strategy Settings'!$B$7,'Return Data'!U33,0))/'Strategy Settings'!$B$7</x:f>
        <x:v>-0.04568882349903954</x:v>
      </x:c>
      <x:c r="C19" s="26" t="n">
        <x:f>1-(IF(AND(RANK.EQ('Momentum Ranks'!B19,'Momentum Ranks'!$B19:$U19,0)&lt;='Strategy Settings'!$B$7,RANK.EQ('Momentum Ranks'!B18,'Momentum Ranks'!$B18:$U18,0)&lt;='Strategy Settings'!$B$7),1,0)+IF(AND(RANK.EQ('Momentum Ranks'!C19,'Momentum Ranks'!$B19:$U19,0)&lt;='Strategy Settings'!$B$7,RANK.EQ('Momentum Ranks'!C18,'Momentum Ranks'!$B18:$U18,0)&lt;='Strategy Settings'!$B$7),1,0)+IF(AND(RANK.EQ('Momentum Ranks'!D19,'Momentum Ranks'!$B19:$U19,0)&lt;='Strategy Settings'!$B$7,RANK.EQ('Momentum Ranks'!D18,'Momentum Ranks'!$B18:$U18,0)&lt;='Strategy Settings'!$B$7),1,0)+IF(AND(RANK.EQ('Momentum Ranks'!E19,'Momentum Ranks'!$B19:$U19,0)&lt;='Strategy Settings'!$B$7,RANK.EQ('Momentum Ranks'!E18,'Momentum Ranks'!$B18:$U18,0)&lt;='Strategy Settings'!$B$7),1,0)+IF(AND(RANK.EQ('Momentum Ranks'!F19,'Momentum Ranks'!$B19:$U19,0)&lt;='Strategy Settings'!$B$7,RANK.EQ('Momentum Ranks'!F18,'Momentum Ranks'!$B18:$U18,0)&lt;='Strategy Settings'!$B$7),1,0)+IF(AND(RANK.EQ('Momentum Ranks'!G19,'Momentum Ranks'!$B19:$U19,0)&lt;='Strategy Settings'!$B$7,RANK.EQ('Momentum Ranks'!G18,'Momentum Ranks'!$B18:$U18,0)&lt;='Strategy Settings'!$B$7),1,0)+IF(AND(RANK.EQ('Momentum Ranks'!H19,'Momentum Ranks'!$B19:$U19,0)&lt;='Strategy Settings'!$B$7,RANK.EQ('Momentum Ranks'!H18,'Momentum Ranks'!$B18:$U18,0)&lt;='Strategy Settings'!$B$7),1,0)+IF(AND(RANK.EQ('Momentum Ranks'!I19,'Momentum Ranks'!$B19:$U19,0)&lt;='Strategy Settings'!$B$7,RANK.EQ('Momentum Ranks'!I18,'Momentum Ranks'!$B18:$U18,0)&lt;='Strategy Settings'!$B$7),1,0)+IF(AND(RANK.EQ('Momentum Ranks'!J19,'Momentum Ranks'!$B19:$U19,0)&lt;='Strategy Settings'!$B$7,RANK.EQ('Momentum Ranks'!J18,'Momentum Ranks'!$B18:$U18,0)&lt;='Strategy Settings'!$B$7),1,0)+IF(AND(RANK.EQ('Momentum Ranks'!K19,'Momentum Ranks'!$B19:$U19,0)&lt;='Strategy Settings'!$B$7,RANK.EQ('Momentum Ranks'!K18,'Momentum Ranks'!$B18:$U18,0)&lt;='Strategy Settings'!$B$7),1,0)+IF(AND(RANK.EQ('Momentum Ranks'!L19,'Momentum Ranks'!$B19:$U19,0)&lt;='Strategy Settings'!$B$7,RANK.EQ('Momentum Ranks'!L18,'Momentum Ranks'!$B18:$U18,0)&lt;='Strategy Settings'!$B$7),1,0)+IF(AND(RANK.EQ('Momentum Ranks'!M19,'Momentum Ranks'!$B19:$U19,0)&lt;='Strategy Settings'!$B$7,RANK.EQ('Momentum Ranks'!M18,'Momentum Ranks'!$B18:$U18,0)&lt;='Strategy Settings'!$B$7),1,0)+IF(AND(RANK.EQ('Momentum Ranks'!N19,'Momentum Ranks'!$B19:$U19,0)&lt;='Strategy Settings'!$B$7,RANK.EQ('Momentum Ranks'!N18,'Momentum Ranks'!$B18:$U18,0)&lt;='Strategy Settings'!$B$7),1,0)+IF(AND(RANK.EQ('Momentum Ranks'!O19,'Momentum Ranks'!$B19:$U19,0)&lt;='Strategy Settings'!$B$7,RANK.EQ('Momentum Ranks'!O18,'Momentum Ranks'!$B18:$U18,0)&lt;='Strategy Settings'!$B$7),1,0)+IF(AND(RANK.EQ('Momentum Ranks'!P19,'Momentum Ranks'!$B19:$U19,0)&lt;='Strategy Settings'!$B$7,RANK.EQ('Momentum Ranks'!P18,'Momentum Ranks'!$B18:$U18,0)&lt;='Strategy Settings'!$B$7),1,0)+IF(AND(RANK.EQ('Momentum Ranks'!Q19,'Momentum Ranks'!$B19:$U19,0)&lt;='Strategy Settings'!$B$7,RANK.EQ('Momentum Ranks'!Q18,'Momentum Ranks'!$B18:$U18,0)&lt;='Strategy Settings'!$B$7),1,0)+IF(AND(RANK.EQ('Momentum Ranks'!R19,'Momentum Ranks'!$B19:$U19,0)&lt;='Strategy Settings'!$B$7,RANK.EQ('Momentum Ranks'!R18,'Momentum Ranks'!$B18:$U18,0)&lt;='Strategy Settings'!$B$7),1,0)+IF(AND(RANK.EQ('Momentum Ranks'!S19,'Momentum Ranks'!$B19:$U19,0)&lt;='Strategy Settings'!$B$7,RANK.EQ('Momentum Ranks'!S18,'Momentum Ranks'!$B18:$U18,0)&lt;='Strategy Settings'!$B$7),1,0)+IF(AND(RANK.EQ('Momentum Ranks'!T19,'Momentum Ranks'!$B19:$U19,0)&lt;='Strategy Settings'!$B$7,RANK.EQ('Momentum Ranks'!T18,'Momentum Ranks'!$B18:$U18,0)&lt;='Strategy Settings'!$B$7),1,0)+IF(AND(RANK.EQ('Momentum Ranks'!U19,'Momentum Ranks'!$B19:$U19,0)&lt;='Strategy Settings'!$B$7,RANK.EQ('Momentum Ranks'!U18,'Momentum Ranks'!$B18:$U18,0)&lt;='Strategy Settings'!$B$7),1,0))/'Strategy Settings'!$B$7</x:f>
        <x:v>0</x:v>
      </x:c>
      <x:c r="D19" s="26" t="n">
        <x:f>C19*'Strategy Settings'!$B$9</x:f>
        <x:v>0</x:v>
      </x:c>
      <x:c r="E19" s="26" t="n">
        <x:f>B19-D19</x:f>
        <x:v>-0.04568882349903954</x:v>
      </x:c>
      <x:c r="F19" s="26" t="n">
        <x:f>'Return Data'!V29</x:f>
        <x:v>-0.13002962229657494</x:v>
      </x:c>
      <x:c r="G19" s="26" t="n">
        <x:f>E19-F19</x:f>
        <x:v>0.0843407987975354</x:v>
      </x:c>
      <x:c r="H19" s="28" t="n">
        <x:f>H18*(1+E19)</x:f>
        <x:v>1.3182187695584937</x:v>
      </x:c>
      <x:c r="I19" s="28" t="n">
        <x:f>I18*(1+F19)</x:f>
        <x:v>1.0432128131894518</x:v>
      </x:c>
      <x:c r="J19" s="26" t="n">
        <x:f>H19/MAX($H$4:H19)-1</x:f>
        <x:v>-0.04568882349903958</x:v>
      </x:c>
      <x:c r="K19" s="26" t="n">
        <x:f>I19/MAX($I$4:I19)-1</x:f>
        <x:v>-0.1300296222965749</x:v>
      </x:c>
    </x:row>
    <x:row r="20">
      <x:c r="A20" s="20" t="n">
        <x:f>'Return Data'!A34</x:f>
        <x:v>44620</x:v>
      </x:c>
      <x:c r="B20" s="26" t="n">
        <x:f>(IF(RANK.EQ('Momentum Ranks'!B20,'Momentum Ranks'!$B20:$U20,0)&lt;='Strategy Settings'!$B$7,'Return Data'!B34,0)+IF(RANK.EQ('Momentum Ranks'!C20,'Momentum Ranks'!$B20:$U20,0)&lt;='Strategy Settings'!$B$7,'Return Data'!C34,0)+IF(RANK.EQ('Momentum Ranks'!D20,'Momentum Ranks'!$B20:$U20,0)&lt;='Strategy Settings'!$B$7,'Return Data'!D34,0)+IF(RANK.EQ('Momentum Ranks'!E20,'Momentum Ranks'!$B20:$U20,0)&lt;='Strategy Settings'!$B$7,'Return Data'!E34,0)+IF(RANK.EQ('Momentum Ranks'!F20,'Momentum Ranks'!$B20:$U20,0)&lt;='Strategy Settings'!$B$7,'Return Data'!F34,0)+IF(RANK.EQ('Momentum Ranks'!G20,'Momentum Ranks'!$B20:$U20,0)&lt;='Strategy Settings'!$B$7,'Return Data'!G34,0)+IF(RANK.EQ('Momentum Ranks'!H20,'Momentum Ranks'!$B20:$U20,0)&lt;='Strategy Settings'!$B$7,'Return Data'!H34,0)+IF(RANK.EQ('Momentum Ranks'!I20,'Momentum Ranks'!$B20:$U20,0)&lt;='Strategy Settings'!$B$7,'Return Data'!I34,0)+IF(RANK.EQ('Momentum Ranks'!J20,'Momentum Ranks'!$B20:$U20,0)&lt;='Strategy Settings'!$B$7,'Return Data'!J34,0)+IF(RANK.EQ('Momentum Ranks'!K20,'Momentum Ranks'!$B20:$U20,0)&lt;='Strategy Settings'!$B$7,'Return Data'!K34,0)+IF(RANK.EQ('Momentum Ranks'!L20,'Momentum Ranks'!$B20:$U20,0)&lt;='Strategy Settings'!$B$7,'Return Data'!L34,0)+IF(RANK.EQ('Momentum Ranks'!M20,'Momentum Ranks'!$B20:$U20,0)&lt;='Strategy Settings'!$B$7,'Return Data'!M34,0)+IF(RANK.EQ('Momentum Ranks'!N20,'Momentum Ranks'!$B20:$U20,0)&lt;='Strategy Settings'!$B$7,'Return Data'!N34,0)+IF(RANK.EQ('Momentum Ranks'!O20,'Momentum Ranks'!$B20:$U20,0)&lt;='Strategy Settings'!$B$7,'Return Data'!O34,0)+IF(RANK.EQ('Momentum Ranks'!P20,'Momentum Ranks'!$B20:$U20,0)&lt;='Strategy Settings'!$B$7,'Return Data'!P34,0)+IF(RANK.EQ('Momentum Ranks'!Q20,'Momentum Ranks'!$B20:$U20,0)&lt;='Strategy Settings'!$B$7,'Return Data'!Q34,0)+IF(RANK.EQ('Momentum Ranks'!R20,'Momentum Ranks'!$B20:$U20,0)&lt;='Strategy Settings'!$B$7,'Return Data'!R34,0)+IF(RANK.EQ('Momentum Ranks'!S20,'Momentum Ranks'!$B20:$U20,0)&lt;='Strategy Settings'!$B$7,'Return Data'!S34,0)+IF(RANK.EQ('Momentum Ranks'!T20,'Momentum Ranks'!$B20:$U20,0)&lt;='Strategy Settings'!$B$7,'Return Data'!T34,0)+IF(RANK.EQ('Momentum Ranks'!U20,'Momentum Ranks'!$B20:$U20,0)&lt;='Strategy Settings'!$B$7,'Return Data'!U34,0))/'Strategy Settings'!$B$7</x:f>
        <x:v>-0.09151887382438678</x:v>
      </x:c>
      <x:c r="C20" s="26" t="n">
        <x:f>1-(IF(AND(RANK.EQ('Momentum Ranks'!B20,'Momentum Ranks'!$B20:$U20,0)&lt;='Strategy Settings'!$B$7,RANK.EQ('Momentum Ranks'!B19,'Momentum Ranks'!$B19:$U19,0)&lt;='Strategy Settings'!$B$7),1,0)+IF(AND(RANK.EQ('Momentum Ranks'!C20,'Momentum Ranks'!$B20:$U20,0)&lt;='Strategy Settings'!$B$7,RANK.EQ('Momentum Ranks'!C19,'Momentum Ranks'!$B19:$U19,0)&lt;='Strategy Settings'!$B$7),1,0)+IF(AND(RANK.EQ('Momentum Ranks'!D20,'Momentum Ranks'!$B20:$U20,0)&lt;='Strategy Settings'!$B$7,RANK.EQ('Momentum Ranks'!D19,'Momentum Ranks'!$B19:$U19,0)&lt;='Strategy Settings'!$B$7),1,0)+IF(AND(RANK.EQ('Momentum Ranks'!E20,'Momentum Ranks'!$B20:$U20,0)&lt;='Strategy Settings'!$B$7,RANK.EQ('Momentum Ranks'!E19,'Momentum Ranks'!$B19:$U19,0)&lt;='Strategy Settings'!$B$7),1,0)+IF(AND(RANK.EQ('Momentum Ranks'!F20,'Momentum Ranks'!$B20:$U20,0)&lt;='Strategy Settings'!$B$7,RANK.EQ('Momentum Ranks'!F19,'Momentum Ranks'!$B19:$U19,0)&lt;='Strategy Settings'!$B$7),1,0)+IF(AND(RANK.EQ('Momentum Ranks'!G20,'Momentum Ranks'!$B20:$U20,0)&lt;='Strategy Settings'!$B$7,RANK.EQ('Momentum Ranks'!G19,'Momentum Ranks'!$B19:$U19,0)&lt;='Strategy Settings'!$B$7),1,0)+IF(AND(RANK.EQ('Momentum Ranks'!H20,'Momentum Ranks'!$B20:$U20,0)&lt;='Strategy Settings'!$B$7,RANK.EQ('Momentum Ranks'!H19,'Momentum Ranks'!$B19:$U19,0)&lt;='Strategy Settings'!$B$7),1,0)+IF(AND(RANK.EQ('Momentum Ranks'!I20,'Momentum Ranks'!$B20:$U20,0)&lt;='Strategy Settings'!$B$7,RANK.EQ('Momentum Ranks'!I19,'Momentum Ranks'!$B19:$U19,0)&lt;='Strategy Settings'!$B$7),1,0)+IF(AND(RANK.EQ('Momentum Ranks'!J20,'Momentum Ranks'!$B20:$U20,0)&lt;='Strategy Settings'!$B$7,RANK.EQ('Momentum Ranks'!J19,'Momentum Ranks'!$B19:$U19,0)&lt;='Strategy Settings'!$B$7),1,0)+IF(AND(RANK.EQ('Momentum Ranks'!K20,'Momentum Ranks'!$B20:$U20,0)&lt;='Strategy Settings'!$B$7,RANK.EQ('Momentum Ranks'!K19,'Momentum Ranks'!$B19:$U19,0)&lt;='Strategy Settings'!$B$7),1,0)+IF(AND(RANK.EQ('Momentum Ranks'!L20,'Momentum Ranks'!$B20:$U20,0)&lt;='Strategy Settings'!$B$7,RANK.EQ('Momentum Ranks'!L19,'Momentum Ranks'!$B19:$U19,0)&lt;='Strategy Settings'!$B$7),1,0)+IF(AND(RANK.EQ('Momentum Ranks'!M20,'Momentum Ranks'!$B20:$U20,0)&lt;='Strategy Settings'!$B$7,RANK.EQ('Momentum Ranks'!M19,'Momentum Ranks'!$B19:$U19,0)&lt;='Strategy Settings'!$B$7),1,0)+IF(AND(RANK.EQ('Momentum Ranks'!N20,'Momentum Ranks'!$B20:$U20,0)&lt;='Strategy Settings'!$B$7,RANK.EQ('Momentum Ranks'!N19,'Momentum Ranks'!$B19:$U19,0)&lt;='Strategy Settings'!$B$7),1,0)+IF(AND(RANK.EQ('Momentum Ranks'!O20,'Momentum Ranks'!$B20:$U20,0)&lt;='Strategy Settings'!$B$7,RANK.EQ('Momentum Ranks'!O19,'Momentum Ranks'!$B19:$U19,0)&lt;='Strategy Settings'!$B$7),1,0)+IF(AND(RANK.EQ('Momentum Ranks'!P20,'Momentum Ranks'!$B20:$U20,0)&lt;='Strategy Settings'!$B$7,RANK.EQ('Momentum Ranks'!P19,'Momentum Ranks'!$B19:$U19,0)&lt;='Strategy Settings'!$B$7),1,0)+IF(AND(RANK.EQ('Momentum Ranks'!Q20,'Momentum Ranks'!$B20:$U20,0)&lt;='Strategy Settings'!$B$7,RANK.EQ('Momentum Ranks'!Q19,'Momentum Ranks'!$B19:$U19,0)&lt;='Strategy Settings'!$B$7),1,0)+IF(AND(RANK.EQ('Momentum Ranks'!R20,'Momentum Ranks'!$B20:$U20,0)&lt;='Strategy Settings'!$B$7,RANK.EQ('Momentum Ranks'!R19,'Momentum Ranks'!$B19:$U19,0)&lt;='Strategy Settings'!$B$7),1,0)+IF(AND(RANK.EQ('Momentum Ranks'!S20,'Momentum Ranks'!$B20:$U20,0)&lt;='Strategy Settings'!$B$7,RANK.EQ('Momentum Ranks'!S19,'Momentum Ranks'!$B19:$U19,0)&lt;='Strategy Settings'!$B$7),1,0)+IF(AND(RANK.EQ('Momentum Ranks'!T20,'Momentum Ranks'!$B20:$U20,0)&lt;='Strategy Settings'!$B$7,RANK.EQ('Momentum Ranks'!T19,'Momentum Ranks'!$B19:$U19,0)&lt;='Strategy Settings'!$B$7),1,0)+IF(AND(RANK.EQ('Momentum Ranks'!U20,'Momentum Ranks'!$B20:$U20,0)&lt;='Strategy Settings'!$B$7,RANK.EQ('Momentum Ranks'!U19,'Momentum Ranks'!$B19:$U19,0)&lt;='Strategy Settings'!$B$7),1,0))/'Strategy Settings'!$B$7</x:f>
        <x:v>0</x:v>
      </x:c>
      <x:c r="D20" s="26" t="n">
        <x:f>C20*'Strategy Settings'!$B$9</x:f>
        <x:v>0</x:v>
      </x:c>
      <x:c r="E20" s="26" t="n">
        <x:f>B20-D20</x:f>
        <x:v>-0.09151887382438678</x:v>
      </x:c>
      <x:c r="F20" s="26" t="n">
        <x:f>'Return Data'!V30</x:f>
        <x:v>0.07076822148496817</x:v>
      </x:c>
      <x:c r="G20" s="26" t="n">
        <x:f>E20-F20</x:f>
        <x:v>-0.16228709530935495</x:v>
      </x:c>
      <x:c r="H20" s="28" t="n">
        <x:f>H19*(1+E20)</x:f>
        <x:v>1.1975768723143314</x:v>
      </x:c>
      <x:c r="I20" s="28" t="n">
        <x:f>I19*(1+F20)</x:f>
        <x:v>1.1170391286091996</x:v>
      </x:c>
      <x:c r="J20" s="26" t="n">
        <x:f>H20/MAX($H$4:H20)-1</x:f>
        <x:v>-0.1330263076504331</x:v>
      </x:c>
      <x:c r="K20" s="26" t="n">
        <x:f>I20/MAX($I$4:I20)-1</x:f>
        <x:v>-0.0684633659218975</x:v>
      </x:c>
    </x:row>
    <x:row r="21">
      <x:c r="A21" s="20" t="n">
        <x:f>'Return Data'!A35</x:f>
        <x:v>44650</x:v>
      </x:c>
      <x:c r="B21" s="26" t="n">
        <x:f>(IF(RANK.EQ('Momentum Ranks'!B21,'Momentum Ranks'!$B21:$U21,0)&lt;='Strategy Settings'!$B$7,'Return Data'!B35,0)+IF(RANK.EQ('Momentum Ranks'!C21,'Momentum Ranks'!$B21:$U21,0)&lt;='Strategy Settings'!$B$7,'Return Data'!C35,0)+IF(RANK.EQ('Momentum Ranks'!D21,'Momentum Ranks'!$B21:$U21,0)&lt;='Strategy Settings'!$B$7,'Return Data'!D35,0)+IF(RANK.EQ('Momentum Ranks'!E21,'Momentum Ranks'!$B21:$U21,0)&lt;='Strategy Settings'!$B$7,'Return Data'!E35,0)+IF(RANK.EQ('Momentum Ranks'!F21,'Momentum Ranks'!$B21:$U21,0)&lt;='Strategy Settings'!$B$7,'Return Data'!F35,0)+IF(RANK.EQ('Momentum Ranks'!G21,'Momentum Ranks'!$B21:$U21,0)&lt;='Strategy Settings'!$B$7,'Return Data'!G35,0)+IF(RANK.EQ('Momentum Ranks'!H21,'Momentum Ranks'!$B21:$U21,0)&lt;='Strategy Settings'!$B$7,'Return Data'!H35,0)+IF(RANK.EQ('Momentum Ranks'!I21,'Momentum Ranks'!$B21:$U21,0)&lt;='Strategy Settings'!$B$7,'Return Data'!I35,0)+IF(RANK.EQ('Momentum Ranks'!J21,'Momentum Ranks'!$B21:$U21,0)&lt;='Strategy Settings'!$B$7,'Return Data'!J35,0)+IF(RANK.EQ('Momentum Ranks'!K21,'Momentum Ranks'!$B21:$U21,0)&lt;='Strategy Settings'!$B$7,'Return Data'!K35,0)+IF(RANK.EQ('Momentum Ranks'!L21,'Momentum Ranks'!$B21:$U21,0)&lt;='Strategy Settings'!$B$7,'Return Data'!L35,0)+IF(RANK.EQ('Momentum Ranks'!M21,'Momentum Ranks'!$B21:$U21,0)&lt;='Strategy Settings'!$B$7,'Return Data'!M35,0)+IF(RANK.EQ('Momentum Ranks'!N21,'Momentum Ranks'!$B21:$U21,0)&lt;='Strategy Settings'!$B$7,'Return Data'!N35,0)+IF(RANK.EQ('Momentum Ranks'!O21,'Momentum Ranks'!$B21:$U21,0)&lt;='Strategy Settings'!$B$7,'Return Data'!O35,0)+IF(RANK.EQ('Momentum Ranks'!P21,'Momentum Ranks'!$B21:$U21,0)&lt;='Strategy Settings'!$B$7,'Return Data'!P35,0)+IF(RANK.EQ('Momentum Ranks'!Q21,'Momentum Ranks'!$B21:$U21,0)&lt;='Strategy Settings'!$B$7,'Return Data'!Q35,0)+IF(RANK.EQ('Momentum Ranks'!R21,'Momentum Ranks'!$B21:$U21,0)&lt;='Strategy Settings'!$B$7,'Return Data'!R35,0)+IF(RANK.EQ('Momentum Ranks'!S21,'Momentum Ranks'!$B21:$U21,0)&lt;='Strategy Settings'!$B$7,'Return Data'!S35,0)+IF(RANK.EQ('Momentum Ranks'!T21,'Momentum Ranks'!$B21:$U21,0)&lt;='Strategy Settings'!$B$7,'Return Data'!T35,0)+IF(RANK.EQ('Momentum Ranks'!U21,'Momentum Ranks'!$B21:$U21,0)&lt;='Strategy Settings'!$B$7,'Return Data'!U35,0))/'Strategy Settings'!$B$7</x:f>
        <x:v>0.041101250987298464</x:v>
      </x:c>
      <x:c r="C21" s="26" t="n">
        <x:f>1-(IF(AND(RANK.EQ('Momentum Ranks'!B21,'Momentum Ranks'!$B21:$U21,0)&lt;='Strategy Settings'!$B$7,RANK.EQ('Momentum Ranks'!B20,'Momentum Ranks'!$B20:$U20,0)&lt;='Strategy Settings'!$B$7),1,0)+IF(AND(RANK.EQ('Momentum Ranks'!C21,'Momentum Ranks'!$B21:$U21,0)&lt;='Strategy Settings'!$B$7,RANK.EQ('Momentum Ranks'!C20,'Momentum Ranks'!$B20:$U20,0)&lt;='Strategy Settings'!$B$7),1,0)+IF(AND(RANK.EQ('Momentum Ranks'!D21,'Momentum Ranks'!$B21:$U21,0)&lt;='Strategy Settings'!$B$7,RANK.EQ('Momentum Ranks'!D20,'Momentum Ranks'!$B20:$U20,0)&lt;='Strategy Settings'!$B$7),1,0)+IF(AND(RANK.EQ('Momentum Ranks'!E21,'Momentum Ranks'!$B21:$U21,0)&lt;='Strategy Settings'!$B$7,RANK.EQ('Momentum Ranks'!E20,'Momentum Ranks'!$B20:$U20,0)&lt;='Strategy Settings'!$B$7),1,0)+IF(AND(RANK.EQ('Momentum Ranks'!F21,'Momentum Ranks'!$B21:$U21,0)&lt;='Strategy Settings'!$B$7,RANK.EQ('Momentum Ranks'!F20,'Momentum Ranks'!$B20:$U20,0)&lt;='Strategy Settings'!$B$7),1,0)+IF(AND(RANK.EQ('Momentum Ranks'!G21,'Momentum Ranks'!$B21:$U21,0)&lt;='Strategy Settings'!$B$7,RANK.EQ('Momentum Ranks'!G20,'Momentum Ranks'!$B20:$U20,0)&lt;='Strategy Settings'!$B$7),1,0)+IF(AND(RANK.EQ('Momentum Ranks'!H21,'Momentum Ranks'!$B21:$U21,0)&lt;='Strategy Settings'!$B$7,RANK.EQ('Momentum Ranks'!H20,'Momentum Ranks'!$B20:$U20,0)&lt;='Strategy Settings'!$B$7),1,0)+IF(AND(RANK.EQ('Momentum Ranks'!I21,'Momentum Ranks'!$B21:$U21,0)&lt;='Strategy Settings'!$B$7,RANK.EQ('Momentum Ranks'!I20,'Momentum Ranks'!$B20:$U20,0)&lt;='Strategy Settings'!$B$7),1,0)+IF(AND(RANK.EQ('Momentum Ranks'!J21,'Momentum Ranks'!$B21:$U21,0)&lt;='Strategy Settings'!$B$7,RANK.EQ('Momentum Ranks'!J20,'Momentum Ranks'!$B20:$U20,0)&lt;='Strategy Settings'!$B$7),1,0)+IF(AND(RANK.EQ('Momentum Ranks'!K21,'Momentum Ranks'!$B21:$U21,0)&lt;='Strategy Settings'!$B$7,RANK.EQ('Momentum Ranks'!K20,'Momentum Ranks'!$B20:$U20,0)&lt;='Strategy Settings'!$B$7),1,0)+IF(AND(RANK.EQ('Momentum Ranks'!L21,'Momentum Ranks'!$B21:$U21,0)&lt;='Strategy Settings'!$B$7,RANK.EQ('Momentum Ranks'!L20,'Momentum Ranks'!$B20:$U20,0)&lt;='Strategy Settings'!$B$7),1,0)+IF(AND(RANK.EQ('Momentum Ranks'!M21,'Momentum Ranks'!$B21:$U21,0)&lt;='Strategy Settings'!$B$7,RANK.EQ('Momentum Ranks'!M20,'Momentum Ranks'!$B20:$U20,0)&lt;='Strategy Settings'!$B$7),1,0)+IF(AND(RANK.EQ('Momentum Ranks'!N21,'Momentum Ranks'!$B21:$U21,0)&lt;='Strategy Settings'!$B$7,RANK.EQ('Momentum Ranks'!N20,'Momentum Ranks'!$B20:$U20,0)&lt;='Strategy Settings'!$B$7),1,0)+IF(AND(RANK.EQ('Momentum Ranks'!O21,'Momentum Ranks'!$B21:$U21,0)&lt;='Strategy Settings'!$B$7,RANK.EQ('Momentum Ranks'!O20,'Momentum Ranks'!$B20:$U20,0)&lt;='Strategy Settings'!$B$7),1,0)+IF(AND(RANK.EQ('Momentum Ranks'!P21,'Momentum Ranks'!$B21:$U21,0)&lt;='Strategy Settings'!$B$7,RANK.EQ('Momentum Ranks'!P20,'Momentum Ranks'!$B20:$U20,0)&lt;='Strategy Settings'!$B$7),1,0)+IF(AND(RANK.EQ('Momentum Ranks'!Q21,'Momentum Ranks'!$B21:$U21,0)&lt;='Strategy Settings'!$B$7,RANK.EQ('Momentum Ranks'!Q20,'Momentum Ranks'!$B20:$U20,0)&lt;='Strategy Settings'!$B$7),1,0)+IF(AND(RANK.EQ('Momentum Ranks'!R21,'Momentum Ranks'!$B21:$U21,0)&lt;='Strategy Settings'!$B$7,RANK.EQ('Momentum Ranks'!R20,'Momentum Ranks'!$B20:$U20,0)&lt;='Strategy Settings'!$B$7),1,0)+IF(AND(RANK.EQ('Momentum Ranks'!S21,'Momentum Ranks'!$B21:$U21,0)&lt;='Strategy Settings'!$B$7,RANK.EQ('Momentum Ranks'!S20,'Momentum Ranks'!$B20:$U20,0)&lt;='Strategy Settings'!$B$7),1,0)+IF(AND(RANK.EQ('Momentum Ranks'!T21,'Momentum Ranks'!$B21:$U21,0)&lt;='Strategy Settings'!$B$7,RANK.EQ('Momentum Ranks'!T20,'Momentum Ranks'!$B20:$U20,0)&lt;='Strategy Settings'!$B$7),1,0)+IF(AND(RANK.EQ('Momentum Ranks'!U21,'Momentum Ranks'!$B21:$U21,0)&lt;='Strategy Settings'!$B$7,RANK.EQ('Momentum Ranks'!U20,'Momentum Ranks'!$B20:$U20,0)&lt;='Strategy Settings'!$B$7),1,0))/'Strategy Settings'!$B$7</x:f>
        <x:v>0</x:v>
      </x:c>
      <x:c r="D21" s="26" t="n">
        <x:f>C21*'Strategy Settings'!$B$9</x:f>
        <x:v>0</x:v>
      </x:c>
      <x:c r="E21" s="26" t="n">
        <x:f>B21-D21</x:f>
        <x:v>0.041101250987298464</x:v>
      </x:c>
      <x:c r="F21" s="26" t="n">
        <x:f>'Return Data'!V31</x:f>
        <x:v>0.06981378370305606</x:v>
      </x:c>
      <x:c r="G21" s="26" t="n">
        <x:f>E21-F21</x:f>
        <x:v>-0.028712532715757598</x:v>
      </x:c>
      <x:c r="H21" s="28" t="n">
        <x:f>H20*(1+E21)</x:f>
        <x:v>1.2467987799199067</x:v>
      </x:c>
      <x:c r="I21" s="28" t="n">
        <x:f>I20*(1+F21)</x:f>
        <x:v>1.1950238567217726</x:v>
      </x:c>
      <x:c r="J21" s="26" t="n">
        <x:f>H21/MAX($H$4:H21)-1</x:f>
        <x:v>-0.09739260432178865</x:v>
      </x:c>
      <x:c r="K21" s="26" t="n">
        <x:f>I21/MAX($I$4:I21)-1</x:f>
        <x:v>-0.003429268838895938</x:v>
      </x:c>
    </x:row>
    <x:row r="22">
      <x:c r="A22" s="20" t="n">
        <x:f>'Return Data'!A36</x:f>
        <x:v>44681</x:v>
      </x:c>
      <x:c r="B22" s="26" t="n">
        <x:f>(IF(RANK.EQ('Momentum Ranks'!B22,'Momentum Ranks'!$B22:$U22,0)&lt;='Strategy Settings'!$B$7,'Return Data'!B36,0)+IF(RANK.EQ('Momentum Ranks'!C22,'Momentum Ranks'!$B22:$U22,0)&lt;='Strategy Settings'!$B$7,'Return Data'!C36,0)+IF(RANK.EQ('Momentum Ranks'!D22,'Momentum Ranks'!$B22:$U22,0)&lt;='Strategy Settings'!$B$7,'Return Data'!D36,0)+IF(RANK.EQ('Momentum Ranks'!E22,'Momentum Ranks'!$B22:$U22,0)&lt;='Strategy Settings'!$B$7,'Return Data'!E36,0)+IF(RANK.EQ('Momentum Ranks'!F22,'Momentum Ranks'!$B22:$U22,0)&lt;='Strategy Settings'!$B$7,'Return Data'!F36,0)+IF(RANK.EQ('Momentum Ranks'!G22,'Momentum Ranks'!$B22:$U22,0)&lt;='Strategy Settings'!$B$7,'Return Data'!G36,0)+IF(RANK.EQ('Momentum Ranks'!H22,'Momentum Ranks'!$B22:$U22,0)&lt;='Strategy Settings'!$B$7,'Return Data'!H36,0)+IF(RANK.EQ('Momentum Ranks'!I22,'Momentum Ranks'!$B22:$U22,0)&lt;='Strategy Settings'!$B$7,'Return Data'!I36,0)+IF(RANK.EQ('Momentum Ranks'!J22,'Momentum Ranks'!$B22:$U22,0)&lt;='Strategy Settings'!$B$7,'Return Data'!J36,0)+IF(RANK.EQ('Momentum Ranks'!K22,'Momentum Ranks'!$B22:$U22,0)&lt;='Strategy Settings'!$B$7,'Return Data'!K36,0)+IF(RANK.EQ('Momentum Ranks'!L22,'Momentum Ranks'!$B22:$U22,0)&lt;='Strategy Settings'!$B$7,'Return Data'!L36,0)+IF(RANK.EQ('Momentum Ranks'!M22,'Momentum Ranks'!$B22:$U22,0)&lt;='Strategy Settings'!$B$7,'Return Data'!M36,0)+IF(RANK.EQ('Momentum Ranks'!N22,'Momentum Ranks'!$B22:$U22,0)&lt;='Strategy Settings'!$B$7,'Return Data'!N36,0)+IF(RANK.EQ('Momentum Ranks'!O22,'Momentum Ranks'!$B22:$U22,0)&lt;='Strategy Settings'!$B$7,'Return Data'!O36,0)+IF(RANK.EQ('Momentum Ranks'!P22,'Momentum Ranks'!$B22:$U22,0)&lt;='Strategy Settings'!$B$7,'Return Data'!P36,0)+IF(RANK.EQ('Momentum Ranks'!Q22,'Momentum Ranks'!$B22:$U22,0)&lt;='Strategy Settings'!$B$7,'Return Data'!Q36,0)+IF(RANK.EQ('Momentum Ranks'!R22,'Momentum Ranks'!$B22:$U22,0)&lt;='Strategy Settings'!$B$7,'Return Data'!R36,0)+IF(RANK.EQ('Momentum Ranks'!S22,'Momentum Ranks'!$B22:$U22,0)&lt;='Strategy Settings'!$B$7,'Return Data'!S36,0)+IF(RANK.EQ('Momentum Ranks'!T22,'Momentum Ranks'!$B22:$U22,0)&lt;='Strategy Settings'!$B$7,'Return Data'!T36,0)+IF(RANK.EQ('Momentum Ranks'!U22,'Momentum Ranks'!$B22:$U22,0)&lt;='Strategy Settings'!$B$7,'Return Data'!U36,0))/'Strategy Settings'!$B$7</x:f>
        <x:v>0.041420913910446736</x:v>
      </x:c>
      <x:c r="C22" s="26" t="n">
        <x:f>1-(IF(AND(RANK.EQ('Momentum Ranks'!B22,'Momentum Ranks'!$B22:$U22,0)&lt;='Strategy Settings'!$B$7,RANK.EQ('Momentum Ranks'!B21,'Momentum Ranks'!$B21:$U21,0)&lt;='Strategy Settings'!$B$7),1,0)+IF(AND(RANK.EQ('Momentum Ranks'!C22,'Momentum Ranks'!$B22:$U22,0)&lt;='Strategy Settings'!$B$7,RANK.EQ('Momentum Ranks'!C21,'Momentum Ranks'!$B21:$U21,0)&lt;='Strategy Settings'!$B$7),1,0)+IF(AND(RANK.EQ('Momentum Ranks'!D22,'Momentum Ranks'!$B22:$U22,0)&lt;='Strategy Settings'!$B$7,RANK.EQ('Momentum Ranks'!D21,'Momentum Ranks'!$B21:$U21,0)&lt;='Strategy Settings'!$B$7),1,0)+IF(AND(RANK.EQ('Momentum Ranks'!E22,'Momentum Ranks'!$B22:$U22,0)&lt;='Strategy Settings'!$B$7,RANK.EQ('Momentum Ranks'!E21,'Momentum Ranks'!$B21:$U21,0)&lt;='Strategy Settings'!$B$7),1,0)+IF(AND(RANK.EQ('Momentum Ranks'!F22,'Momentum Ranks'!$B22:$U22,0)&lt;='Strategy Settings'!$B$7,RANK.EQ('Momentum Ranks'!F21,'Momentum Ranks'!$B21:$U21,0)&lt;='Strategy Settings'!$B$7),1,0)+IF(AND(RANK.EQ('Momentum Ranks'!G22,'Momentum Ranks'!$B22:$U22,0)&lt;='Strategy Settings'!$B$7,RANK.EQ('Momentum Ranks'!G21,'Momentum Ranks'!$B21:$U21,0)&lt;='Strategy Settings'!$B$7),1,0)+IF(AND(RANK.EQ('Momentum Ranks'!H22,'Momentum Ranks'!$B22:$U22,0)&lt;='Strategy Settings'!$B$7,RANK.EQ('Momentum Ranks'!H21,'Momentum Ranks'!$B21:$U21,0)&lt;='Strategy Settings'!$B$7),1,0)+IF(AND(RANK.EQ('Momentum Ranks'!I22,'Momentum Ranks'!$B22:$U22,0)&lt;='Strategy Settings'!$B$7,RANK.EQ('Momentum Ranks'!I21,'Momentum Ranks'!$B21:$U21,0)&lt;='Strategy Settings'!$B$7),1,0)+IF(AND(RANK.EQ('Momentum Ranks'!J22,'Momentum Ranks'!$B22:$U22,0)&lt;='Strategy Settings'!$B$7,RANK.EQ('Momentum Ranks'!J21,'Momentum Ranks'!$B21:$U21,0)&lt;='Strategy Settings'!$B$7),1,0)+IF(AND(RANK.EQ('Momentum Ranks'!K22,'Momentum Ranks'!$B22:$U22,0)&lt;='Strategy Settings'!$B$7,RANK.EQ('Momentum Ranks'!K21,'Momentum Ranks'!$B21:$U21,0)&lt;='Strategy Settings'!$B$7),1,0)+IF(AND(RANK.EQ('Momentum Ranks'!L22,'Momentum Ranks'!$B22:$U22,0)&lt;='Strategy Settings'!$B$7,RANK.EQ('Momentum Ranks'!L21,'Momentum Ranks'!$B21:$U21,0)&lt;='Strategy Settings'!$B$7),1,0)+IF(AND(RANK.EQ('Momentum Ranks'!M22,'Momentum Ranks'!$B22:$U22,0)&lt;='Strategy Settings'!$B$7,RANK.EQ('Momentum Ranks'!M21,'Momentum Ranks'!$B21:$U21,0)&lt;='Strategy Settings'!$B$7),1,0)+IF(AND(RANK.EQ('Momentum Ranks'!N22,'Momentum Ranks'!$B22:$U22,0)&lt;='Strategy Settings'!$B$7,RANK.EQ('Momentum Ranks'!N21,'Momentum Ranks'!$B21:$U21,0)&lt;='Strategy Settings'!$B$7),1,0)+IF(AND(RANK.EQ('Momentum Ranks'!O22,'Momentum Ranks'!$B22:$U22,0)&lt;='Strategy Settings'!$B$7,RANK.EQ('Momentum Ranks'!O21,'Momentum Ranks'!$B21:$U21,0)&lt;='Strategy Settings'!$B$7),1,0)+IF(AND(RANK.EQ('Momentum Ranks'!P22,'Momentum Ranks'!$B22:$U22,0)&lt;='Strategy Settings'!$B$7,RANK.EQ('Momentum Ranks'!P21,'Momentum Ranks'!$B21:$U21,0)&lt;='Strategy Settings'!$B$7),1,0)+IF(AND(RANK.EQ('Momentum Ranks'!Q22,'Momentum Ranks'!$B22:$U22,0)&lt;='Strategy Settings'!$B$7,RANK.EQ('Momentum Ranks'!Q21,'Momentum Ranks'!$B21:$U21,0)&lt;='Strategy Settings'!$B$7),1,0)+IF(AND(RANK.EQ('Momentum Ranks'!R22,'Momentum Ranks'!$B22:$U22,0)&lt;='Strategy Settings'!$B$7,RANK.EQ('Momentum Ranks'!R21,'Momentum Ranks'!$B21:$U21,0)&lt;='Strategy Settings'!$B$7),1,0)+IF(AND(RANK.EQ('Momentum Ranks'!S22,'Momentum Ranks'!$B22:$U22,0)&lt;='Strategy Settings'!$B$7,RANK.EQ('Momentum Ranks'!S21,'Momentum Ranks'!$B21:$U21,0)&lt;='Strategy Settings'!$B$7),1,0)+IF(AND(RANK.EQ('Momentum Ranks'!T22,'Momentum Ranks'!$B22:$U22,0)&lt;='Strategy Settings'!$B$7,RANK.EQ('Momentum Ranks'!T21,'Momentum Ranks'!$B21:$U21,0)&lt;='Strategy Settings'!$B$7),1,0)+IF(AND(RANK.EQ('Momentum Ranks'!U22,'Momentum Ranks'!$B22:$U22,0)&lt;='Strategy Settings'!$B$7,RANK.EQ('Momentum Ranks'!U21,'Momentum Ranks'!$B21:$U21,0)&lt;='Strategy Settings'!$B$7),1,0))/'Strategy Settings'!$B$7</x:f>
        <x:v>0</x:v>
      </x:c>
      <x:c r="D22" s="26" t="n">
        <x:f>C22*'Strategy Settings'!$B$9</x:f>
        <x:v>0</x:v>
      </x:c>
      <x:c r="E22" s="26" t="n">
        <x:f>B22-D22</x:f>
        <x:v>0.041420913910446736</x:v>
      </x:c>
      <x:c r="F22" s="26" t="n">
        <x:f>'Return Data'!V32</x:f>
        <x:v>0.03707259528267787</x:v>
      </x:c>
      <x:c r="G22" s="26" t="n">
        <x:f>E22-F22</x:f>
        <x:v>0.0043483186277688685</x:v>
      </x:c>
      <x:c r="H22" s="28" t="n">
        <x:f>H21*(1+E22)</x:f>
        <x:v>1.298442324846619</x:v>
      </x:c>
      <x:c r="I22" s="28" t="n">
        <x:f>I21*(1+F22)</x:f>
        <x:v>1.2393264925151637</x:v>
      </x:c>
      <x:c r="J22" s="26" t="n">
        <x:f>H22/MAX($H$4:H22)-1</x:f>
        <x:v>-0.06000578109046906</x:v>
      </x:c>
      <x:c r="K22" s="26" t="n">
        <x:f>I22/MAX($I$4:I22)-1</x:f>
        <x:v>0</x:v>
      </x:c>
    </x:row>
    <x:row r="23">
      <x:c r="A23" s="20" t="n">
        <x:f>'Return Data'!A37</x:f>
        <x:v>44711</x:v>
      </x:c>
      <x:c r="B23" s="26" t="n">
        <x:f>(IF(RANK.EQ('Momentum Ranks'!B23,'Momentum Ranks'!$B23:$U23,0)&lt;='Strategy Settings'!$B$7,'Return Data'!B37,0)+IF(RANK.EQ('Momentum Ranks'!C23,'Momentum Ranks'!$B23:$U23,0)&lt;='Strategy Settings'!$B$7,'Return Data'!C37,0)+IF(RANK.EQ('Momentum Ranks'!D23,'Momentum Ranks'!$B23:$U23,0)&lt;='Strategy Settings'!$B$7,'Return Data'!D37,0)+IF(RANK.EQ('Momentum Ranks'!E23,'Momentum Ranks'!$B23:$U23,0)&lt;='Strategy Settings'!$B$7,'Return Data'!E37,0)+IF(RANK.EQ('Momentum Ranks'!F23,'Momentum Ranks'!$B23:$U23,0)&lt;='Strategy Settings'!$B$7,'Return Data'!F37,0)+IF(RANK.EQ('Momentum Ranks'!G23,'Momentum Ranks'!$B23:$U23,0)&lt;='Strategy Settings'!$B$7,'Return Data'!G37,0)+IF(RANK.EQ('Momentum Ranks'!H23,'Momentum Ranks'!$B23:$U23,0)&lt;='Strategy Settings'!$B$7,'Return Data'!H37,0)+IF(RANK.EQ('Momentum Ranks'!I23,'Momentum Ranks'!$B23:$U23,0)&lt;='Strategy Settings'!$B$7,'Return Data'!I37,0)+IF(RANK.EQ('Momentum Ranks'!J23,'Momentum Ranks'!$B23:$U23,0)&lt;='Strategy Settings'!$B$7,'Return Data'!J37,0)+IF(RANK.EQ('Momentum Ranks'!K23,'Momentum Ranks'!$B23:$U23,0)&lt;='Strategy Settings'!$B$7,'Return Data'!K37,0)+IF(RANK.EQ('Momentum Ranks'!L23,'Momentum Ranks'!$B23:$U23,0)&lt;='Strategy Settings'!$B$7,'Return Data'!L37,0)+IF(RANK.EQ('Momentum Ranks'!M23,'Momentum Ranks'!$B23:$U23,0)&lt;='Strategy Settings'!$B$7,'Return Data'!M37,0)+IF(RANK.EQ('Momentum Ranks'!N23,'Momentum Ranks'!$B23:$U23,0)&lt;='Strategy Settings'!$B$7,'Return Data'!N37,0)+IF(RANK.EQ('Momentum Ranks'!O23,'Momentum Ranks'!$B23:$U23,0)&lt;='Strategy Settings'!$B$7,'Return Data'!O37,0)+IF(RANK.EQ('Momentum Ranks'!P23,'Momentum Ranks'!$B23:$U23,0)&lt;='Strategy Settings'!$B$7,'Return Data'!P37,0)+IF(RANK.EQ('Momentum Ranks'!Q23,'Momentum Ranks'!$B23:$U23,0)&lt;='Strategy Settings'!$B$7,'Return Data'!Q37,0)+IF(RANK.EQ('Momentum Ranks'!R23,'Momentum Ranks'!$B23:$U23,0)&lt;='Strategy Settings'!$B$7,'Return Data'!R37,0)+IF(RANK.EQ('Momentum Ranks'!S23,'Momentum Ranks'!$B23:$U23,0)&lt;='Strategy Settings'!$B$7,'Return Data'!S37,0)+IF(RANK.EQ('Momentum Ranks'!T23,'Momentum Ranks'!$B23:$U23,0)&lt;='Strategy Settings'!$B$7,'Return Data'!T37,0)+IF(RANK.EQ('Momentum Ranks'!U23,'Momentum Ranks'!$B23:$U23,0)&lt;='Strategy Settings'!$B$7,'Return Data'!U37,0))/'Strategy Settings'!$B$7</x:f>
        <x:v>0.0009216426495551261</x:v>
      </x:c>
      <x:c r="C23" s="26" t="n">
        <x:f>1-(IF(AND(RANK.EQ('Momentum Ranks'!B23,'Momentum Ranks'!$B23:$U23,0)&lt;='Strategy Settings'!$B$7,RANK.EQ('Momentum Ranks'!B22,'Momentum Ranks'!$B22:$U22,0)&lt;='Strategy Settings'!$B$7),1,0)+IF(AND(RANK.EQ('Momentum Ranks'!C23,'Momentum Ranks'!$B23:$U23,0)&lt;='Strategy Settings'!$B$7,RANK.EQ('Momentum Ranks'!C22,'Momentum Ranks'!$B22:$U22,0)&lt;='Strategy Settings'!$B$7),1,0)+IF(AND(RANK.EQ('Momentum Ranks'!D23,'Momentum Ranks'!$B23:$U23,0)&lt;='Strategy Settings'!$B$7,RANK.EQ('Momentum Ranks'!D22,'Momentum Ranks'!$B22:$U22,0)&lt;='Strategy Settings'!$B$7),1,0)+IF(AND(RANK.EQ('Momentum Ranks'!E23,'Momentum Ranks'!$B23:$U23,0)&lt;='Strategy Settings'!$B$7,RANK.EQ('Momentum Ranks'!E22,'Momentum Ranks'!$B22:$U22,0)&lt;='Strategy Settings'!$B$7),1,0)+IF(AND(RANK.EQ('Momentum Ranks'!F23,'Momentum Ranks'!$B23:$U23,0)&lt;='Strategy Settings'!$B$7,RANK.EQ('Momentum Ranks'!F22,'Momentum Ranks'!$B22:$U22,0)&lt;='Strategy Settings'!$B$7),1,0)+IF(AND(RANK.EQ('Momentum Ranks'!G23,'Momentum Ranks'!$B23:$U23,0)&lt;='Strategy Settings'!$B$7,RANK.EQ('Momentum Ranks'!G22,'Momentum Ranks'!$B22:$U22,0)&lt;='Strategy Settings'!$B$7),1,0)+IF(AND(RANK.EQ('Momentum Ranks'!H23,'Momentum Ranks'!$B23:$U23,0)&lt;='Strategy Settings'!$B$7,RANK.EQ('Momentum Ranks'!H22,'Momentum Ranks'!$B22:$U22,0)&lt;='Strategy Settings'!$B$7),1,0)+IF(AND(RANK.EQ('Momentum Ranks'!I23,'Momentum Ranks'!$B23:$U23,0)&lt;='Strategy Settings'!$B$7,RANK.EQ('Momentum Ranks'!I22,'Momentum Ranks'!$B22:$U22,0)&lt;='Strategy Settings'!$B$7),1,0)+IF(AND(RANK.EQ('Momentum Ranks'!J23,'Momentum Ranks'!$B23:$U23,0)&lt;='Strategy Settings'!$B$7,RANK.EQ('Momentum Ranks'!J22,'Momentum Ranks'!$B22:$U22,0)&lt;='Strategy Settings'!$B$7),1,0)+IF(AND(RANK.EQ('Momentum Ranks'!K23,'Momentum Ranks'!$B23:$U23,0)&lt;='Strategy Settings'!$B$7,RANK.EQ('Momentum Ranks'!K22,'Momentum Ranks'!$B22:$U22,0)&lt;='Strategy Settings'!$B$7),1,0)+IF(AND(RANK.EQ('Momentum Ranks'!L23,'Momentum Ranks'!$B23:$U23,0)&lt;='Strategy Settings'!$B$7,RANK.EQ('Momentum Ranks'!L22,'Momentum Ranks'!$B22:$U22,0)&lt;='Strategy Settings'!$B$7),1,0)+IF(AND(RANK.EQ('Momentum Ranks'!M23,'Momentum Ranks'!$B23:$U23,0)&lt;='Strategy Settings'!$B$7,RANK.EQ('Momentum Ranks'!M22,'Momentum Ranks'!$B22:$U22,0)&lt;='Strategy Settings'!$B$7),1,0)+IF(AND(RANK.EQ('Momentum Ranks'!N23,'Momentum Ranks'!$B23:$U23,0)&lt;='Strategy Settings'!$B$7,RANK.EQ('Momentum Ranks'!N22,'Momentum Ranks'!$B22:$U22,0)&lt;='Strategy Settings'!$B$7),1,0)+IF(AND(RANK.EQ('Momentum Ranks'!O23,'Momentum Ranks'!$B23:$U23,0)&lt;='Strategy Settings'!$B$7,RANK.EQ('Momentum Ranks'!O22,'Momentum Ranks'!$B22:$U22,0)&lt;='Strategy Settings'!$B$7),1,0)+IF(AND(RANK.EQ('Momentum Ranks'!P23,'Momentum Ranks'!$B23:$U23,0)&lt;='Strategy Settings'!$B$7,RANK.EQ('Momentum Ranks'!P22,'Momentum Ranks'!$B22:$U22,0)&lt;='Strategy Settings'!$B$7),1,0)+IF(AND(RANK.EQ('Momentum Ranks'!Q23,'Momentum Ranks'!$B23:$U23,0)&lt;='Strategy Settings'!$B$7,RANK.EQ('Momentum Ranks'!Q22,'Momentum Ranks'!$B22:$U22,0)&lt;='Strategy Settings'!$B$7),1,0)+IF(AND(RANK.EQ('Momentum Ranks'!R23,'Momentum Ranks'!$B23:$U23,0)&lt;='Strategy Settings'!$B$7,RANK.EQ('Momentum Ranks'!R22,'Momentum Ranks'!$B22:$U22,0)&lt;='Strategy Settings'!$B$7),1,0)+IF(AND(RANK.EQ('Momentum Ranks'!S23,'Momentum Ranks'!$B23:$U23,0)&lt;='Strategy Settings'!$B$7,RANK.EQ('Momentum Ranks'!S22,'Momentum Ranks'!$B22:$U22,0)&lt;='Strategy Settings'!$B$7),1,0)+IF(AND(RANK.EQ('Momentum Ranks'!T23,'Momentum Ranks'!$B23:$U23,0)&lt;='Strategy Settings'!$B$7,RANK.EQ('Momentum Ranks'!T22,'Momentum Ranks'!$B22:$U22,0)&lt;='Strategy Settings'!$B$7),1,0)+IF(AND(RANK.EQ('Momentum Ranks'!U23,'Momentum Ranks'!$B23:$U23,0)&lt;='Strategy Settings'!$B$7,RANK.EQ('Momentum Ranks'!U22,'Momentum Ranks'!$B22:$U22,0)&lt;='Strategy Settings'!$B$7),1,0))/'Strategy Settings'!$B$7</x:f>
        <x:v>0.25</x:v>
      </x:c>
      <x:c r="D23" s="26" t="n">
        <x:f>C23*'Strategy Settings'!$B$9</x:f>
        <x:v>0.00025</x:v>
      </x:c>
      <x:c r="E23" s="26" t="n">
        <x:f>B23-D23</x:f>
        <x:v>0.0006716426495551261</x:v>
      </x:c>
      <x:c r="F23" s="26" t="n">
        <x:f>'Return Data'!V33</x:f>
        <x:v>-0.052075225042011064</x:v>
      </x:c>
      <x:c r="G23" s="26" t="n">
        <x:f>E23-F23</x:f>
        <x:v>0.05274686769156619</x:v>
      </x:c>
      <x:c r="H23" s="28" t="n">
        <x:f>H22*(1+E23)</x:f>
        <x:v>1.2993144140899737</x:v>
      </x:c>
      <x:c r="I23" s="28" t="n">
        <x:f>I22*(1+F23)</x:f>
        <x:v>1.1747882865169101</x:v>
      </x:c>
      <x:c r="J23" s="26" t="n">
        <x:f>H23/MAX($H$4:H23)-1</x:f>
        <x:v>-0.05937444088271404</x:v>
      </x:c>
      <x:c r="K23" s="26" t="n">
        <x:f>I23/MAX($I$4:I23)-1</x:f>
        <x:v>-0.05207522504201123</x:v>
      </x:c>
    </x:row>
    <x:row r="24">
      <x:c r="A24" s="20" t="n">
        <x:f>'Return Data'!A38</x:f>
        <x:v>44742</x:v>
      </x:c>
      <x:c r="B24" s="26" t="n">
        <x:f>(IF(RANK.EQ('Momentum Ranks'!B24,'Momentum Ranks'!$B24:$U24,0)&lt;='Strategy Settings'!$B$7,'Return Data'!B38,0)+IF(RANK.EQ('Momentum Ranks'!C24,'Momentum Ranks'!$B24:$U24,0)&lt;='Strategy Settings'!$B$7,'Return Data'!C38,0)+IF(RANK.EQ('Momentum Ranks'!D24,'Momentum Ranks'!$B24:$U24,0)&lt;='Strategy Settings'!$B$7,'Return Data'!D38,0)+IF(RANK.EQ('Momentum Ranks'!E24,'Momentum Ranks'!$B24:$U24,0)&lt;='Strategy Settings'!$B$7,'Return Data'!E38,0)+IF(RANK.EQ('Momentum Ranks'!F24,'Momentum Ranks'!$B24:$U24,0)&lt;='Strategy Settings'!$B$7,'Return Data'!F38,0)+IF(RANK.EQ('Momentum Ranks'!G24,'Momentum Ranks'!$B24:$U24,0)&lt;='Strategy Settings'!$B$7,'Return Data'!G38,0)+IF(RANK.EQ('Momentum Ranks'!H24,'Momentum Ranks'!$B24:$U24,0)&lt;='Strategy Settings'!$B$7,'Return Data'!H38,0)+IF(RANK.EQ('Momentum Ranks'!I24,'Momentum Ranks'!$B24:$U24,0)&lt;='Strategy Settings'!$B$7,'Return Data'!I38,0)+IF(RANK.EQ('Momentum Ranks'!J24,'Momentum Ranks'!$B24:$U24,0)&lt;='Strategy Settings'!$B$7,'Return Data'!J38,0)+IF(RANK.EQ('Momentum Ranks'!K24,'Momentum Ranks'!$B24:$U24,0)&lt;='Strategy Settings'!$B$7,'Return Data'!K38,0)+IF(RANK.EQ('Momentum Ranks'!L24,'Momentum Ranks'!$B24:$U24,0)&lt;='Strategy Settings'!$B$7,'Return Data'!L38,0)+IF(RANK.EQ('Momentum Ranks'!M24,'Momentum Ranks'!$B24:$U24,0)&lt;='Strategy Settings'!$B$7,'Return Data'!M38,0)+IF(RANK.EQ('Momentum Ranks'!N24,'Momentum Ranks'!$B24:$U24,0)&lt;='Strategy Settings'!$B$7,'Return Data'!N38,0)+IF(RANK.EQ('Momentum Ranks'!O24,'Momentum Ranks'!$B24:$U24,0)&lt;='Strategy Settings'!$B$7,'Return Data'!O38,0)+IF(RANK.EQ('Momentum Ranks'!P24,'Momentum Ranks'!$B24:$U24,0)&lt;='Strategy Settings'!$B$7,'Return Data'!P38,0)+IF(RANK.EQ('Momentum Ranks'!Q24,'Momentum Ranks'!$B24:$U24,0)&lt;='Strategy Settings'!$B$7,'Return Data'!Q38,0)+IF(RANK.EQ('Momentum Ranks'!R24,'Momentum Ranks'!$B24:$U24,0)&lt;='Strategy Settings'!$B$7,'Return Data'!R38,0)+IF(RANK.EQ('Momentum Ranks'!S24,'Momentum Ranks'!$B24:$U24,0)&lt;='Strategy Settings'!$B$7,'Return Data'!S38,0)+IF(RANK.EQ('Momentum Ranks'!T24,'Momentum Ranks'!$B24:$U24,0)&lt;='Strategy Settings'!$B$7,'Return Data'!T38,0)+IF(RANK.EQ('Momentum Ranks'!U24,'Momentum Ranks'!$B24:$U24,0)&lt;='Strategy Settings'!$B$7,'Return Data'!U38,0))/'Strategy Settings'!$B$7</x:f>
        <x:v>-0.024900366640266174</x:v>
      </x:c>
      <x:c r="C24" s="26" t="n">
        <x:f>1-(IF(AND(RANK.EQ('Momentum Ranks'!B24,'Momentum Ranks'!$B24:$U24,0)&lt;='Strategy Settings'!$B$7,RANK.EQ('Momentum Ranks'!B23,'Momentum Ranks'!$B23:$U23,0)&lt;='Strategy Settings'!$B$7),1,0)+IF(AND(RANK.EQ('Momentum Ranks'!C24,'Momentum Ranks'!$B24:$U24,0)&lt;='Strategy Settings'!$B$7,RANK.EQ('Momentum Ranks'!C23,'Momentum Ranks'!$B23:$U23,0)&lt;='Strategy Settings'!$B$7),1,0)+IF(AND(RANK.EQ('Momentum Ranks'!D24,'Momentum Ranks'!$B24:$U24,0)&lt;='Strategy Settings'!$B$7,RANK.EQ('Momentum Ranks'!D23,'Momentum Ranks'!$B23:$U23,0)&lt;='Strategy Settings'!$B$7),1,0)+IF(AND(RANK.EQ('Momentum Ranks'!E24,'Momentum Ranks'!$B24:$U24,0)&lt;='Strategy Settings'!$B$7,RANK.EQ('Momentum Ranks'!E23,'Momentum Ranks'!$B23:$U23,0)&lt;='Strategy Settings'!$B$7),1,0)+IF(AND(RANK.EQ('Momentum Ranks'!F24,'Momentum Ranks'!$B24:$U24,0)&lt;='Strategy Settings'!$B$7,RANK.EQ('Momentum Ranks'!F23,'Momentum Ranks'!$B23:$U23,0)&lt;='Strategy Settings'!$B$7),1,0)+IF(AND(RANK.EQ('Momentum Ranks'!G24,'Momentum Ranks'!$B24:$U24,0)&lt;='Strategy Settings'!$B$7,RANK.EQ('Momentum Ranks'!G23,'Momentum Ranks'!$B23:$U23,0)&lt;='Strategy Settings'!$B$7),1,0)+IF(AND(RANK.EQ('Momentum Ranks'!H24,'Momentum Ranks'!$B24:$U24,0)&lt;='Strategy Settings'!$B$7,RANK.EQ('Momentum Ranks'!H23,'Momentum Ranks'!$B23:$U23,0)&lt;='Strategy Settings'!$B$7),1,0)+IF(AND(RANK.EQ('Momentum Ranks'!I24,'Momentum Ranks'!$B24:$U24,0)&lt;='Strategy Settings'!$B$7,RANK.EQ('Momentum Ranks'!I23,'Momentum Ranks'!$B23:$U23,0)&lt;='Strategy Settings'!$B$7),1,0)+IF(AND(RANK.EQ('Momentum Ranks'!J24,'Momentum Ranks'!$B24:$U24,0)&lt;='Strategy Settings'!$B$7,RANK.EQ('Momentum Ranks'!J23,'Momentum Ranks'!$B23:$U23,0)&lt;='Strategy Settings'!$B$7),1,0)+IF(AND(RANK.EQ('Momentum Ranks'!K24,'Momentum Ranks'!$B24:$U24,0)&lt;='Strategy Settings'!$B$7,RANK.EQ('Momentum Ranks'!K23,'Momentum Ranks'!$B23:$U23,0)&lt;='Strategy Settings'!$B$7),1,0)+IF(AND(RANK.EQ('Momentum Ranks'!L24,'Momentum Ranks'!$B24:$U24,0)&lt;='Strategy Settings'!$B$7,RANK.EQ('Momentum Ranks'!L23,'Momentum Ranks'!$B23:$U23,0)&lt;='Strategy Settings'!$B$7),1,0)+IF(AND(RANK.EQ('Momentum Ranks'!M24,'Momentum Ranks'!$B24:$U24,0)&lt;='Strategy Settings'!$B$7,RANK.EQ('Momentum Ranks'!M23,'Momentum Ranks'!$B23:$U23,0)&lt;='Strategy Settings'!$B$7),1,0)+IF(AND(RANK.EQ('Momentum Ranks'!N24,'Momentum Ranks'!$B24:$U24,0)&lt;='Strategy Settings'!$B$7,RANK.EQ('Momentum Ranks'!N23,'Momentum Ranks'!$B23:$U23,0)&lt;='Strategy Settings'!$B$7),1,0)+IF(AND(RANK.EQ('Momentum Ranks'!O24,'Momentum Ranks'!$B24:$U24,0)&lt;='Strategy Settings'!$B$7,RANK.EQ('Momentum Ranks'!O23,'Momentum Ranks'!$B23:$U23,0)&lt;='Strategy Settings'!$B$7),1,0)+IF(AND(RANK.EQ('Momentum Ranks'!P24,'Momentum Ranks'!$B24:$U24,0)&lt;='Strategy Settings'!$B$7,RANK.EQ('Momentum Ranks'!P23,'Momentum Ranks'!$B23:$U23,0)&lt;='Strategy Settings'!$B$7),1,0)+IF(AND(RANK.EQ('Momentum Ranks'!Q24,'Momentum Ranks'!$B24:$U24,0)&lt;='Strategy Settings'!$B$7,RANK.EQ('Momentum Ranks'!Q23,'Momentum Ranks'!$B23:$U23,0)&lt;='Strategy Settings'!$B$7),1,0)+IF(AND(RANK.EQ('Momentum Ranks'!R24,'Momentum Ranks'!$B24:$U24,0)&lt;='Strategy Settings'!$B$7,RANK.EQ('Momentum Ranks'!R23,'Momentum Ranks'!$B23:$U23,0)&lt;='Strategy Settings'!$B$7),1,0)+IF(AND(RANK.EQ('Momentum Ranks'!S24,'Momentum Ranks'!$B24:$U24,0)&lt;='Strategy Settings'!$B$7,RANK.EQ('Momentum Ranks'!S23,'Momentum Ranks'!$B23:$U23,0)&lt;='Strategy Settings'!$B$7),1,0)+IF(AND(RANK.EQ('Momentum Ranks'!T24,'Momentum Ranks'!$B24:$U24,0)&lt;='Strategy Settings'!$B$7,RANK.EQ('Momentum Ranks'!T23,'Momentum Ranks'!$B23:$U23,0)&lt;='Strategy Settings'!$B$7),1,0)+IF(AND(RANK.EQ('Momentum Ranks'!U24,'Momentum Ranks'!$B24:$U24,0)&lt;='Strategy Settings'!$B$7,RANK.EQ('Momentum Ranks'!U23,'Momentum Ranks'!$B23:$U23,0)&lt;='Strategy Settings'!$B$7),1,0))/'Strategy Settings'!$B$7</x:f>
        <x:v>0</x:v>
      </x:c>
      <x:c r="D24" s="26" t="n">
        <x:f>C24*'Strategy Settings'!$B$9</x:f>
        <x:v>0</x:v>
      </x:c>
      <x:c r="E24" s="26" t="n">
        <x:f>B24-D24</x:f>
        <x:v>-0.024900366640266174</x:v>
      </x:c>
      <x:c r="F24" s="26" t="n">
        <x:f>'Return Data'!V34</x:f>
        <x:v>-0.07296137304010225</x:v>
      </x:c>
      <x:c r="G24" s="26" t="n">
        <x:f>E24-F24</x:f>
        <x:v>0.04806100639983608</x:v>
      </x:c>
      <x:c r="H24" s="28" t="n">
        <x:f>H23*(1+E24)</x:f>
        <x:v>1.2669610087981507</x:v>
      </x:c>
      <x:c r="I24" s="28" t="n">
        <x:f>I23*(1+F24)</x:f>
        <x:v>1.0890741201012073</x:v>
      </x:c>
      <x:c r="J24" s="26" t="n">
        <x:f>H24/MAX($H$4:H24)-1</x:f>
        <x:v>-0.08279636217593989</x:v>
      </x:c>
      <x:c r="K24" s="26" t="n">
        <x:f>I24/MAX($I$4:I24)-1</x:f>
        <x:v>-0.12123711816167604</x:v>
      </x:c>
    </x:row>
    <x:row r="25">
      <x:c r="A25" s="20" t="n">
        <x:f>'Return Data'!A39</x:f>
        <x:v>44772</x:v>
      </x:c>
      <x:c r="B25" s="26" t="n">
        <x:f>(IF(RANK.EQ('Momentum Ranks'!B25,'Momentum Ranks'!$B25:$U25,0)&lt;='Strategy Settings'!$B$7,'Return Data'!B39,0)+IF(RANK.EQ('Momentum Ranks'!C25,'Momentum Ranks'!$B25:$U25,0)&lt;='Strategy Settings'!$B$7,'Return Data'!C39,0)+IF(RANK.EQ('Momentum Ranks'!D25,'Momentum Ranks'!$B25:$U25,0)&lt;='Strategy Settings'!$B$7,'Return Data'!D39,0)+IF(RANK.EQ('Momentum Ranks'!E25,'Momentum Ranks'!$B25:$U25,0)&lt;='Strategy Settings'!$B$7,'Return Data'!E39,0)+IF(RANK.EQ('Momentum Ranks'!F25,'Momentum Ranks'!$B25:$U25,0)&lt;='Strategy Settings'!$B$7,'Return Data'!F39,0)+IF(RANK.EQ('Momentum Ranks'!G25,'Momentum Ranks'!$B25:$U25,0)&lt;='Strategy Settings'!$B$7,'Return Data'!G39,0)+IF(RANK.EQ('Momentum Ranks'!H25,'Momentum Ranks'!$B25:$U25,0)&lt;='Strategy Settings'!$B$7,'Return Data'!H39,0)+IF(RANK.EQ('Momentum Ranks'!I25,'Momentum Ranks'!$B25:$U25,0)&lt;='Strategy Settings'!$B$7,'Return Data'!I39,0)+IF(RANK.EQ('Momentum Ranks'!J25,'Momentum Ranks'!$B25:$U25,0)&lt;='Strategy Settings'!$B$7,'Return Data'!J39,0)+IF(RANK.EQ('Momentum Ranks'!K25,'Momentum Ranks'!$B25:$U25,0)&lt;='Strategy Settings'!$B$7,'Return Data'!K39,0)+IF(RANK.EQ('Momentum Ranks'!L25,'Momentum Ranks'!$B25:$U25,0)&lt;='Strategy Settings'!$B$7,'Return Data'!L39,0)+IF(RANK.EQ('Momentum Ranks'!M25,'Momentum Ranks'!$B25:$U25,0)&lt;='Strategy Settings'!$B$7,'Return Data'!M39,0)+IF(RANK.EQ('Momentum Ranks'!N25,'Momentum Ranks'!$B25:$U25,0)&lt;='Strategy Settings'!$B$7,'Return Data'!N39,0)+IF(RANK.EQ('Momentum Ranks'!O25,'Momentum Ranks'!$B25:$U25,0)&lt;='Strategy Settings'!$B$7,'Return Data'!O39,0)+IF(RANK.EQ('Momentum Ranks'!P25,'Momentum Ranks'!$B25:$U25,0)&lt;='Strategy Settings'!$B$7,'Return Data'!P39,0)+IF(RANK.EQ('Momentum Ranks'!Q25,'Momentum Ranks'!$B25:$U25,0)&lt;='Strategy Settings'!$B$7,'Return Data'!Q39,0)+IF(RANK.EQ('Momentum Ranks'!R25,'Momentum Ranks'!$B25:$U25,0)&lt;='Strategy Settings'!$B$7,'Return Data'!R39,0)+IF(RANK.EQ('Momentum Ranks'!S25,'Momentum Ranks'!$B25:$U25,0)&lt;='Strategy Settings'!$B$7,'Return Data'!S39,0)+IF(RANK.EQ('Momentum Ranks'!T25,'Momentum Ranks'!$B25:$U25,0)&lt;='Strategy Settings'!$B$7,'Return Data'!T39,0)+IF(RANK.EQ('Momentum Ranks'!U25,'Momentum Ranks'!$B25:$U25,0)&lt;='Strategy Settings'!$B$7,'Return Data'!U39,0))/'Strategy Settings'!$B$7</x:f>
        <x:v>0.0842063956621483</x:v>
      </x:c>
      <x:c r="C25" s="26" t="n">
        <x:f>1-(IF(AND(RANK.EQ('Momentum Ranks'!B25,'Momentum Ranks'!$B25:$U25,0)&lt;='Strategy Settings'!$B$7,RANK.EQ('Momentum Ranks'!B24,'Momentum Ranks'!$B24:$U24,0)&lt;='Strategy Settings'!$B$7),1,0)+IF(AND(RANK.EQ('Momentum Ranks'!C25,'Momentum Ranks'!$B25:$U25,0)&lt;='Strategy Settings'!$B$7,RANK.EQ('Momentum Ranks'!C24,'Momentum Ranks'!$B24:$U24,0)&lt;='Strategy Settings'!$B$7),1,0)+IF(AND(RANK.EQ('Momentum Ranks'!D25,'Momentum Ranks'!$B25:$U25,0)&lt;='Strategy Settings'!$B$7,RANK.EQ('Momentum Ranks'!D24,'Momentum Ranks'!$B24:$U24,0)&lt;='Strategy Settings'!$B$7),1,0)+IF(AND(RANK.EQ('Momentum Ranks'!E25,'Momentum Ranks'!$B25:$U25,0)&lt;='Strategy Settings'!$B$7,RANK.EQ('Momentum Ranks'!E24,'Momentum Ranks'!$B24:$U24,0)&lt;='Strategy Settings'!$B$7),1,0)+IF(AND(RANK.EQ('Momentum Ranks'!F25,'Momentum Ranks'!$B25:$U25,0)&lt;='Strategy Settings'!$B$7,RANK.EQ('Momentum Ranks'!F24,'Momentum Ranks'!$B24:$U24,0)&lt;='Strategy Settings'!$B$7),1,0)+IF(AND(RANK.EQ('Momentum Ranks'!G25,'Momentum Ranks'!$B25:$U25,0)&lt;='Strategy Settings'!$B$7,RANK.EQ('Momentum Ranks'!G24,'Momentum Ranks'!$B24:$U24,0)&lt;='Strategy Settings'!$B$7),1,0)+IF(AND(RANK.EQ('Momentum Ranks'!H25,'Momentum Ranks'!$B25:$U25,0)&lt;='Strategy Settings'!$B$7,RANK.EQ('Momentum Ranks'!H24,'Momentum Ranks'!$B24:$U24,0)&lt;='Strategy Settings'!$B$7),1,0)+IF(AND(RANK.EQ('Momentum Ranks'!I25,'Momentum Ranks'!$B25:$U25,0)&lt;='Strategy Settings'!$B$7,RANK.EQ('Momentum Ranks'!I24,'Momentum Ranks'!$B24:$U24,0)&lt;='Strategy Settings'!$B$7),1,0)+IF(AND(RANK.EQ('Momentum Ranks'!J25,'Momentum Ranks'!$B25:$U25,0)&lt;='Strategy Settings'!$B$7,RANK.EQ('Momentum Ranks'!J24,'Momentum Ranks'!$B24:$U24,0)&lt;='Strategy Settings'!$B$7),1,0)+IF(AND(RANK.EQ('Momentum Ranks'!K25,'Momentum Ranks'!$B25:$U25,0)&lt;='Strategy Settings'!$B$7,RANK.EQ('Momentum Ranks'!K24,'Momentum Ranks'!$B24:$U24,0)&lt;='Strategy Settings'!$B$7),1,0)+IF(AND(RANK.EQ('Momentum Ranks'!L25,'Momentum Ranks'!$B25:$U25,0)&lt;='Strategy Settings'!$B$7,RANK.EQ('Momentum Ranks'!L24,'Momentum Ranks'!$B24:$U24,0)&lt;='Strategy Settings'!$B$7),1,0)+IF(AND(RANK.EQ('Momentum Ranks'!M25,'Momentum Ranks'!$B25:$U25,0)&lt;='Strategy Settings'!$B$7,RANK.EQ('Momentum Ranks'!M24,'Momentum Ranks'!$B24:$U24,0)&lt;='Strategy Settings'!$B$7),1,0)+IF(AND(RANK.EQ('Momentum Ranks'!N25,'Momentum Ranks'!$B25:$U25,0)&lt;='Strategy Settings'!$B$7,RANK.EQ('Momentum Ranks'!N24,'Momentum Ranks'!$B24:$U24,0)&lt;='Strategy Settings'!$B$7),1,0)+IF(AND(RANK.EQ('Momentum Ranks'!O25,'Momentum Ranks'!$B25:$U25,0)&lt;='Strategy Settings'!$B$7,RANK.EQ('Momentum Ranks'!O24,'Momentum Ranks'!$B24:$U24,0)&lt;='Strategy Settings'!$B$7),1,0)+IF(AND(RANK.EQ('Momentum Ranks'!P25,'Momentum Ranks'!$B25:$U25,0)&lt;='Strategy Settings'!$B$7,RANK.EQ('Momentum Ranks'!P24,'Momentum Ranks'!$B24:$U24,0)&lt;='Strategy Settings'!$B$7),1,0)+IF(AND(RANK.EQ('Momentum Ranks'!Q25,'Momentum Ranks'!$B25:$U25,0)&lt;='Strategy Settings'!$B$7,RANK.EQ('Momentum Ranks'!Q24,'Momentum Ranks'!$B24:$U24,0)&lt;='Strategy Settings'!$B$7),1,0)+IF(AND(RANK.EQ('Momentum Ranks'!R25,'Momentum Ranks'!$B25:$U25,0)&lt;='Strategy Settings'!$B$7,RANK.EQ('Momentum Ranks'!R24,'Momentum Ranks'!$B24:$U24,0)&lt;='Strategy Settings'!$B$7),1,0)+IF(AND(RANK.EQ('Momentum Ranks'!S25,'Momentum Ranks'!$B25:$U25,0)&lt;='Strategy Settings'!$B$7,RANK.EQ('Momentum Ranks'!S24,'Momentum Ranks'!$B24:$U24,0)&lt;='Strategy Settings'!$B$7),1,0)+IF(AND(RANK.EQ('Momentum Ranks'!T25,'Momentum Ranks'!$B25:$U25,0)&lt;='Strategy Settings'!$B$7,RANK.EQ('Momentum Ranks'!T24,'Momentum Ranks'!$B24:$U24,0)&lt;='Strategy Settings'!$B$7),1,0)+IF(AND(RANK.EQ('Momentum Ranks'!U25,'Momentum Ranks'!$B25:$U25,0)&lt;='Strategy Settings'!$B$7,RANK.EQ('Momentum Ranks'!U24,'Momentum Ranks'!$B24:$U24,0)&lt;='Strategy Settings'!$B$7),1,0))/'Strategy Settings'!$B$7</x:f>
        <x:v>0</x:v>
      </x:c>
      <x:c r="D25" s="26" t="n">
        <x:f>C25*'Strategy Settings'!$B$9</x:f>
        <x:v>0</x:v>
      </x:c>
      <x:c r="E25" s="26" t="n">
        <x:f>B25-D25</x:f>
        <x:v>0.0842063956621483</x:v>
      </x:c>
      <x:c r="F25" s="26" t="n">
        <x:f>'Return Data'!V35</x:f>
        <x:v>0.03792710383398955</x:v>
      </x:c>
      <x:c r="G25" s="26" t="n">
        <x:f>E25-F25</x:f>
        <x:v>0.04627929182815875</x:v>
      </x:c>
      <x:c r="H25" s="28" t="n">
        <x:f>H24*(1+E25)</x:f>
        <x:v>1.3736472287935224</x:v>
      </x:c>
      <x:c r="I25" s="28" t="n">
        <x:f>I24*(1+F25)</x:f>
        <x:v>1.1303795473371965</x:v>
      </x:c>
      <x:c r="J25" s="26" t="n">
        <x:f>H25/MAX($H$4:H25)-1</x:f>
        <x:v>-0.005561949746565209</x:v>
      </x:c>
      <x:c r="K25" s="26" t="n">
        <x:f>I25/MAX($I$4:I25)-1</x:f>
        <x:v>-0.08790818709673809</x:v>
      </x:c>
    </x:row>
    <x:row r="26">
      <x:c r="A26" s="20" t="n">
        <x:f>'Return Data'!A40</x:f>
        <x:v>44803</x:v>
      </x:c>
      <x:c r="B26" s="26" t="n">
        <x:f>(IF(RANK.EQ('Momentum Ranks'!B26,'Momentum Ranks'!$B26:$U26,0)&lt;='Strategy Settings'!$B$7,'Return Data'!B40,0)+IF(RANK.EQ('Momentum Ranks'!C26,'Momentum Ranks'!$B26:$U26,0)&lt;='Strategy Settings'!$B$7,'Return Data'!C40,0)+IF(RANK.EQ('Momentum Ranks'!D26,'Momentum Ranks'!$B26:$U26,0)&lt;='Strategy Settings'!$B$7,'Return Data'!D40,0)+IF(RANK.EQ('Momentum Ranks'!E26,'Momentum Ranks'!$B26:$U26,0)&lt;='Strategy Settings'!$B$7,'Return Data'!E40,0)+IF(RANK.EQ('Momentum Ranks'!F26,'Momentum Ranks'!$B26:$U26,0)&lt;='Strategy Settings'!$B$7,'Return Data'!F40,0)+IF(RANK.EQ('Momentum Ranks'!G26,'Momentum Ranks'!$B26:$U26,0)&lt;='Strategy Settings'!$B$7,'Return Data'!G40,0)+IF(RANK.EQ('Momentum Ranks'!H26,'Momentum Ranks'!$B26:$U26,0)&lt;='Strategy Settings'!$B$7,'Return Data'!H40,0)+IF(RANK.EQ('Momentum Ranks'!I26,'Momentum Ranks'!$B26:$U26,0)&lt;='Strategy Settings'!$B$7,'Return Data'!I40,0)+IF(RANK.EQ('Momentum Ranks'!J26,'Momentum Ranks'!$B26:$U26,0)&lt;='Strategy Settings'!$B$7,'Return Data'!J40,0)+IF(RANK.EQ('Momentum Ranks'!K26,'Momentum Ranks'!$B26:$U26,0)&lt;='Strategy Settings'!$B$7,'Return Data'!K40,0)+IF(RANK.EQ('Momentum Ranks'!L26,'Momentum Ranks'!$B26:$U26,0)&lt;='Strategy Settings'!$B$7,'Return Data'!L40,0)+IF(RANK.EQ('Momentum Ranks'!M26,'Momentum Ranks'!$B26:$U26,0)&lt;='Strategy Settings'!$B$7,'Return Data'!M40,0)+IF(RANK.EQ('Momentum Ranks'!N26,'Momentum Ranks'!$B26:$U26,0)&lt;='Strategy Settings'!$B$7,'Return Data'!N40,0)+IF(RANK.EQ('Momentum Ranks'!O26,'Momentum Ranks'!$B26:$U26,0)&lt;='Strategy Settings'!$B$7,'Return Data'!O40,0)+IF(RANK.EQ('Momentum Ranks'!P26,'Momentum Ranks'!$B26:$U26,0)&lt;='Strategy Settings'!$B$7,'Return Data'!P40,0)+IF(RANK.EQ('Momentum Ranks'!Q26,'Momentum Ranks'!$B26:$U26,0)&lt;='Strategy Settings'!$B$7,'Return Data'!Q40,0)+IF(RANK.EQ('Momentum Ranks'!R26,'Momentum Ranks'!$B26:$U26,0)&lt;='Strategy Settings'!$B$7,'Return Data'!R40,0)+IF(RANK.EQ('Momentum Ranks'!S26,'Momentum Ranks'!$B26:$U26,0)&lt;='Strategy Settings'!$B$7,'Return Data'!S40,0)+IF(RANK.EQ('Momentum Ranks'!T26,'Momentum Ranks'!$B26:$U26,0)&lt;='Strategy Settings'!$B$7,'Return Data'!T40,0)+IF(RANK.EQ('Momentum Ranks'!U26,'Momentum Ranks'!$B26:$U26,0)&lt;='Strategy Settings'!$B$7,'Return Data'!U40,0))/'Strategy Settings'!$B$7</x:f>
        <x:v>0.07459892832046333</x:v>
      </x:c>
      <x:c r="C26" s="26" t="n">
        <x:f>1-(IF(AND(RANK.EQ('Momentum Ranks'!B26,'Momentum Ranks'!$B26:$U26,0)&lt;='Strategy Settings'!$B$7,RANK.EQ('Momentum Ranks'!B25,'Momentum Ranks'!$B25:$U25,0)&lt;='Strategy Settings'!$B$7),1,0)+IF(AND(RANK.EQ('Momentum Ranks'!C26,'Momentum Ranks'!$B26:$U26,0)&lt;='Strategy Settings'!$B$7,RANK.EQ('Momentum Ranks'!C25,'Momentum Ranks'!$B25:$U25,0)&lt;='Strategy Settings'!$B$7),1,0)+IF(AND(RANK.EQ('Momentum Ranks'!D26,'Momentum Ranks'!$B26:$U26,0)&lt;='Strategy Settings'!$B$7,RANK.EQ('Momentum Ranks'!D25,'Momentum Ranks'!$B25:$U25,0)&lt;='Strategy Settings'!$B$7),1,0)+IF(AND(RANK.EQ('Momentum Ranks'!E26,'Momentum Ranks'!$B26:$U26,0)&lt;='Strategy Settings'!$B$7,RANK.EQ('Momentum Ranks'!E25,'Momentum Ranks'!$B25:$U25,0)&lt;='Strategy Settings'!$B$7),1,0)+IF(AND(RANK.EQ('Momentum Ranks'!F26,'Momentum Ranks'!$B26:$U26,0)&lt;='Strategy Settings'!$B$7,RANK.EQ('Momentum Ranks'!F25,'Momentum Ranks'!$B25:$U25,0)&lt;='Strategy Settings'!$B$7),1,0)+IF(AND(RANK.EQ('Momentum Ranks'!G26,'Momentum Ranks'!$B26:$U26,0)&lt;='Strategy Settings'!$B$7,RANK.EQ('Momentum Ranks'!G25,'Momentum Ranks'!$B25:$U25,0)&lt;='Strategy Settings'!$B$7),1,0)+IF(AND(RANK.EQ('Momentum Ranks'!H26,'Momentum Ranks'!$B26:$U26,0)&lt;='Strategy Settings'!$B$7,RANK.EQ('Momentum Ranks'!H25,'Momentum Ranks'!$B25:$U25,0)&lt;='Strategy Settings'!$B$7),1,0)+IF(AND(RANK.EQ('Momentum Ranks'!I26,'Momentum Ranks'!$B26:$U26,0)&lt;='Strategy Settings'!$B$7,RANK.EQ('Momentum Ranks'!I25,'Momentum Ranks'!$B25:$U25,0)&lt;='Strategy Settings'!$B$7),1,0)+IF(AND(RANK.EQ('Momentum Ranks'!J26,'Momentum Ranks'!$B26:$U26,0)&lt;='Strategy Settings'!$B$7,RANK.EQ('Momentum Ranks'!J25,'Momentum Ranks'!$B25:$U25,0)&lt;='Strategy Settings'!$B$7),1,0)+IF(AND(RANK.EQ('Momentum Ranks'!K26,'Momentum Ranks'!$B26:$U26,0)&lt;='Strategy Settings'!$B$7,RANK.EQ('Momentum Ranks'!K25,'Momentum Ranks'!$B25:$U25,0)&lt;='Strategy Settings'!$B$7),1,0)+IF(AND(RANK.EQ('Momentum Ranks'!L26,'Momentum Ranks'!$B26:$U26,0)&lt;='Strategy Settings'!$B$7,RANK.EQ('Momentum Ranks'!L25,'Momentum Ranks'!$B25:$U25,0)&lt;='Strategy Settings'!$B$7),1,0)+IF(AND(RANK.EQ('Momentum Ranks'!M26,'Momentum Ranks'!$B26:$U26,0)&lt;='Strategy Settings'!$B$7,RANK.EQ('Momentum Ranks'!M25,'Momentum Ranks'!$B25:$U25,0)&lt;='Strategy Settings'!$B$7),1,0)+IF(AND(RANK.EQ('Momentum Ranks'!N26,'Momentum Ranks'!$B26:$U26,0)&lt;='Strategy Settings'!$B$7,RANK.EQ('Momentum Ranks'!N25,'Momentum Ranks'!$B25:$U25,0)&lt;='Strategy Settings'!$B$7),1,0)+IF(AND(RANK.EQ('Momentum Ranks'!O26,'Momentum Ranks'!$B26:$U26,0)&lt;='Strategy Settings'!$B$7,RANK.EQ('Momentum Ranks'!O25,'Momentum Ranks'!$B25:$U25,0)&lt;='Strategy Settings'!$B$7),1,0)+IF(AND(RANK.EQ('Momentum Ranks'!P26,'Momentum Ranks'!$B26:$U26,0)&lt;='Strategy Settings'!$B$7,RANK.EQ('Momentum Ranks'!P25,'Momentum Ranks'!$B25:$U25,0)&lt;='Strategy Settings'!$B$7),1,0)+IF(AND(RANK.EQ('Momentum Ranks'!Q26,'Momentum Ranks'!$B26:$U26,0)&lt;='Strategy Settings'!$B$7,RANK.EQ('Momentum Ranks'!Q25,'Momentum Ranks'!$B25:$U25,0)&lt;='Strategy Settings'!$B$7),1,0)+IF(AND(RANK.EQ('Momentum Ranks'!R26,'Momentum Ranks'!$B26:$U26,0)&lt;='Strategy Settings'!$B$7,RANK.EQ('Momentum Ranks'!R25,'Momentum Ranks'!$B25:$U25,0)&lt;='Strategy Settings'!$B$7),1,0)+IF(AND(RANK.EQ('Momentum Ranks'!S26,'Momentum Ranks'!$B26:$U26,0)&lt;='Strategy Settings'!$B$7,RANK.EQ('Momentum Ranks'!S25,'Momentum Ranks'!$B25:$U25,0)&lt;='Strategy Settings'!$B$7),1,0)+IF(AND(RANK.EQ('Momentum Ranks'!T26,'Momentum Ranks'!$B26:$U26,0)&lt;='Strategy Settings'!$B$7,RANK.EQ('Momentum Ranks'!T25,'Momentum Ranks'!$B25:$U25,0)&lt;='Strategy Settings'!$B$7),1,0)+IF(AND(RANK.EQ('Momentum Ranks'!U26,'Momentum Ranks'!$B26:$U26,0)&lt;='Strategy Settings'!$B$7,RANK.EQ('Momentum Ranks'!U25,'Momentum Ranks'!$B25:$U25,0)&lt;='Strategy Settings'!$B$7),1,0))/'Strategy Settings'!$B$7</x:f>
        <x:v>0.25</x:v>
      </x:c>
      <x:c r="D26" s="26" t="n">
        <x:f>C26*'Strategy Settings'!$B$9</x:f>
        <x:v>0.00025</x:v>
      </x:c>
      <x:c r="E26" s="26" t="n">
        <x:f>B26-D26</x:f>
        <x:v>0.07434892832046333</x:v>
      </x:c>
      <x:c r="F26" s="26" t="n">
        <x:f>'Return Data'!V36</x:f>
        <x:v>0.027535828062806994</x:v>
      </x:c>
      <x:c r="G26" s="26" t="n">
        <x:f>E26-F26</x:f>
        <x:v>0.04681310025765634</x:v>
      </x:c>
      <x:c r="H26" s="28" t="n">
        <x:f>H25*(1+E26)</x:f>
        <x:v>1.475776428144695</x:v>
      </x:c>
      <x:c r="I26" s="28" t="n">
        <x:f>I25*(1+F26)</x:f>
        <x:v>1.1615054841983872</x:v>
      </x:c>
      <x:c r="J26" s="26" t="n">
        <x:f>H26/MAX($H$4:H26)-1</x:f>
        <x:v>0</x:v>
      </x:c>
      <x:c r="K26" s="26" t="n">
        <x:f>I26/MAX($I$4:I26)-1</x:f>
        <x:v>-0.06279298375913989</x:v>
      </x:c>
    </x:row>
    <x:row r="27">
      <x:c r="A27" s="20" t="n">
        <x:f>'Return Data'!A41</x:f>
        <x:v>44834</x:v>
      </x:c>
      <x:c r="B27" s="26" t="n">
        <x:f>(IF(RANK.EQ('Momentum Ranks'!B27,'Momentum Ranks'!$B27:$U27,0)&lt;='Strategy Settings'!$B$7,'Return Data'!B41,0)+IF(RANK.EQ('Momentum Ranks'!C27,'Momentum Ranks'!$B27:$U27,0)&lt;='Strategy Settings'!$B$7,'Return Data'!C41,0)+IF(RANK.EQ('Momentum Ranks'!D27,'Momentum Ranks'!$B27:$U27,0)&lt;='Strategy Settings'!$B$7,'Return Data'!D41,0)+IF(RANK.EQ('Momentum Ranks'!E27,'Momentum Ranks'!$B27:$U27,0)&lt;='Strategy Settings'!$B$7,'Return Data'!E41,0)+IF(RANK.EQ('Momentum Ranks'!F27,'Momentum Ranks'!$B27:$U27,0)&lt;='Strategy Settings'!$B$7,'Return Data'!F41,0)+IF(RANK.EQ('Momentum Ranks'!G27,'Momentum Ranks'!$B27:$U27,0)&lt;='Strategy Settings'!$B$7,'Return Data'!G41,0)+IF(RANK.EQ('Momentum Ranks'!H27,'Momentum Ranks'!$B27:$U27,0)&lt;='Strategy Settings'!$B$7,'Return Data'!H41,0)+IF(RANK.EQ('Momentum Ranks'!I27,'Momentum Ranks'!$B27:$U27,0)&lt;='Strategy Settings'!$B$7,'Return Data'!I41,0)+IF(RANK.EQ('Momentum Ranks'!J27,'Momentum Ranks'!$B27:$U27,0)&lt;='Strategy Settings'!$B$7,'Return Data'!J41,0)+IF(RANK.EQ('Momentum Ranks'!K27,'Momentum Ranks'!$B27:$U27,0)&lt;='Strategy Settings'!$B$7,'Return Data'!K41,0)+IF(RANK.EQ('Momentum Ranks'!L27,'Momentum Ranks'!$B27:$U27,0)&lt;='Strategy Settings'!$B$7,'Return Data'!L41,0)+IF(RANK.EQ('Momentum Ranks'!M27,'Momentum Ranks'!$B27:$U27,0)&lt;='Strategy Settings'!$B$7,'Return Data'!M41,0)+IF(RANK.EQ('Momentum Ranks'!N27,'Momentum Ranks'!$B27:$U27,0)&lt;='Strategy Settings'!$B$7,'Return Data'!N41,0)+IF(RANK.EQ('Momentum Ranks'!O27,'Momentum Ranks'!$B27:$U27,0)&lt;='Strategy Settings'!$B$7,'Return Data'!O41,0)+IF(RANK.EQ('Momentum Ranks'!P27,'Momentum Ranks'!$B27:$U27,0)&lt;='Strategy Settings'!$B$7,'Return Data'!P41,0)+IF(RANK.EQ('Momentum Ranks'!Q27,'Momentum Ranks'!$B27:$U27,0)&lt;='Strategy Settings'!$B$7,'Return Data'!Q41,0)+IF(RANK.EQ('Momentum Ranks'!R27,'Momentum Ranks'!$B27:$U27,0)&lt;='Strategy Settings'!$B$7,'Return Data'!R41,0)+IF(RANK.EQ('Momentum Ranks'!S27,'Momentum Ranks'!$B27:$U27,0)&lt;='Strategy Settings'!$B$7,'Return Data'!S41,0)+IF(RANK.EQ('Momentum Ranks'!T27,'Momentum Ranks'!$B27:$U27,0)&lt;='Strategy Settings'!$B$7,'Return Data'!T41,0)+IF(RANK.EQ('Momentum Ranks'!U27,'Momentum Ranks'!$B27:$U27,0)&lt;='Strategy Settings'!$B$7,'Return Data'!U41,0))/'Strategy Settings'!$B$7</x:f>
        <x:v>-0.043079179897008324</x:v>
      </x:c>
      <x:c r="C27" s="26" t="n">
        <x:f>1-(IF(AND(RANK.EQ('Momentum Ranks'!B27,'Momentum Ranks'!$B27:$U27,0)&lt;='Strategy Settings'!$B$7,RANK.EQ('Momentum Ranks'!B26,'Momentum Ranks'!$B26:$U26,0)&lt;='Strategy Settings'!$B$7),1,0)+IF(AND(RANK.EQ('Momentum Ranks'!C27,'Momentum Ranks'!$B27:$U27,0)&lt;='Strategy Settings'!$B$7,RANK.EQ('Momentum Ranks'!C26,'Momentum Ranks'!$B26:$U26,0)&lt;='Strategy Settings'!$B$7),1,0)+IF(AND(RANK.EQ('Momentum Ranks'!D27,'Momentum Ranks'!$B27:$U27,0)&lt;='Strategy Settings'!$B$7,RANK.EQ('Momentum Ranks'!D26,'Momentum Ranks'!$B26:$U26,0)&lt;='Strategy Settings'!$B$7),1,0)+IF(AND(RANK.EQ('Momentum Ranks'!E27,'Momentum Ranks'!$B27:$U27,0)&lt;='Strategy Settings'!$B$7,RANK.EQ('Momentum Ranks'!E26,'Momentum Ranks'!$B26:$U26,0)&lt;='Strategy Settings'!$B$7),1,0)+IF(AND(RANK.EQ('Momentum Ranks'!F27,'Momentum Ranks'!$B27:$U27,0)&lt;='Strategy Settings'!$B$7,RANK.EQ('Momentum Ranks'!F26,'Momentum Ranks'!$B26:$U26,0)&lt;='Strategy Settings'!$B$7),1,0)+IF(AND(RANK.EQ('Momentum Ranks'!G27,'Momentum Ranks'!$B27:$U27,0)&lt;='Strategy Settings'!$B$7,RANK.EQ('Momentum Ranks'!G26,'Momentum Ranks'!$B26:$U26,0)&lt;='Strategy Settings'!$B$7),1,0)+IF(AND(RANK.EQ('Momentum Ranks'!H27,'Momentum Ranks'!$B27:$U27,0)&lt;='Strategy Settings'!$B$7,RANK.EQ('Momentum Ranks'!H26,'Momentum Ranks'!$B26:$U26,0)&lt;='Strategy Settings'!$B$7),1,0)+IF(AND(RANK.EQ('Momentum Ranks'!I27,'Momentum Ranks'!$B27:$U27,0)&lt;='Strategy Settings'!$B$7,RANK.EQ('Momentum Ranks'!I26,'Momentum Ranks'!$B26:$U26,0)&lt;='Strategy Settings'!$B$7),1,0)+IF(AND(RANK.EQ('Momentum Ranks'!J27,'Momentum Ranks'!$B27:$U27,0)&lt;='Strategy Settings'!$B$7,RANK.EQ('Momentum Ranks'!J26,'Momentum Ranks'!$B26:$U26,0)&lt;='Strategy Settings'!$B$7),1,0)+IF(AND(RANK.EQ('Momentum Ranks'!K27,'Momentum Ranks'!$B27:$U27,0)&lt;='Strategy Settings'!$B$7,RANK.EQ('Momentum Ranks'!K26,'Momentum Ranks'!$B26:$U26,0)&lt;='Strategy Settings'!$B$7),1,0)+IF(AND(RANK.EQ('Momentum Ranks'!L27,'Momentum Ranks'!$B27:$U27,0)&lt;='Strategy Settings'!$B$7,RANK.EQ('Momentum Ranks'!L26,'Momentum Ranks'!$B26:$U26,0)&lt;='Strategy Settings'!$B$7),1,0)+IF(AND(RANK.EQ('Momentum Ranks'!M27,'Momentum Ranks'!$B27:$U27,0)&lt;='Strategy Settings'!$B$7,RANK.EQ('Momentum Ranks'!M26,'Momentum Ranks'!$B26:$U26,0)&lt;='Strategy Settings'!$B$7),1,0)+IF(AND(RANK.EQ('Momentum Ranks'!N27,'Momentum Ranks'!$B27:$U27,0)&lt;='Strategy Settings'!$B$7,RANK.EQ('Momentum Ranks'!N26,'Momentum Ranks'!$B26:$U26,0)&lt;='Strategy Settings'!$B$7),1,0)+IF(AND(RANK.EQ('Momentum Ranks'!O27,'Momentum Ranks'!$B27:$U27,0)&lt;='Strategy Settings'!$B$7,RANK.EQ('Momentum Ranks'!O26,'Momentum Ranks'!$B26:$U26,0)&lt;='Strategy Settings'!$B$7),1,0)+IF(AND(RANK.EQ('Momentum Ranks'!P27,'Momentum Ranks'!$B27:$U27,0)&lt;='Strategy Settings'!$B$7,RANK.EQ('Momentum Ranks'!P26,'Momentum Ranks'!$B26:$U26,0)&lt;='Strategy Settings'!$B$7),1,0)+IF(AND(RANK.EQ('Momentum Ranks'!Q27,'Momentum Ranks'!$B27:$U27,0)&lt;='Strategy Settings'!$B$7,RANK.EQ('Momentum Ranks'!Q26,'Momentum Ranks'!$B26:$U26,0)&lt;='Strategy Settings'!$B$7),1,0)+IF(AND(RANK.EQ('Momentum Ranks'!R27,'Momentum Ranks'!$B27:$U27,0)&lt;='Strategy Settings'!$B$7,RANK.EQ('Momentum Ranks'!R26,'Momentum Ranks'!$B26:$U26,0)&lt;='Strategy Settings'!$B$7),1,0)+IF(AND(RANK.EQ('Momentum Ranks'!S27,'Momentum Ranks'!$B27:$U27,0)&lt;='Strategy Settings'!$B$7,RANK.EQ('Momentum Ranks'!S26,'Momentum Ranks'!$B26:$U26,0)&lt;='Strategy Settings'!$B$7),1,0)+IF(AND(RANK.EQ('Momentum Ranks'!T27,'Momentum Ranks'!$B27:$U27,0)&lt;='Strategy Settings'!$B$7,RANK.EQ('Momentum Ranks'!T26,'Momentum Ranks'!$B26:$U26,0)&lt;='Strategy Settings'!$B$7),1,0)+IF(AND(RANK.EQ('Momentum Ranks'!U27,'Momentum Ranks'!$B27:$U27,0)&lt;='Strategy Settings'!$B$7,RANK.EQ('Momentum Ranks'!U26,'Momentum Ranks'!$B26:$U26,0)&lt;='Strategy Settings'!$B$7),1,0))/'Strategy Settings'!$B$7</x:f>
        <x:v>0.25</x:v>
      </x:c>
      <x:c r="D27" s="26" t="n">
        <x:f>C27*'Strategy Settings'!$B$9</x:f>
        <x:v>0.00025</x:v>
      </x:c>
      <x:c r="E27" s="26" t="n">
        <x:f>B27-D27</x:f>
        <x:v>-0.043329179897008324</x:v>
      </x:c>
      <x:c r="F27" s="26" t="n">
        <x:f>'Return Data'!V37</x:f>
        <x:v>-0.008487648381094792</x:v>
      </x:c>
      <x:c r="G27" s="26" t="n">
        <x:f>E27-F27</x:f>
        <x:v>-0.03484153151591353</x:v>
      </x:c>
      <x:c r="H27" s="28" t="n">
        <x:f>H26*(1+E27)</x:f>
        <x:v>1.411832245801849</x:v>
      </x:c>
      <x:c r="I27" s="28" t="n">
        <x:f>I26*(1+F27)</x:f>
        <x:v>1.151647034055798</x:v>
      </x:c>
      <x:c r="J27" s="26" t="n">
        <x:f>H27/MAX($H$4:H27)-1</x:f>
        <x:v>-0.04332917989700835</x:v>
      </x:c>
      <x:c r="K27" s="26" t="n">
        <x:f>I27/MAX($I$4:I27)-1</x:f>
        <x:v>-0.0707476673732873</x:v>
      </x:c>
    </x:row>
    <x:row r="28">
      <x:c r="A28" s="20" t="n">
        <x:f>'Return Data'!A42</x:f>
        <x:v>44864</x:v>
      </x:c>
      <x:c r="B28" s="26" t="n">
        <x:f>(IF(RANK.EQ('Momentum Ranks'!B28,'Momentum Ranks'!$B28:$U28,0)&lt;='Strategy Settings'!$B$7,'Return Data'!B42,0)+IF(RANK.EQ('Momentum Ranks'!C28,'Momentum Ranks'!$B28:$U28,0)&lt;='Strategy Settings'!$B$7,'Return Data'!C42,0)+IF(RANK.EQ('Momentum Ranks'!D28,'Momentum Ranks'!$B28:$U28,0)&lt;='Strategy Settings'!$B$7,'Return Data'!D42,0)+IF(RANK.EQ('Momentum Ranks'!E28,'Momentum Ranks'!$B28:$U28,0)&lt;='Strategy Settings'!$B$7,'Return Data'!E42,0)+IF(RANK.EQ('Momentum Ranks'!F28,'Momentum Ranks'!$B28:$U28,0)&lt;='Strategy Settings'!$B$7,'Return Data'!F42,0)+IF(RANK.EQ('Momentum Ranks'!G28,'Momentum Ranks'!$B28:$U28,0)&lt;='Strategy Settings'!$B$7,'Return Data'!G42,0)+IF(RANK.EQ('Momentum Ranks'!H28,'Momentum Ranks'!$B28:$U28,0)&lt;='Strategy Settings'!$B$7,'Return Data'!H42,0)+IF(RANK.EQ('Momentum Ranks'!I28,'Momentum Ranks'!$B28:$U28,0)&lt;='Strategy Settings'!$B$7,'Return Data'!I42,0)+IF(RANK.EQ('Momentum Ranks'!J28,'Momentum Ranks'!$B28:$U28,0)&lt;='Strategy Settings'!$B$7,'Return Data'!J42,0)+IF(RANK.EQ('Momentum Ranks'!K28,'Momentum Ranks'!$B28:$U28,0)&lt;='Strategy Settings'!$B$7,'Return Data'!K42,0)+IF(RANK.EQ('Momentum Ranks'!L28,'Momentum Ranks'!$B28:$U28,0)&lt;='Strategy Settings'!$B$7,'Return Data'!L42,0)+IF(RANK.EQ('Momentum Ranks'!M28,'Momentum Ranks'!$B28:$U28,0)&lt;='Strategy Settings'!$B$7,'Return Data'!M42,0)+IF(RANK.EQ('Momentum Ranks'!N28,'Momentum Ranks'!$B28:$U28,0)&lt;='Strategy Settings'!$B$7,'Return Data'!N42,0)+IF(RANK.EQ('Momentum Ranks'!O28,'Momentum Ranks'!$B28:$U28,0)&lt;='Strategy Settings'!$B$7,'Return Data'!O42,0)+IF(RANK.EQ('Momentum Ranks'!P28,'Momentum Ranks'!$B28:$U28,0)&lt;='Strategy Settings'!$B$7,'Return Data'!P42,0)+IF(RANK.EQ('Momentum Ranks'!Q28,'Momentum Ranks'!$B28:$U28,0)&lt;='Strategy Settings'!$B$7,'Return Data'!Q42,0)+IF(RANK.EQ('Momentum Ranks'!R28,'Momentum Ranks'!$B28:$U28,0)&lt;='Strategy Settings'!$B$7,'Return Data'!R42,0)+IF(RANK.EQ('Momentum Ranks'!S28,'Momentum Ranks'!$B28:$U28,0)&lt;='Strategy Settings'!$B$7,'Return Data'!S42,0)+IF(RANK.EQ('Momentum Ranks'!T28,'Momentum Ranks'!$B28:$U28,0)&lt;='Strategy Settings'!$B$7,'Return Data'!T42,0)+IF(RANK.EQ('Momentum Ranks'!U28,'Momentum Ranks'!$B28:$U28,0)&lt;='Strategy Settings'!$B$7,'Return Data'!U42,0))/'Strategy Settings'!$B$7</x:f>
        <x:v>-0.0004129697525605165</x:v>
      </x:c>
      <x:c r="C28" s="26" t="n">
        <x:f>1-(IF(AND(RANK.EQ('Momentum Ranks'!B28,'Momentum Ranks'!$B28:$U28,0)&lt;='Strategy Settings'!$B$7,RANK.EQ('Momentum Ranks'!B27,'Momentum Ranks'!$B27:$U27,0)&lt;='Strategy Settings'!$B$7),1,0)+IF(AND(RANK.EQ('Momentum Ranks'!C28,'Momentum Ranks'!$B28:$U28,0)&lt;='Strategy Settings'!$B$7,RANK.EQ('Momentum Ranks'!C27,'Momentum Ranks'!$B27:$U27,0)&lt;='Strategy Settings'!$B$7),1,0)+IF(AND(RANK.EQ('Momentum Ranks'!D28,'Momentum Ranks'!$B28:$U28,0)&lt;='Strategy Settings'!$B$7,RANK.EQ('Momentum Ranks'!D27,'Momentum Ranks'!$B27:$U27,0)&lt;='Strategy Settings'!$B$7),1,0)+IF(AND(RANK.EQ('Momentum Ranks'!E28,'Momentum Ranks'!$B28:$U28,0)&lt;='Strategy Settings'!$B$7,RANK.EQ('Momentum Ranks'!E27,'Momentum Ranks'!$B27:$U27,0)&lt;='Strategy Settings'!$B$7),1,0)+IF(AND(RANK.EQ('Momentum Ranks'!F28,'Momentum Ranks'!$B28:$U28,0)&lt;='Strategy Settings'!$B$7,RANK.EQ('Momentum Ranks'!F27,'Momentum Ranks'!$B27:$U27,0)&lt;='Strategy Settings'!$B$7),1,0)+IF(AND(RANK.EQ('Momentum Ranks'!G28,'Momentum Ranks'!$B28:$U28,0)&lt;='Strategy Settings'!$B$7,RANK.EQ('Momentum Ranks'!G27,'Momentum Ranks'!$B27:$U27,0)&lt;='Strategy Settings'!$B$7),1,0)+IF(AND(RANK.EQ('Momentum Ranks'!H28,'Momentum Ranks'!$B28:$U28,0)&lt;='Strategy Settings'!$B$7,RANK.EQ('Momentum Ranks'!H27,'Momentum Ranks'!$B27:$U27,0)&lt;='Strategy Settings'!$B$7),1,0)+IF(AND(RANK.EQ('Momentum Ranks'!I28,'Momentum Ranks'!$B28:$U28,0)&lt;='Strategy Settings'!$B$7,RANK.EQ('Momentum Ranks'!I27,'Momentum Ranks'!$B27:$U27,0)&lt;='Strategy Settings'!$B$7),1,0)+IF(AND(RANK.EQ('Momentum Ranks'!J28,'Momentum Ranks'!$B28:$U28,0)&lt;='Strategy Settings'!$B$7,RANK.EQ('Momentum Ranks'!J27,'Momentum Ranks'!$B27:$U27,0)&lt;='Strategy Settings'!$B$7),1,0)+IF(AND(RANK.EQ('Momentum Ranks'!K28,'Momentum Ranks'!$B28:$U28,0)&lt;='Strategy Settings'!$B$7,RANK.EQ('Momentum Ranks'!K27,'Momentum Ranks'!$B27:$U27,0)&lt;='Strategy Settings'!$B$7),1,0)+IF(AND(RANK.EQ('Momentum Ranks'!L28,'Momentum Ranks'!$B28:$U28,0)&lt;='Strategy Settings'!$B$7,RANK.EQ('Momentum Ranks'!L27,'Momentum Ranks'!$B27:$U27,0)&lt;='Strategy Settings'!$B$7),1,0)+IF(AND(RANK.EQ('Momentum Ranks'!M28,'Momentum Ranks'!$B28:$U28,0)&lt;='Strategy Settings'!$B$7,RANK.EQ('Momentum Ranks'!M27,'Momentum Ranks'!$B27:$U27,0)&lt;='Strategy Settings'!$B$7),1,0)+IF(AND(RANK.EQ('Momentum Ranks'!N28,'Momentum Ranks'!$B28:$U28,0)&lt;='Strategy Settings'!$B$7,RANK.EQ('Momentum Ranks'!N27,'Momentum Ranks'!$B27:$U27,0)&lt;='Strategy Settings'!$B$7),1,0)+IF(AND(RANK.EQ('Momentum Ranks'!O28,'Momentum Ranks'!$B28:$U28,0)&lt;='Strategy Settings'!$B$7,RANK.EQ('Momentum Ranks'!O27,'Momentum Ranks'!$B27:$U27,0)&lt;='Strategy Settings'!$B$7),1,0)+IF(AND(RANK.EQ('Momentum Ranks'!P28,'Momentum Ranks'!$B28:$U28,0)&lt;='Strategy Settings'!$B$7,RANK.EQ('Momentum Ranks'!P27,'Momentum Ranks'!$B27:$U27,0)&lt;='Strategy Settings'!$B$7),1,0)+IF(AND(RANK.EQ('Momentum Ranks'!Q28,'Momentum Ranks'!$B28:$U28,0)&lt;='Strategy Settings'!$B$7,RANK.EQ('Momentum Ranks'!Q27,'Momentum Ranks'!$B27:$U27,0)&lt;='Strategy Settings'!$B$7),1,0)+IF(AND(RANK.EQ('Momentum Ranks'!R28,'Momentum Ranks'!$B28:$U28,0)&lt;='Strategy Settings'!$B$7,RANK.EQ('Momentum Ranks'!R27,'Momentum Ranks'!$B27:$U27,0)&lt;='Strategy Settings'!$B$7),1,0)+IF(AND(RANK.EQ('Momentum Ranks'!S28,'Momentum Ranks'!$B28:$U28,0)&lt;='Strategy Settings'!$B$7,RANK.EQ('Momentum Ranks'!S27,'Momentum Ranks'!$B27:$U27,0)&lt;='Strategy Settings'!$B$7),1,0)+IF(AND(RANK.EQ('Momentum Ranks'!T28,'Momentum Ranks'!$B28:$U28,0)&lt;='Strategy Settings'!$B$7,RANK.EQ('Momentum Ranks'!T27,'Momentum Ranks'!$B27:$U27,0)&lt;='Strategy Settings'!$B$7),1,0)+IF(AND(RANK.EQ('Momentum Ranks'!U28,'Momentum Ranks'!$B28:$U28,0)&lt;='Strategy Settings'!$B$7,RANK.EQ('Momentum Ranks'!U27,'Momentum Ranks'!$B27:$U27,0)&lt;='Strategy Settings'!$B$7),1,0))/'Strategy Settings'!$B$7</x:f>
        <x:v>0.5</x:v>
      </x:c>
      <x:c r="D28" s="26" t="n">
        <x:f>C28*'Strategy Settings'!$B$9</x:f>
        <x:v>0.0005</x:v>
      </x:c>
      <x:c r="E28" s="26" t="n">
        <x:f>B28-D28</x:f>
        <x:v>-0.0009129697525605165</x:v>
      </x:c>
      <x:c r="F28" s="26" t="n">
        <x:f>'Return Data'!V38</x:f>
        <x:v>0.006652019245327122</x:v>
      </x:c>
      <x:c r="G28" s="26" t="n">
        <x:f>E28-F28</x:f>
        <x:v>-0.007564988997887639</x:v>
      </x:c>
      <x:c r="H28" s="28" t="n">
        <x:f>H27*(1+E28)</x:f>
        <x:v>1.4105432856657425</x:v>
      </x:c>
      <x:c r="I28" s="28" t="n">
        <x:f>I27*(1+F28)</x:f>
        <x:v>1.1593078122901612</x:v>
      </x:c>
      <x:c r="J28" s="26" t="n">
        <x:f>H28/MAX($H$4:H28)-1</x:f>
        <x:v>-0.04420259141891958</x:v>
      </x:c>
      <x:c r="K28" s="26" t="n">
        <x:f>I28/MAX($I$4:I28)-1</x:f>
        <x:v>-0.06456626297288925</x:v>
      </x:c>
    </x:row>
    <x:row r="29">
      <x:c r="A29" s="20" t="n">
        <x:f>'Return Data'!A43</x:f>
        <x:v>44895</x:v>
      </x:c>
      <x:c r="B29" s="26" t="n">
        <x:f>(IF(RANK.EQ('Momentum Ranks'!B29,'Momentum Ranks'!$B29:$U29,0)&lt;='Strategy Settings'!$B$7,'Return Data'!B43,0)+IF(RANK.EQ('Momentum Ranks'!C29,'Momentum Ranks'!$B29:$U29,0)&lt;='Strategy Settings'!$B$7,'Return Data'!C43,0)+IF(RANK.EQ('Momentum Ranks'!D29,'Momentum Ranks'!$B29:$U29,0)&lt;='Strategy Settings'!$B$7,'Return Data'!D43,0)+IF(RANK.EQ('Momentum Ranks'!E29,'Momentum Ranks'!$B29:$U29,0)&lt;='Strategy Settings'!$B$7,'Return Data'!E43,0)+IF(RANK.EQ('Momentum Ranks'!F29,'Momentum Ranks'!$B29:$U29,0)&lt;='Strategy Settings'!$B$7,'Return Data'!F43,0)+IF(RANK.EQ('Momentum Ranks'!G29,'Momentum Ranks'!$B29:$U29,0)&lt;='Strategy Settings'!$B$7,'Return Data'!G43,0)+IF(RANK.EQ('Momentum Ranks'!H29,'Momentum Ranks'!$B29:$U29,0)&lt;='Strategy Settings'!$B$7,'Return Data'!H43,0)+IF(RANK.EQ('Momentum Ranks'!I29,'Momentum Ranks'!$B29:$U29,0)&lt;='Strategy Settings'!$B$7,'Return Data'!I43,0)+IF(RANK.EQ('Momentum Ranks'!J29,'Momentum Ranks'!$B29:$U29,0)&lt;='Strategy Settings'!$B$7,'Return Data'!J43,0)+IF(RANK.EQ('Momentum Ranks'!K29,'Momentum Ranks'!$B29:$U29,0)&lt;='Strategy Settings'!$B$7,'Return Data'!K43,0)+IF(RANK.EQ('Momentum Ranks'!L29,'Momentum Ranks'!$B29:$U29,0)&lt;='Strategy Settings'!$B$7,'Return Data'!L43,0)+IF(RANK.EQ('Momentum Ranks'!M29,'Momentum Ranks'!$B29:$U29,0)&lt;='Strategy Settings'!$B$7,'Return Data'!M43,0)+IF(RANK.EQ('Momentum Ranks'!N29,'Momentum Ranks'!$B29:$U29,0)&lt;='Strategy Settings'!$B$7,'Return Data'!N43,0)+IF(RANK.EQ('Momentum Ranks'!O29,'Momentum Ranks'!$B29:$U29,0)&lt;='Strategy Settings'!$B$7,'Return Data'!O43,0)+IF(RANK.EQ('Momentum Ranks'!P29,'Momentum Ranks'!$B29:$U29,0)&lt;='Strategy Settings'!$B$7,'Return Data'!P43,0)+IF(RANK.EQ('Momentum Ranks'!Q29,'Momentum Ranks'!$B29:$U29,0)&lt;='Strategy Settings'!$B$7,'Return Data'!Q43,0)+IF(RANK.EQ('Momentum Ranks'!R29,'Momentum Ranks'!$B29:$U29,0)&lt;='Strategy Settings'!$B$7,'Return Data'!R43,0)+IF(RANK.EQ('Momentum Ranks'!S29,'Momentum Ranks'!$B29:$U29,0)&lt;='Strategy Settings'!$B$7,'Return Data'!S43,0)+IF(RANK.EQ('Momentum Ranks'!T29,'Momentum Ranks'!$B29:$U29,0)&lt;='Strategy Settings'!$B$7,'Return Data'!T43,0)+IF(RANK.EQ('Momentum Ranks'!U29,'Momentum Ranks'!$B29:$U29,0)&lt;='Strategy Settings'!$B$7,'Return Data'!U43,0))/'Strategy Settings'!$B$7</x:f>
        <x:v>-0.10147539428116714</x:v>
      </x:c>
      <x:c r="C29" s="26" t="n">
        <x:f>1-(IF(AND(RANK.EQ('Momentum Ranks'!B29,'Momentum Ranks'!$B29:$U29,0)&lt;='Strategy Settings'!$B$7,RANK.EQ('Momentum Ranks'!B28,'Momentum Ranks'!$B28:$U28,0)&lt;='Strategy Settings'!$B$7),1,0)+IF(AND(RANK.EQ('Momentum Ranks'!C29,'Momentum Ranks'!$B29:$U29,0)&lt;='Strategy Settings'!$B$7,RANK.EQ('Momentum Ranks'!C28,'Momentum Ranks'!$B28:$U28,0)&lt;='Strategy Settings'!$B$7),1,0)+IF(AND(RANK.EQ('Momentum Ranks'!D29,'Momentum Ranks'!$B29:$U29,0)&lt;='Strategy Settings'!$B$7,RANK.EQ('Momentum Ranks'!D28,'Momentum Ranks'!$B28:$U28,0)&lt;='Strategy Settings'!$B$7),1,0)+IF(AND(RANK.EQ('Momentum Ranks'!E29,'Momentum Ranks'!$B29:$U29,0)&lt;='Strategy Settings'!$B$7,RANK.EQ('Momentum Ranks'!E28,'Momentum Ranks'!$B28:$U28,0)&lt;='Strategy Settings'!$B$7),1,0)+IF(AND(RANK.EQ('Momentum Ranks'!F29,'Momentum Ranks'!$B29:$U29,0)&lt;='Strategy Settings'!$B$7,RANK.EQ('Momentum Ranks'!F28,'Momentum Ranks'!$B28:$U28,0)&lt;='Strategy Settings'!$B$7),1,0)+IF(AND(RANK.EQ('Momentum Ranks'!G29,'Momentum Ranks'!$B29:$U29,0)&lt;='Strategy Settings'!$B$7,RANK.EQ('Momentum Ranks'!G28,'Momentum Ranks'!$B28:$U28,0)&lt;='Strategy Settings'!$B$7),1,0)+IF(AND(RANK.EQ('Momentum Ranks'!H29,'Momentum Ranks'!$B29:$U29,0)&lt;='Strategy Settings'!$B$7,RANK.EQ('Momentum Ranks'!H28,'Momentum Ranks'!$B28:$U28,0)&lt;='Strategy Settings'!$B$7),1,0)+IF(AND(RANK.EQ('Momentum Ranks'!I29,'Momentum Ranks'!$B29:$U29,0)&lt;='Strategy Settings'!$B$7,RANK.EQ('Momentum Ranks'!I28,'Momentum Ranks'!$B28:$U28,0)&lt;='Strategy Settings'!$B$7),1,0)+IF(AND(RANK.EQ('Momentum Ranks'!J29,'Momentum Ranks'!$B29:$U29,0)&lt;='Strategy Settings'!$B$7,RANK.EQ('Momentum Ranks'!J28,'Momentum Ranks'!$B28:$U28,0)&lt;='Strategy Settings'!$B$7),1,0)+IF(AND(RANK.EQ('Momentum Ranks'!K29,'Momentum Ranks'!$B29:$U29,0)&lt;='Strategy Settings'!$B$7,RANK.EQ('Momentum Ranks'!K28,'Momentum Ranks'!$B28:$U28,0)&lt;='Strategy Settings'!$B$7),1,0)+IF(AND(RANK.EQ('Momentum Ranks'!L29,'Momentum Ranks'!$B29:$U29,0)&lt;='Strategy Settings'!$B$7,RANK.EQ('Momentum Ranks'!L28,'Momentum Ranks'!$B28:$U28,0)&lt;='Strategy Settings'!$B$7),1,0)+IF(AND(RANK.EQ('Momentum Ranks'!M29,'Momentum Ranks'!$B29:$U29,0)&lt;='Strategy Settings'!$B$7,RANK.EQ('Momentum Ranks'!M28,'Momentum Ranks'!$B28:$U28,0)&lt;='Strategy Settings'!$B$7),1,0)+IF(AND(RANK.EQ('Momentum Ranks'!N29,'Momentum Ranks'!$B29:$U29,0)&lt;='Strategy Settings'!$B$7,RANK.EQ('Momentum Ranks'!N28,'Momentum Ranks'!$B28:$U28,0)&lt;='Strategy Settings'!$B$7),1,0)+IF(AND(RANK.EQ('Momentum Ranks'!O29,'Momentum Ranks'!$B29:$U29,0)&lt;='Strategy Settings'!$B$7,RANK.EQ('Momentum Ranks'!O28,'Momentum Ranks'!$B28:$U28,0)&lt;='Strategy Settings'!$B$7),1,0)+IF(AND(RANK.EQ('Momentum Ranks'!P29,'Momentum Ranks'!$B29:$U29,0)&lt;='Strategy Settings'!$B$7,RANK.EQ('Momentum Ranks'!P28,'Momentum Ranks'!$B28:$U28,0)&lt;='Strategy Settings'!$B$7),1,0)+IF(AND(RANK.EQ('Momentum Ranks'!Q29,'Momentum Ranks'!$B29:$U29,0)&lt;='Strategy Settings'!$B$7,RANK.EQ('Momentum Ranks'!Q28,'Momentum Ranks'!$B28:$U28,0)&lt;='Strategy Settings'!$B$7),1,0)+IF(AND(RANK.EQ('Momentum Ranks'!R29,'Momentum Ranks'!$B29:$U29,0)&lt;='Strategy Settings'!$B$7,RANK.EQ('Momentum Ranks'!R28,'Momentum Ranks'!$B28:$U28,0)&lt;='Strategy Settings'!$B$7),1,0)+IF(AND(RANK.EQ('Momentum Ranks'!S29,'Momentum Ranks'!$B29:$U29,0)&lt;='Strategy Settings'!$B$7,RANK.EQ('Momentum Ranks'!S28,'Momentum Ranks'!$B28:$U28,0)&lt;='Strategy Settings'!$B$7),1,0)+IF(AND(RANK.EQ('Momentum Ranks'!T29,'Momentum Ranks'!$B29:$U29,0)&lt;='Strategy Settings'!$B$7,RANK.EQ('Momentum Ranks'!T28,'Momentum Ranks'!$B28:$U28,0)&lt;='Strategy Settings'!$B$7),1,0)+IF(AND(RANK.EQ('Momentum Ranks'!U29,'Momentum Ranks'!$B29:$U29,0)&lt;='Strategy Settings'!$B$7,RANK.EQ('Momentum Ranks'!U28,'Momentum Ranks'!$B28:$U28,0)&lt;='Strategy Settings'!$B$7),1,0))/'Strategy Settings'!$B$7</x:f>
        <x:v>0.25</x:v>
      </x:c>
      <x:c r="D29" s="26" t="n">
        <x:f>C29*'Strategy Settings'!$B$9</x:f>
        <x:v>0.00025</x:v>
      </x:c>
      <x:c r="E29" s="26" t="n">
        <x:f>B29-D29</x:f>
        <x:v>-0.10172539428116714</x:v>
      </x:c>
      <x:c r="F29" s="26" t="n">
        <x:f>'Return Data'!V39</x:f>
        <x:v>0.08143741144441635</x:v>
      </x:c>
      <x:c r="G29" s="26" t="n">
        <x:f>E29-F29</x:f>
        <x:v>-0.1831628057255835</x:v>
      </x:c>
      <x:c r="H29" s="28" t="n">
        <x:f>H28*(1+E29)</x:f>
        <x:v>1.2670552137807418</x:v>
      </x:c>
      <x:c r="I29" s="28" t="n">
        <x:f>I28*(1+F29)</x:f>
        <x:v>1.2537188395903611</x:v>
      </x:c>
      <x:c r="J29" s="26" t="n">
        <x:f>H29/MAX($H$4:H29)-1</x:f>
        <x:v>-0.1414314596597478</x:v>
      </x:c>
      <x:c r="K29" s="26" t="n">
        <x:f>I29/MAX($I$4:I29)-1</x:f>
        <x:v>0</x:v>
      </x:c>
    </x:row>
    <x:row r="30">
      <x:c r="A30" s="20" t="n">
        <x:f>'Return Data'!A44</x:f>
        <x:v>44925</x:v>
      </x:c>
      <x:c r="B30" s="26" t="n">
        <x:f>(IF(RANK.EQ('Momentum Ranks'!B30,'Momentum Ranks'!$B30:$U30,0)&lt;='Strategy Settings'!$B$7,'Return Data'!B44,0)+IF(RANK.EQ('Momentum Ranks'!C30,'Momentum Ranks'!$B30:$U30,0)&lt;='Strategy Settings'!$B$7,'Return Data'!C44,0)+IF(RANK.EQ('Momentum Ranks'!D30,'Momentum Ranks'!$B30:$U30,0)&lt;='Strategy Settings'!$B$7,'Return Data'!D44,0)+IF(RANK.EQ('Momentum Ranks'!E30,'Momentum Ranks'!$B30:$U30,0)&lt;='Strategy Settings'!$B$7,'Return Data'!E44,0)+IF(RANK.EQ('Momentum Ranks'!F30,'Momentum Ranks'!$B30:$U30,0)&lt;='Strategy Settings'!$B$7,'Return Data'!F44,0)+IF(RANK.EQ('Momentum Ranks'!G30,'Momentum Ranks'!$B30:$U30,0)&lt;='Strategy Settings'!$B$7,'Return Data'!G44,0)+IF(RANK.EQ('Momentum Ranks'!H30,'Momentum Ranks'!$B30:$U30,0)&lt;='Strategy Settings'!$B$7,'Return Data'!H44,0)+IF(RANK.EQ('Momentum Ranks'!I30,'Momentum Ranks'!$B30:$U30,0)&lt;='Strategy Settings'!$B$7,'Return Data'!I44,0)+IF(RANK.EQ('Momentum Ranks'!J30,'Momentum Ranks'!$B30:$U30,0)&lt;='Strategy Settings'!$B$7,'Return Data'!J44,0)+IF(RANK.EQ('Momentum Ranks'!K30,'Momentum Ranks'!$B30:$U30,0)&lt;='Strategy Settings'!$B$7,'Return Data'!K44,0)+IF(RANK.EQ('Momentum Ranks'!L30,'Momentum Ranks'!$B30:$U30,0)&lt;='Strategy Settings'!$B$7,'Return Data'!L44,0)+IF(RANK.EQ('Momentum Ranks'!M30,'Momentum Ranks'!$B30:$U30,0)&lt;='Strategy Settings'!$B$7,'Return Data'!M44,0)+IF(RANK.EQ('Momentum Ranks'!N30,'Momentum Ranks'!$B30:$U30,0)&lt;='Strategy Settings'!$B$7,'Return Data'!N44,0)+IF(RANK.EQ('Momentum Ranks'!O30,'Momentum Ranks'!$B30:$U30,0)&lt;='Strategy Settings'!$B$7,'Return Data'!O44,0)+IF(RANK.EQ('Momentum Ranks'!P30,'Momentum Ranks'!$B30:$U30,0)&lt;='Strategy Settings'!$B$7,'Return Data'!P44,0)+IF(RANK.EQ('Momentum Ranks'!Q30,'Momentum Ranks'!$B30:$U30,0)&lt;='Strategy Settings'!$B$7,'Return Data'!Q44,0)+IF(RANK.EQ('Momentum Ranks'!R30,'Momentum Ranks'!$B30:$U30,0)&lt;='Strategy Settings'!$B$7,'Return Data'!R44,0)+IF(RANK.EQ('Momentum Ranks'!S30,'Momentum Ranks'!$B30:$U30,0)&lt;='Strategy Settings'!$B$7,'Return Data'!S44,0)+IF(RANK.EQ('Momentum Ranks'!T30,'Momentum Ranks'!$B30:$U30,0)&lt;='Strategy Settings'!$B$7,'Return Data'!T44,0)+IF(RANK.EQ('Momentum Ranks'!U30,'Momentum Ranks'!$B30:$U30,0)&lt;='Strategy Settings'!$B$7,'Return Data'!U44,0))/'Strategy Settings'!$B$7</x:f>
        <x:v>-0.11745459093474539</x:v>
      </x:c>
      <x:c r="C30" s="26" t="n">
        <x:f>1-(IF(AND(RANK.EQ('Momentum Ranks'!B30,'Momentum Ranks'!$B30:$U30,0)&lt;='Strategy Settings'!$B$7,RANK.EQ('Momentum Ranks'!B29,'Momentum Ranks'!$B29:$U29,0)&lt;='Strategy Settings'!$B$7),1,0)+IF(AND(RANK.EQ('Momentum Ranks'!C30,'Momentum Ranks'!$B30:$U30,0)&lt;='Strategy Settings'!$B$7,RANK.EQ('Momentum Ranks'!C29,'Momentum Ranks'!$B29:$U29,0)&lt;='Strategy Settings'!$B$7),1,0)+IF(AND(RANK.EQ('Momentum Ranks'!D30,'Momentum Ranks'!$B30:$U30,0)&lt;='Strategy Settings'!$B$7,RANK.EQ('Momentum Ranks'!D29,'Momentum Ranks'!$B29:$U29,0)&lt;='Strategy Settings'!$B$7),1,0)+IF(AND(RANK.EQ('Momentum Ranks'!E30,'Momentum Ranks'!$B30:$U30,0)&lt;='Strategy Settings'!$B$7,RANK.EQ('Momentum Ranks'!E29,'Momentum Ranks'!$B29:$U29,0)&lt;='Strategy Settings'!$B$7),1,0)+IF(AND(RANK.EQ('Momentum Ranks'!F30,'Momentum Ranks'!$B30:$U30,0)&lt;='Strategy Settings'!$B$7,RANK.EQ('Momentum Ranks'!F29,'Momentum Ranks'!$B29:$U29,0)&lt;='Strategy Settings'!$B$7),1,0)+IF(AND(RANK.EQ('Momentum Ranks'!G30,'Momentum Ranks'!$B30:$U30,0)&lt;='Strategy Settings'!$B$7,RANK.EQ('Momentum Ranks'!G29,'Momentum Ranks'!$B29:$U29,0)&lt;='Strategy Settings'!$B$7),1,0)+IF(AND(RANK.EQ('Momentum Ranks'!H30,'Momentum Ranks'!$B30:$U30,0)&lt;='Strategy Settings'!$B$7,RANK.EQ('Momentum Ranks'!H29,'Momentum Ranks'!$B29:$U29,0)&lt;='Strategy Settings'!$B$7),1,0)+IF(AND(RANK.EQ('Momentum Ranks'!I30,'Momentum Ranks'!$B30:$U30,0)&lt;='Strategy Settings'!$B$7,RANK.EQ('Momentum Ranks'!I29,'Momentum Ranks'!$B29:$U29,0)&lt;='Strategy Settings'!$B$7),1,0)+IF(AND(RANK.EQ('Momentum Ranks'!J30,'Momentum Ranks'!$B30:$U30,0)&lt;='Strategy Settings'!$B$7,RANK.EQ('Momentum Ranks'!J29,'Momentum Ranks'!$B29:$U29,0)&lt;='Strategy Settings'!$B$7),1,0)+IF(AND(RANK.EQ('Momentum Ranks'!K30,'Momentum Ranks'!$B30:$U30,0)&lt;='Strategy Settings'!$B$7,RANK.EQ('Momentum Ranks'!K29,'Momentum Ranks'!$B29:$U29,0)&lt;='Strategy Settings'!$B$7),1,0)+IF(AND(RANK.EQ('Momentum Ranks'!L30,'Momentum Ranks'!$B30:$U30,0)&lt;='Strategy Settings'!$B$7,RANK.EQ('Momentum Ranks'!L29,'Momentum Ranks'!$B29:$U29,0)&lt;='Strategy Settings'!$B$7),1,0)+IF(AND(RANK.EQ('Momentum Ranks'!M30,'Momentum Ranks'!$B30:$U30,0)&lt;='Strategy Settings'!$B$7,RANK.EQ('Momentum Ranks'!M29,'Momentum Ranks'!$B29:$U29,0)&lt;='Strategy Settings'!$B$7),1,0)+IF(AND(RANK.EQ('Momentum Ranks'!N30,'Momentum Ranks'!$B30:$U30,0)&lt;='Strategy Settings'!$B$7,RANK.EQ('Momentum Ranks'!N29,'Momentum Ranks'!$B29:$U29,0)&lt;='Strategy Settings'!$B$7),1,0)+IF(AND(RANK.EQ('Momentum Ranks'!O30,'Momentum Ranks'!$B30:$U30,0)&lt;='Strategy Settings'!$B$7,RANK.EQ('Momentum Ranks'!O29,'Momentum Ranks'!$B29:$U29,0)&lt;='Strategy Settings'!$B$7),1,0)+IF(AND(RANK.EQ('Momentum Ranks'!P30,'Momentum Ranks'!$B30:$U30,0)&lt;='Strategy Settings'!$B$7,RANK.EQ('Momentum Ranks'!P29,'Momentum Ranks'!$B29:$U29,0)&lt;='Strategy Settings'!$B$7),1,0)+IF(AND(RANK.EQ('Momentum Ranks'!Q30,'Momentum Ranks'!$B30:$U30,0)&lt;='Strategy Settings'!$B$7,RANK.EQ('Momentum Ranks'!Q29,'Momentum Ranks'!$B29:$U29,0)&lt;='Strategy Settings'!$B$7),1,0)+IF(AND(RANK.EQ('Momentum Ranks'!R30,'Momentum Ranks'!$B30:$U30,0)&lt;='Strategy Settings'!$B$7,RANK.EQ('Momentum Ranks'!R29,'Momentum Ranks'!$B29:$U29,0)&lt;='Strategy Settings'!$B$7),1,0)+IF(AND(RANK.EQ('Momentum Ranks'!S30,'Momentum Ranks'!$B30:$U30,0)&lt;='Strategy Settings'!$B$7,RANK.EQ('Momentum Ranks'!S29,'Momentum Ranks'!$B29:$U29,0)&lt;='Strategy Settings'!$B$7),1,0)+IF(AND(RANK.EQ('Momentum Ranks'!T30,'Momentum Ranks'!$B30:$U30,0)&lt;='Strategy Settings'!$B$7,RANK.EQ('Momentum Ranks'!T29,'Momentum Ranks'!$B29:$U29,0)&lt;='Strategy Settings'!$B$7),1,0)+IF(AND(RANK.EQ('Momentum Ranks'!U30,'Momentum Ranks'!$B30:$U30,0)&lt;='Strategy Settings'!$B$7,RANK.EQ('Momentum Ranks'!U29,'Momentum Ranks'!$B29:$U29,0)&lt;='Strategy Settings'!$B$7),1,0))/'Strategy Settings'!$B$7</x:f>
        <x:v>0.25</x:v>
      </x:c>
      <x:c r="D30" s="26" t="n">
        <x:f>C30*'Strategy Settings'!$B$9</x:f>
        <x:v>0.00025</x:v>
      </x:c>
      <x:c r="E30" s="26" t="n">
        <x:f>B30-D30</x:f>
        <x:v>-0.11770459093474539</x:v>
      </x:c>
      <x:c r="F30" s="26" t="n">
        <x:f>'Return Data'!V40</x:f>
        <x:v>0.055437705130059224</x:v>
      </x:c>
      <x:c r="G30" s="26" t="n">
        <x:f>E30-F30</x:f>
        <x:v>-0.1731422960648046</x:v>
      </x:c>
      <x:c r="H30" s="28" t="n">
        <x:f>H29*(1+E30)</x:f>
        <x:v>1.1179169981509431</x:v>
      </x:c>
      <x:c r="I30" s="28" t="n">
        <x:f>I29*(1+F30)</x:f>
        <x:v>1.3232221349355715</x:v>
      </x:c>
      <x:c r="J30" s="26" t="n">
        <x:f>H30/MAX($H$4:H30)-1</x:f>
        <x:v>-0.2424889184899387</x:v>
      </x:c>
      <x:c r="K30" s="26" t="n">
        <x:f>I30/MAX($I$4:I30)-1</x:f>
        <x:v>0</x:v>
      </x:c>
    </x:row>
    <x:row r="31">
      <x:c r="A31" s="20" t="n">
        <x:f>'Return Data'!A45</x:f>
        <x:v>44956</x:v>
      </x:c>
      <x:c r="B31" s="26" t="n">
        <x:f>(IF(RANK.EQ('Momentum Ranks'!B31,'Momentum Ranks'!$B31:$U31,0)&lt;='Strategy Settings'!$B$7,'Return Data'!B45,0)+IF(RANK.EQ('Momentum Ranks'!C31,'Momentum Ranks'!$B31:$U31,0)&lt;='Strategy Settings'!$B$7,'Return Data'!C45,0)+IF(RANK.EQ('Momentum Ranks'!D31,'Momentum Ranks'!$B31:$U31,0)&lt;='Strategy Settings'!$B$7,'Return Data'!D45,0)+IF(RANK.EQ('Momentum Ranks'!E31,'Momentum Ranks'!$B31:$U31,0)&lt;='Strategy Settings'!$B$7,'Return Data'!E45,0)+IF(RANK.EQ('Momentum Ranks'!F31,'Momentum Ranks'!$B31:$U31,0)&lt;='Strategy Settings'!$B$7,'Return Data'!F45,0)+IF(RANK.EQ('Momentum Ranks'!G31,'Momentum Ranks'!$B31:$U31,0)&lt;='Strategy Settings'!$B$7,'Return Data'!G45,0)+IF(RANK.EQ('Momentum Ranks'!H31,'Momentum Ranks'!$B31:$U31,0)&lt;='Strategy Settings'!$B$7,'Return Data'!H45,0)+IF(RANK.EQ('Momentum Ranks'!I31,'Momentum Ranks'!$B31:$U31,0)&lt;='Strategy Settings'!$B$7,'Return Data'!I45,0)+IF(RANK.EQ('Momentum Ranks'!J31,'Momentum Ranks'!$B31:$U31,0)&lt;='Strategy Settings'!$B$7,'Return Data'!J45,0)+IF(RANK.EQ('Momentum Ranks'!K31,'Momentum Ranks'!$B31:$U31,0)&lt;='Strategy Settings'!$B$7,'Return Data'!K45,0)+IF(RANK.EQ('Momentum Ranks'!L31,'Momentum Ranks'!$B31:$U31,0)&lt;='Strategy Settings'!$B$7,'Return Data'!L45,0)+IF(RANK.EQ('Momentum Ranks'!M31,'Momentum Ranks'!$B31:$U31,0)&lt;='Strategy Settings'!$B$7,'Return Data'!M45,0)+IF(RANK.EQ('Momentum Ranks'!N31,'Momentum Ranks'!$B31:$U31,0)&lt;='Strategy Settings'!$B$7,'Return Data'!N45,0)+IF(RANK.EQ('Momentum Ranks'!O31,'Momentum Ranks'!$B31:$U31,0)&lt;='Strategy Settings'!$B$7,'Return Data'!O45,0)+IF(RANK.EQ('Momentum Ranks'!P31,'Momentum Ranks'!$B31:$U31,0)&lt;='Strategy Settings'!$B$7,'Return Data'!P45,0)+IF(RANK.EQ('Momentum Ranks'!Q31,'Momentum Ranks'!$B31:$U31,0)&lt;='Strategy Settings'!$B$7,'Return Data'!Q45,0)+IF(RANK.EQ('Momentum Ranks'!R31,'Momentum Ranks'!$B31:$U31,0)&lt;='Strategy Settings'!$B$7,'Return Data'!R45,0)+IF(RANK.EQ('Momentum Ranks'!S31,'Momentum Ranks'!$B31:$U31,0)&lt;='Strategy Settings'!$B$7,'Return Data'!S45,0)+IF(RANK.EQ('Momentum Ranks'!T31,'Momentum Ranks'!$B31:$U31,0)&lt;='Strategy Settings'!$B$7,'Return Data'!T45,0)+IF(RANK.EQ('Momentum Ranks'!U31,'Momentum Ranks'!$B31:$U31,0)&lt;='Strategy Settings'!$B$7,'Return Data'!U45,0))/'Strategy Settings'!$B$7</x:f>
        <x:v>0.058072169683675</x:v>
      </x:c>
      <x:c r="C31" s="26" t="n">
        <x:f>1-(IF(AND(RANK.EQ('Momentum Ranks'!B31,'Momentum Ranks'!$B31:$U31,0)&lt;='Strategy Settings'!$B$7,RANK.EQ('Momentum Ranks'!B30,'Momentum Ranks'!$B30:$U30,0)&lt;='Strategy Settings'!$B$7),1,0)+IF(AND(RANK.EQ('Momentum Ranks'!C31,'Momentum Ranks'!$B31:$U31,0)&lt;='Strategy Settings'!$B$7,RANK.EQ('Momentum Ranks'!C30,'Momentum Ranks'!$B30:$U30,0)&lt;='Strategy Settings'!$B$7),1,0)+IF(AND(RANK.EQ('Momentum Ranks'!D31,'Momentum Ranks'!$B31:$U31,0)&lt;='Strategy Settings'!$B$7,RANK.EQ('Momentum Ranks'!D30,'Momentum Ranks'!$B30:$U30,0)&lt;='Strategy Settings'!$B$7),1,0)+IF(AND(RANK.EQ('Momentum Ranks'!E31,'Momentum Ranks'!$B31:$U31,0)&lt;='Strategy Settings'!$B$7,RANK.EQ('Momentum Ranks'!E30,'Momentum Ranks'!$B30:$U30,0)&lt;='Strategy Settings'!$B$7),1,0)+IF(AND(RANK.EQ('Momentum Ranks'!F31,'Momentum Ranks'!$B31:$U31,0)&lt;='Strategy Settings'!$B$7,RANK.EQ('Momentum Ranks'!F30,'Momentum Ranks'!$B30:$U30,0)&lt;='Strategy Settings'!$B$7),1,0)+IF(AND(RANK.EQ('Momentum Ranks'!G31,'Momentum Ranks'!$B31:$U31,0)&lt;='Strategy Settings'!$B$7,RANK.EQ('Momentum Ranks'!G30,'Momentum Ranks'!$B30:$U30,0)&lt;='Strategy Settings'!$B$7),1,0)+IF(AND(RANK.EQ('Momentum Ranks'!H31,'Momentum Ranks'!$B31:$U31,0)&lt;='Strategy Settings'!$B$7,RANK.EQ('Momentum Ranks'!H30,'Momentum Ranks'!$B30:$U30,0)&lt;='Strategy Settings'!$B$7),1,0)+IF(AND(RANK.EQ('Momentum Ranks'!I31,'Momentum Ranks'!$B31:$U31,0)&lt;='Strategy Settings'!$B$7,RANK.EQ('Momentum Ranks'!I30,'Momentum Ranks'!$B30:$U30,0)&lt;='Strategy Settings'!$B$7),1,0)+IF(AND(RANK.EQ('Momentum Ranks'!J31,'Momentum Ranks'!$B31:$U31,0)&lt;='Strategy Settings'!$B$7,RANK.EQ('Momentum Ranks'!J30,'Momentum Ranks'!$B30:$U30,0)&lt;='Strategy Settings'!$B$7),1,0)+IF(AND(RANK.EQ('Momentum Ranks'!K31,'Momentum Ranks'!$B31:$U31,0)&lt;='Strategy Settings'!$B$7,RANK.EQ('Momentum Ranks'!K30,'Momentum Ranks'!$B30:$U30,0)&lt;='Strategy Settings'!$B$7),1,0)+IF(AND(RANK.EQ('Momentum Ranks'!L31,'Momentum Ranks'!$B31:$U31,0)&lt;='Strategy Settings'!$B$7,RANK.EQ('Momentum Ranks'!L30,'Momentum Ranks'!$B30:$U30,0)&lt;='Strategy Settings'!$B$7),1,0)+IF(AND(RANK.EQ('Momentum Ranks'!M31,'Momentum Ranks'!$B31:$U31,0)&lt;='Strategy Settings'!$B$7,RANK.EQ('Momentum Ranks'!M30,'Momentum Ranks'!$B30:$U30,0)&lt;='Strategy Settings'!$B$7),1,0)+IF(AND(RANK.EQ('Momentum Ranks'!N31,'Momentum Ranks'!$B31:$U31,0)&lt;='Strategy Settings'!$B$7,RANK.EQ('Momentum Ranks'!N30,'Momentum Ranks'!$B30:$U30,0)&lt;='Strategy Settings'!$B$7),1,0)+IF(AND(RANK.EQ('Momentum Ranks'!O31,'Momentum Ranks'!$B31:$U31,0)&lt;='Strategy Settings'!$B$7,RANK.EQ('Momentum Ranks'!O30,'Momentum Ranks'!$B30:$U30,0)&lt;='Strategy Settings'!$B$7),1,0)+IF(AND(RANK.EQ('Momentum Ranks'!P31,'Momentum Ranks'!$B31:$U31,0)&lt;='Strategy Settings'!$B$7,RANK.EQ('Momentum Ranks'!P30,'Momentum Ranks'!$B30:$U30,0)&lt;='Strategy Settings'!$B$7),1,0)+IF(AND(RANK.EQ('Momentum Ranks'!Q31,'Momentum Ranks'!$B31:$U31,0)&lt;='Strategy Settings'!$B$7,RANK.EQ('Momentum Ranks'!Q30,'Momentum Ranks'!$B30:$U30,0)&lt;='Strategy Settings'!$B$7),1,0)+IF(AND(RANK.EQ('Momentum Ranks'!R31,'Momentum Ranks'!$B31:$U31,0)&lt;='Strategy Settings'!$B$7,RANK.EQ('Momentum Ranks'!R30,'Momentum Ranks'!$B30:$U30,0)&lt;='Strategy Settings'!$B$7),1,0)+IF(AND(RANK.EQ('Momentum Ranks'!S31,'Momentum Ranks'!$B31:$U31,0)&lt;='Strategy Settings'!$B$7,RANK.EQ('Momentum Ranks'!S30,'Momentum Ranks'!$B30:$U30,0)&lt;='Strategy Settings'!$B$7),1,0)+IF(AND(RANK.EQ('Momentum Ranks'!T31,'Momentum Ranks'!$B31:$U31,0)&lt;='Strategy Settings'!$B$7,RANK.EQ('Momentum Ranks'!T30,'Momentum Ranks'!$B30:$U30,0)&lt;='Strategy Settings'!$B$7),1,0)+IF(AND(RANK.EQ('Momentum Ranks'!U31,'Momentum Ranks'!$B31:$U31,0)&lt;='Strategy Settings'!$B$7,RANK.EQ('Momentum Ranks'!U30,'Momentum Ranks'!$B30:$U30,0)&lt;='Strategy Settings'!$B$7),1,0))/'Strategy Settings'!$B$7</x:f>
        <x:v>0</x:v>
      </x:c>
      <x:c r="D31" s="26" t="n">
        <x:f>C31*'Strategy Settings'!$B$9</x:f>
        <x:v>0</x:v>
      </x:c>
      <x:c r="E31" s="26" t="n">
        <x:f>B31-D31</x:f>
        <x:v>0.058072169683675</x:v>
      </x:c>
      <x:c r="F31" s="26" t="n">
        <x:f>'Return Data'!V41</x:f>
        <x:v>-0.10326526819152756</x:v>
      </x:c>
      <x:c r="G31" s="26" t="n">
        <x:f>E31-F31</x:f>
        <x:v>0.16133743787520255</x:v>
      </x:c>
      <x:c r="H31" s="28" t="n">
        <x:f>H30*(1+E31)</x:f>
        <x:v>1.1828368637598292</x:v>
      </x:c>
      <x:c r="I31" s="28" t="n">
        <x:f>I30*(1+F31)</x:f>
        <x:v>1.186579246294484</x:v>
      </x:c>
      <x:c r="J31" s="26" t="n">
        <x:f>H31/MAX($H$4:H31)-1</x:f>
        <x:v>-0.1984986064272224</x:v>
      </x:c>
      <x:c r="K31" s="26" t="n">
        <x:f>I31/MAX($I$4:I31)-1</x:f>
        <x:v>-0.10326526819152759</x:v>
      </x:c>
    </x:row>
    <x:row r="32">
      <x:c r="A32" s="20" t="n">
        <x:f>'Return Data'!A46</x:f>
        <x:v>44985</x:v>
      </x:c>
      <x:c r="B32" s="26" t="n">
        <x:f>(IF(RANK.EQ('Momentum Ranks'!B32,'Momentum Ranks'!$B32:$U32,0)&lt;='Strategy Settings'!$B$7,'Return Data'!B46,0)+IF(RANK.EQ('Momentum Ranks'!C32,'Momentum Ranks'!$B32:$U32,0)&lt;='Strategy Settings'!$B$7,'Return Data'!C46,0)+IF(RANK.EQ('Momentum Ranks'!D32,'Momentum Ranks'!$B32:$U32,0)&lt;='Strategy Settings'!$B$7,'Return Data'!D46,0)+IF(RANK.EQ('Momentum Ranks'!E32,'Momentum Ranks'!$B32:$U32,0)&lt;='Strategy Settings'!$B$7,'Return Data'!E46,0)+IF(RANK.EQ('Momentum Ranks'!F32,'Momentum Ranks'!$B32:$U32,0)&lt;='Strategy Settings'!$B$7,'Return Data'!F46,0)+IF(RANK.EQ('Momentum Ranks'!G32,'Momentum Ranks'!$B32:$U32,0)&lt;='Strategy Settings'!$B$7,'Return Data'!G46,0)+IF(RANK.EQ('Momentum Ranks'!H32,'Momentum Ranks'!$B32:$U32,0)&lt;='Strategy Settings'!$B$7,'Return Data'!H46,0)+IF(RANK.EQ('Momentum Ranks'!I32,'Momentum Ranks'!$B32:$U32,0)&lt;='Strategy Settings'!$B$7,'Return Data'!I46,0)+IF(RANK.EQ('Momentum Ranks'!J32,'Momentum Ranks'!$B32:$U32,0)&lt;='Strategy Settings'!$B$7,'Return Data'!J46,0)+IF(RANK.EQ('Momentum Ranks'!K32,'Momentum Ranks'!$B32:$U32,0)&lt;='Strategy Settings'!$B$7,'Return Data'!K46,0)+IF(RANK.EQ('Momentum Ranks'!L32,'Momentum Ranks'!$B32:$U32,0)&lt;='Strategy Settings'!$B$7,'Return Data'!L46,0)+IF(RANK.EQ('Momentum Ranks'!M32,'Momentum Ranks'!$B32:$U32,0)&lt;='Strategy Settings'!$B$7,'Return Data'!M46,0)+IF(RANK.EQ('Momentum Ranks'!N32,'Momentum Ranks'!$B32:$U32,0)&lt;='Strategy Settings'!$B$7,'Return Data'!N46,0)+IF(RANK.EQ('Momentum Ranks'!O32,'Momentum Ranks'!$B32:$U32,0)&lt;='Strategy Settings'!$B$7,'Return Data'!O46,0)+IF(RANK.EQ('Momentum Ranks'!P32,'Momentum Ranks'!$B32:$U32,0)&lt;='Strategy Settings'!$B$7,'Return Data'!P46,0)+IF(RANK.EQ('Momentum Ranks'!Q32,'Momentum Ranks'!$B32:$U32,0)&lt;='Strategy Settings'!$B$7,'Return Data'!Q46,0)+IF(RANK.EQ('Momentum Ranks'!R32,'Momentum Ranks'!$B32:$U32,0)&lt;='Strategy Settings'!$B$7,'Return Data'!R46,0)+IF(RANK.EQ('Momentum Ranks'!S32,'Momentum Ranks'!$B32:$U32,0)&lt;='Strategy Settings'!$B$7,'Return Data'!S46,0)+IF(RANK.EQ('Momentum Ranks'!T32,'Momentum Ranks'!$B32:$U32,0)&lt;='Strategy Settings'!$B$7,'Return Data'!T46,0)+IF(RANK.EQ('Momentum Ranks'!U32,'Momentum Ranks'!$B32:$U32,0)&lt;='Strategy Settings'!$B$7,'Return Data'!U46,0))/'Strategy Settings'!$B$7</x:f>
        <x:v>0.020996445771079973</x:v>
      </x:c>
      <x:c r="C32" s="26" t="n">
        <x:f>1-(IF(AND(RANK.EQ('Momentum Ranks'!B32,'Momentum Ranks'!$B32:$U32,0)&lt;='Strategy Settings'!$B$7,RANK.EQ('Momentum Ranks'!B31,'Momentum Ranks'!$B31:$U31,0)&lt;='Strategy Settings'!$B$7),1,0)+IF(AND(RANK.EQ('Momentum Ranks'!C32,'Momentum Ranks'!$B32:$U32,0)&lt;='Strategy Settings'!$B$7,RANK.EQ('Momentum Ranks'!C31,'Momentum Ranks'!$B31:$U31,0)&lt;='Strategy Settings'!$B$7),1,0)+IF(AND(RANK.EQ('Momentum Ranks'!D32,'Momentum Ranks'!$B32:$U32,0)&lt;='Strategy Settings'!$B$7,RANK.EQ('Momentum Ranks'!D31,'Momentum Ranks'!$B31:$U31,0)&lt;='Strategy Settings'!$B$7),1,0)+IF(AND(RANK.EQ('Momentum Ranks'!E32,'Momentum Ranks'!$B32:$U32,0)&lt;='Strategy Settings'!$B$7,RANK.EQ('Momentum Ranks'!E31,'Momentum Ranks'!$B31:$U31,0)&lt;='Strategy Settings'!$B$7),1,0)+IF(AND(RANK.EQ('Momentum Ranks'!F32,'Momentum Ranks'!$B32:$U32,0)&lt;='Strategy Settings'!$B$7,RANK.EQ('Momentum Ranks'!F31,'Momentum Ranks'!$B31:$U31,0)&lt;='Strategy Settings'!$B$7),1,0)+IF(AND(RANK.EQ('Momentum Ranks'!G32,'Momentum Ranks'!$B32:$U32,0)&lt;='Strategy Settings'!$B$7,RANK.EQ('Momentum Ranks'!G31,'Momentum Ranks'!$B31:$U31,0)&lt;='Strategy Settings'!$B$7),1,0)+IF(AND(RANK.EQ('Momentum Ranks'!H32,'Momentum Ranks'!$B32:$U32,0)&lt;='Strategy Settings'!$B$7,RANK.EQ('Momentum Ranks'!H31,'Momentum Ranks'!$B31:$U31,0)&lt;='Strategy Settings'!$B$7),1,0)+IF(AND(RANK.EQ('Momentum Ranks'!I32,'Momentum Ranks'!$B32:$U32,0)&lt;='Strategy Settings'!$B$7,RANK.EQ('Momentum Ranks'!I31,'Momentum Ranks'!$B31:$U31,0)&lt;='Strategy Settings'!$B$7),1,0)+IF(AND(RANK.EQ('Momentum Ranks'!J32,'Momentum Ranks'!$B32:$U32,0)&lt;='Strategy Settings'!$B$7,RANK.EQ('Momentum Ranks'!J31,'Momentum Ranks'!$B31:$U31,0)&lt;='Strategy Settings'!$B$7),1,0)+IF(AND(RANK.EQ('Momentum Ranks'!K32,'Momentum Ranks'!$B32:$U32,0)&lt;='Strategy Settings'!$B$7,RANK.EQ('Momentum Ranks'!K31,'Momentum Ranks'!$B31:$U31,0)&lt;='Strategy Settings'!$B$7),1,0)+IF(AND(RANK.EQ('Momentum Ranks'!L32,'Momentum Ranks'!$B32:$U32,0)&lt;='Strategy Settings'!$B$7,RANK.EQ('Momentum Ranks'!L31,'Momentum Ranks'!$B31:$U31,0)&lt;='Strategy Settings'!$B$7),1,0)+IF(AND(RANK.EQ('Momentum Ranks'!M32,'Momentum Ranks'!$B32:$U32,0)&lt;='Strategy Settings'!$B$7,RANK.EQ('Momentum Ranks'!M31,'Momentum Ranks'!$B31:$U31,0)&lt;='Strategy Settings'!$B$7),1,0)+IF(AND(RANK.EQ('Momentum Ranks'!N32,'Momentum Ranks'!$B32:$U32,0)&lt;='Strategy Settings'!$B$7,RANK.EQ('Momentum Ranks'!N31,'Momentum Ranks'!$B31:$U31,0)&lt;='Strategy Settings'!$B$7),1,0)+IF(AND(RANK.EQ('Momentum Ranks'!O32,'Momentum Ranks'!$B32:$U32,0)&lt;='Strategy Settings'!$B$7,RANK.EQ('Momentum Ranks'!O31,'Momentum Ranks'!$B31:$U31,0)&lt;='Strategy Settings'!$B$7),1,0)+IF(AND(RANK.EQ('Momentum Ranks'!P32,'Momentum Ranks'!$B32:$U32,0)&lt;='Strategy Settings'!$B$7,RANK.EQ('Momentum Ranks'!P31,'Momentum Ranks'!$B31:$U31,0)&lt;='Strategy Settings'!$B$7),1,0)+IF(AND(RANK.EQ('Momentum Ranks'!Q32,'Momentum Ranks'!$B32:$U32,0)&lt;='Strategy Settings'!$B$7,RANK.EQ('Momentum Ranks'!Q31,'Momentum Ranks'!$B31:$U31,0)&lt;='Strategy Settings'!$B$7),1,0)+IF(AND(RANK.EQ('Momentum Ranks'!R32,'Momentum Ranks'!$B32:$U32,0)&lt;='Strategy Settings'!$B$7,RANK.EQ('Momentum Ranks'!R31,'Momentum Ranks'!$B31:$U31,0)&lt;='Strategy Settings'!$B$7),1,0)+IF(AND(RANK.EQ('Momentum Ranks'!S32,'Momentum Ranks'!$B32:$U32,0)&lt;='Strategy Settings'!$B$7,RANK.EQ('Momentum Ranks'!S31,'Momentum Ranks'!$B31:$U31,0)&lt;='Strategy Settings'!$B$7),1,0)+IF(AND(RANK.EQ('Momentum Ranks'!T32,'Momentum Ranks'!$B32:$U32,0)&lt;='Strategy Settings'!$B$7,RANK.EQ('Momentum Ranks'!T31,'Momentum Ranks'!$B31:$U31,0)&lt;='Strategy Settings'!$B$7),1,0)+IF(AND(RANK.EQ('Momentum Ranks'!U32,'Momentum Ranks'!$B32:$U32,0)&lt;='Strategy Settings'!$B$7,RANK.EQ('Momentum Ranks'!U31,'Momentum Ranks'!$B31:$U31,0)&lt;='Strategy Settings'!$B$7),1,0))/'Strategy Settings'!$B$7</x:f>
        <x:v>0.25</x:v>
      </x:c>
      <x:c r="D32" s="26" t="n">
        <x:f>C32*'Strategy Settings'!$B$9</x:f>
        <x:v>0.00025</x:v>
      </x:c>
      <x:c r="E32" s="26" t="n">
        <x:f>B32-D32</x:f>
        <x:v>0.020746445771079973</x:v>
      </x:c>
      <x:c r="F32" s="26" t="n">
        <x:f>'Return Data'!V42</x:f>
        <x:v>0.0084873680556488</x:v>
      </x:c>
      <x:c r="G32" s="26" t="n">
        <x:f>E32-F32</x:f>
        <x:v>0.012259077715431173</x:v>
      </x:c>
      <x:c r="H32" s="28" t="n">
        <x:f>H31*(1+E32)</x:f>
        <x:v>1.207376524609857</x:v>
      </x:c>
      <x:c r="I32" s="28" t="n">
        <x:f>I31*(1+F32)</x:f>
        <x:v>1.1966501810849794</x:v>
      </x:c>
      <x:c r="J32" s="26" t="n">
        <x:f>H32/MAX($H$4:H32)-1</x:f>
        <x:v>-0.18187030123001968</x:v>
      </x:c>
      <x:c r="K32" s="26" t="n">
        <x:f>I32/MAX($I$4:I32)-1</x:f>
        <x:v>-0.09565435047438575</x:v>
      </x:c>
    </x:row>
    <x:row r="33">
      <x:c r="A33" s="20" t="n">
        <x:f>'Return Data'!A47</x:f>
        <x:v>45015</x:v>
      </x:c>
      <x:c r="B33" s="26" t="n">
        <x:f>(IF(RANK.EQ('Momentum Ranks'!B33,'Momentum Ranks'!$B33:$U33,0)&lt;='Strategy Settings'!$B$7,'Return Data'!B47,0)+IF(RANK.EQ('Momentum Ranks'!C33,'Momentum Ranks'!$B33:$U33,0)&lt;='Strategy Settings'!$B$7,'Return Data'!C47,0)+IF(RANK.EQ('Momentum Ranks'!D33,'Momentum Ranks'!$B33:$U33,0)&lt;='Strategy Settings'!$B$7,'Return Data'!D47,0)+IF(RANK.EQ('Momentum Ranks'!E33,'Momentum Ranks'!$B33:$U33,0)&lt;='Strategy Settings'!$B$7,'Return Data'!E47,0)+IF(RANK.EQ('Momentum Ranks'!F33,'Momentum Ranks'!$B33:$U33,0)&lt;='Strategy Settings'!$B$7,'Return Data'!F47,0)+IF(RANK.EQ('Momentum Ranks'!G33,'Momentum Ranks'!$B33:$U33,0)&lt;='Strategy Settings'!$B$7,'Return Data'!G47,0)+IF(RANK.EQ('Momentum Ranks'!H33,'Momentum Ranks'!$B33:$U33,0)&lt;='Strategy Settings'!$B$7,'Return Data'!H47,0)+IF(RANK.EQ('Momentum Ranks'!I33,'Momentum Ranks'!$B33:$U33,0)&lt;='Strategy Settings'!$B$7,'Return Data'!I47,0)+IF(RANK.EQ('Momentum Ranks'!J33,'Momentum Ranks'!$B33:$U33,0)&lt;='Strategy Settings'!$B$7,'Return Data'!J47,0)+IF(RANK.EQ('Momentum Ranks'!K33,'Momentum Ranks'!$B33:$U33,0)&lt;='Strategy Settings'!$B$7,'Return Data'!K47,0)+IF(RANK.EQ('Momentum Ranks'!L33,'Momentum Ranks'!$B33:$U33,0)&lt;='Strategy Settings'!$B$7,'Return Data'!L47,0)+IF(RANK.EQ('Momentum Ranks'!M33,'Momentum Ranks'!$B33:$U33,0)&lt;='Strategy Settings'!$B$7,'Return Data'!M47,0)+IF(RANK.EQ('Momentum Ranks'!N33,'Momentum Ranks'!$B33:$U33,0)&lt;='Strategy Settings'!$B$7,'Return Data'!N47,0)+IF(RANK.EQ('Momentum Ranks'!O33,'Momentum Ranks'!$B33:$U33,0)&lt;='Strategy Settings'!$B$7,'Return Data'!O47,0)+IF(RANK.EQ('Momentum Ranks'!P33,'Momentum Ranks'!$B33:$U33,0)&lt;='Strategy Settings'!$B$7,'Return Data'!P47,0)+IF(RANK.EQ('Momentum Ranks'!Q33,'Momentum Ranks'!$B33:$U33,0)&lt;='Strategy Settings'!$B$7,'Return Data'!Q47,0)+IF(RANK.EQ('Momentum Ranks'!R33,'Momentum Ranks'!$B33:$U33,0)&lt;='Strategy Settings'!$B$7,'Return Data'!R47,0)+IF(RANK.EQ('Momentum Ranks'!S33,'Momentum Ranks'!$B33:$U33,0)&lt;='Strategy Settings'!$B$7,'Return Data'!S47,0)+IF(RANK.EQ('Momentum Ranks'!T33,'Momentum Ranks'!$B33:$U33,0)&lt;='Strategy Settings'!$B$7,'Return Data'!T47,0)+IF(RANK.EQ('Momentum Ranks'!U33,'Momentum Ranks'!$B33:$U33,0)&lt;='Strategy Settings'!$B$7,'Return Data'!U47,0))/'Strategy Settings'!$B$7</x:f>
        <x:v>0.008516998507722907</x:v>
      </x:c>
      <x:c r="C33" s="26" t="n">
        <x:f>1-(IF(AND(RANK.EQ('Momentum Ranks'!B33,'Momentum Ranks'!$B33:$U33,0)&lt;='Strategy Settings'!$B$7,RANK.EQ('Momentum Ranks'!B32,'Momentum Ranks'!$B32:$U32,0)&lt;='Strategy Settings'!$B$7),1,0)+IF(AND(RANK.EQ('Momentum Ranks'!C33,'Momentum Ranks'!$B33:$U33,0)&lt;='Strategy Settings'!$B$7,RANK.EQ('Momentum Ranks'!C32,'Momentum Ranks'!$B32:$U32,0)&lt;='Strategy Settings'!$B$7),1,0)+IF(AND(RANK.EQ('Momentum Ranks'!D33,'Momentum Ranks'!$B33:$U33,0)&lt;='Strategy Settings'!$B$7,RANK.EQ('Momentum Ranks'!D32,'Momentum Ranks'!$B32:$U32,0)&lt;='Strategy Settings'!$B$7),1,0)+IF(AND(RANK.EQ('Momentum Ranks'!E33,'Momentum Ranks'!$B33:$U33,0)&lt;='Strategy Settings'!$B$7,RANK.EQ('Momentum Ranks'!E32,'Momentum Ranks'!$B32:$U32,0)&lt;='Strategy Settings'!$B$7),1,0)+IF(AND(RANK.EQ('Momentum Ranks'!F33,'Momentum Ranks'!$B33:$U33,0)&lt;='Strategy Settings'!$B$7,RANK.EQ('Momentum Ranks'!F32,'Momentum Ranks'!$B32:$U32,0)&lt;='Strategy Settings'!$B$7),1,0)+IF(AND(RANK.EQ('Momentum Ranks'!G33,'Momentum Ranks'!$B33:$U33,0)&lt;='Strategy Settings'!$B$7,RANK.EQ('Momentum Ranks'!G32,'Momentum Ranks'!$B32:$U32,0)&lt;='Strategy Settings'!$B$7),1,0)+IF(AND(RANK.EQ('Momentum Ranks'!H33,'Momentum Ranks'!$B33:$U33,0)&lt;='Strategy Settings'!$B$7,RANK.EQ('Momentum Ranks'!H32,'Momentum Ranks'!$B32:$U32,0)&lt;='Strategy Settings'!$B$7),1,0)+IF(AND(RANK.EQ('Momentum Ranks'!I33,'Momentum Ranks'!$B33:$U33,0)&lt;='Strategy Settings'!$B$7,RANK.EQ('Momentum Ranks'!I32,'Momentum Ranks'!$B32:$U32,0)&lt;='Strategy Settings'!$B$7),1,0)+IF(AND(RANK.EQ('Momentum Ranks'!J33,'Momentum Ranks'!$B33:$U33,0)&lt;='Strategy Settings'!$B$7,RANK.EQ('Momentum Ranks'!J32,'Momentum Ranks'!$B32:$U32,0)&lt;='Strategy Settings'!$B$7),1,0)+IF(AND(RANK.EQ('Momentum Ranks'!K33,'Momentum Ranks'!$B33:$U33,0)&lt;='Strategy Settings'!$B$7,RANK.EQ('Momentum Ranks'!K32,'Momentum Ranks'!$B32:$U32,0)&lt;='Strategy Settings'!$B$7),1,0)+IF(AND(RANK.EQ('Momentum Ranks'!L33,'Momentum Ranks'!$B33:$U33,0)&lt;='Strategy Settings'!$B$7,RANK.EQ('Momentum Ranks'!L32,'Momentum Ranks'!$B32:$U32,0)&lt;='Strategy Settings'!$B$7),1,0)+IF(AND(RANK.EQ('Momentum Ranks'!M33,'Momentum Ranks'!$B33:$U33,0)&lt;='Strategy Settings'!$B$7,RANK.EQ('Momentum Ranks'!M32,'Momentum Ranks'!$B32:$U32,0)&lt;='Strategy Settings'!$B$7),1,0)+IF(AND(RANK.EQ('Momentum Ranks'!N33,'Momentum Ranks'!$B33:$U33,0)&lt;='Strategy Settings'!$B$7,RANK.EQ('Momentum Ranks'!N32,'Momentum Ranks'!$B32:$U32,0)&lt;='Strategy Settings'!$B$7),1,0)+IF(AND(RANK.EQ('Momentum Ranks'!O33,'Momentum Ranks'!$B33:$U33,0)&lt;='Strategy Settings'!$B$7,RANK.EQ('Momentum Ranks'!O32,'Momentum Ranks'!$B32:$U32,0)&lt;='Strategy Settings'!$B$7),1,0)+IF(AND(RANK.EQ('Momentum Ranks'!P33,'Momentum Ranks'!$B33:$U33,0)&lt;='Strategy Settings'!$B$7,RANK.EQ('Momentum Ranks'!P32,'Momentum Ranks'!$B32:$U32,0)&lt;='Strategy Settings'!$B$7),1,0)+IF(AND(RANK.EQ('Momentum Ranks'!Q33,'Momentum Ranks'!$B33:$U33,0)&lt;='Strategy Settings'!$B$7,RANK.EQ('Momentum Ranks'!Q32,'Momentum Ranks'!$B32:$U32,0)&lt;='Strategy Settings'!$B$7),1,0)+IF(AND(RANK.EQ('Momentum Ranks'!R33,'Momentum Ranks'!$B33:$U33,0)&lt;='Strategy Settings'!$B$7,RANK.EQ('Momentum Ranks'!R32,'Momentum Ranks'!$B32:$U32,0)&lt;='Strategy Settings'!$B$7),1,0)+IF(AND(RANK.EQ('Momentum Ranks'!S33,'Momentum Ranks'!$B33:$U33,0)&lt;='Strategy Settings'!$B$7,RANK.EQ('Momentum Ranks'!S32,'Momentum Ranks'!$B32:$U32,0)&lt;='Strategy Settings'!$B$7),1,0)+IF(AND(RANK.EQ('Momentum Ranks'!T33,'Momentum Ranks'!$B33:$U33,0)&lt;='Strategy Settings'!$B$7,RANK.EQ('Momentum Ranks'!T32,'Momentum Ranks'!$B32:$U32,0)&lt;='Strategy Settings'!$B$7),1,0)+IF(AND(RANK.EQ('Momentum Ranks'!U33,'Momentum Ranks'!$B33:$U33,0)&lt;='Strategy Settings'!$B$7,RANK.EQ('Momentum Ranks'!U32,'Momentum Ranks'!$B32:$U32,0)&lt;='Strategy Settings'!$B$7),1,0))/'Strategy Settings'!$B$7</x:f>
        <x:v>0.75</x:v>
      </x:c>
      <x:c r="D33" s="26" t="n">
        <x:f>C33*'Strategy Settings'!$B$9</x:f>
        <x:v>0.00075</x:v>
      </x:c>
      <x:c r="E33" s="26" t="n">
        <x:f>B33-D33</x:f>
        <x:v>0.007766998507722907</x:v>
      </x:c>
      <x:c r="F33" s="26" t="n">
        <x:f>'Return Data'!V43</x:f>
        <x:v>-0.03712059300227871</x:v>
      </x:c>
      <x:c r="G33" s="26" t="n">
        <x:f>E33-F33</x:f>
        <x:v>0.04488759151000162</x:v>
      </x:c>
      <x:c r="H33" s="28" t="n">
        <x:f>H32*(1+E33)</x:f>
        <x:v>1.2167542162747613</x:v>
      </x:c>
      <x:c r="I33" s="28" t="n">
        <x:f>I32*(1+F33)</x:f>
        <x:v>1.1522298167468208</x:v>
      </x:c>
      <x:c r="J33" s="26" t="n">
        <x:f>H33/MAX($H$4:H33)-1</x:f>
        <x:v>-0.17551588908054938</x:v>
      </x:c>
      <x:c r="K33" s="26" t="n">
        <x:f>I33/MAX($I$4:I33)-1</x:f>
        <x:v>-0.1292241972638074</x:v>
      </x:c>
    </x:row>
    <x:row r="34">
      <x:c r="A34" s="20" t="n">
        <x:f>'Return Data'!A48</x:f>
        <x:v>45046</x:v>
      </x:c>
      <x:c r="B34" s="26" t="n">
        <x:f>(IF(RANK.EQ('Momentum Ranks'!B34,'Momentum Ranks'!$B34:$U34,0)&lt;='Strategy Settings'!$B$7,'Return Data'!B48,0)+IF(RANK.EQ('Momentum Ranks'!C34,'Momentum Ranks'!$B34:$U34,0)&lt;='Strategy Settings'!$B$7,'Return Data'!C48,0)+IF(RANK.EQ('Momentum Ranks'!D34,'Momentum Ranks'!$B34:$U34,0)&lt;='Strategy Settings'!$B$7,'Return Data'!D48,0)+IF(RANK.EQ('Momentum Ranks'!E34,'Momentum Ranks'!$B34:$U34,0)&lt;='Strategy Settings'!$B$7,'Return Data'!E48,0)+IF(RANK.EQ('Momentum Ranks'!F34,'Momentum Ranks'!$B34:$U34,0)&lt;='Strategy Settings'!$B$7,'Return Data'!F48,0)+IF(RANK.EQ('Momentum Ranks'!G34,'Momentum Ranks'!$B34:$U34,0)&lt;='Strategy Settings'!$B$7,'Return Data'!G48,0)+IF(RANK.EQ('Momentum Ranks'!H34,'Momentum Ranks'!$B34:$U34,0)&lt;='Strategy Settings'!$B$7,'Return Data'!H48,0)+IF(RANK.EQ('Momentum Ranks'!I34,'Momentum Ranks'!$B34:$U34,0)&lt;='Strategy Settings'!$B$7,'Return Data'!I48,0)+IF(RANK.EQ('Momentum Ranks'!J34,'Momentum Ranks'!$B34:$U34,0)&lt;='Strategy Settings'!$B$7,'Return Data'!J48,0)+IF(RANK.EQ('Momentum Ranks'!K34,'Momentum Ranks'!$B34:$U34,0)&lt;='Strategy Settings'!$B$7,'Return Data'!K48,0)+IF(RANK.EQ('Momentum Ranks'!L34,'Momentum Ranks'!$B34:$U34,0)&lt;='Strategy Settings'!$B$7,'Return Data'!L48,0)+IF(RANK.EQ('Momentum Ranks'!M34,'Momentum Ranks'!$B34:$U34,0)&lt;='Strategy Settings'!$B$7,'Return Data'!M48,0)+IF(RANK.EQ('Momentum Ranks'!N34,'Momentum Ranks'!$B34:$U34,0)&lt;='Strategy Settings'!$B$7,'Return Data'!N48,0)+IF(RANK.EQ('Momentum Ranks'!O34,'Momentum Ranks'!$B34:$U34,0)&lt;='Strategy Settings'!$B$7,'Return Data'!O48,0)+IF(RANK.EQ('Momentum Ranks'!P34,'Momentum Ranks'!$B34:$U34,0)&lt;='Strategy Settings'!$B$7,'Return Data'!P48,0)+IF(RANK.EQ('Momentum Ranks'!Q34,'Momentum Ranks'!$B34:$U34,0)&lt;='Strategy Settings'!$B$7,'Return Data'!Q48,0)+IF(RANK.EQ('Momentum Ranks'!R34,'Momentum Ranks'!$B34:$U34,0)&lt;='Strategy Settings'!$B$7,'Return Data'!R48,0)+IF(RANK.EQ('Momentum Ranks'!S34,'Momentum Ranks'!$B34:$U34,0)&lt;='Strategy Settings'!$B$7,'Return Data'!S48,0)+IF(RANK.EQ('Momentum Ranks'!T34,'Momentum Ranks'!$B34:$U34,0)&lt;='Strategy Settings'!$B$7,'Return Data'!T48,0)+IF(RANK.EQ('Momentum Ranks'!U34,'Momentum Ranks'!$B34:$U34,0)&lt;='Strategy Settings'!$B$7,'Return Data'!U48,0))/'Strategy Settings'!$B$7</x:f>
        <x:v>0.008091994693352048</x:v>
      </x:c>
      <x:c r="C34" s="26" t="n">
        <x:f>1-(IF(AND(RANK.EQ('Momentum Ranks'!B34,'Momentum Ranks'!$B34:$U34,0)&lt;='Strategy Settings'!$B$7,RANK.EQ('Momentum Ranks'!B33,'Momentum Ranks'!$B33:$U33,0)&lt;='Strategy Settings'!$B$7),1,0)+IF(AND(RANK.EQ('Momentum Ranks'!C34,'Momentum Ranks'!$B34:$U34,0)&lt;='Strategy Settings'!$B$7,RANK.EQ('Momentum Ranks'!C33,'Momentum Ranks'!$B33:$U33,0)&lt;='Strategy Settings'!$B$7),1,0)+IF(AND(RANK.EQ('Momentum Ranks'!D34,'Momentum Ranks'!$B34:$U34,0)&lt;='Strategy Settings'!$B$7,RANK.EQ('Momentum Ranks'!D33,'Momentum Ranks'!$B33:$U33,0)&lt;='Strategy Settings'!$B$7),1,0)+IF(AND(RANK.EQ('Momentum Ranks'!E34,'Momentum Ranks'!$B34:$U34,0)&lt;='Strategy Settings'!$B$7,RANK.EQ('Momentum Ranks'!E33,'Momentum Ranks'!$B33:$U33,0)&lt;='Strategy Settings'!$B$7),1,0)+IF(AND(RANK.EQ('Momentum Ranks'!F34,'Momentum Ranks'!$B34:$U34,0)&lt;='Strategy Settings'!$B$7,RANK.EQ('Momentum Ranks'!F33,'Momentum Ranks'!$B33:$U33,0)&lt;='Strategy Settings'!$B$7),1,0)+IF(AND(RANK.EQ('Momentum Ranks'!G34,'Momentum Ranks'!$B34:$U34,0)&lt;='Strategy Settings'!$B$7,RANK.EQ('Momentum Ranks'!G33,'Momentum Ranks'!$B33:$U33,0)&lt;='Strategy Settings'!$B$7),1,0)+IF(AND(RANK.EQ('Momentum Ranks'!H34,'Momentum Ranks'!$B34:$U34,0)&lt;='Strategy Settings'!$B$7,RANK.EQ('Momentum Ranks'!H33,'Momentum Ranks'!$B33:$U33,0)&lt;='Strategy Settings'!$B$7),1,0)+IF(AND(RANK.EQ('Momentum Ranks'!I34,'Momentum Ranks'!$B34:$U34,0)&lt;='Strategy Settings'!$B$7,RANK.EQ('Momentum Ranks'!I33,'Momentum Ranks'!$B33:$U33,0)&lt;='Strategy Settings'!$B$7),1,0)+IF(AND(RANK.EQ('Momentum Ranks'!J34,'Momentum Ranks'!$B34:$U34,0)&lt;='Strategy Settings'!$B$7,RANK.EQ('Momentum Ranks'!J33,'Momentum Ranks'!$B33:$U33,0)&lt;='Strategy Settings'!$B$7),1,0)+IF(AND(RANK.EQ('Momentum Ranks'!K34,'Momentum Ranks'!$B34:$U34,0)&lt;='Strategy Settings'!$B$7,RANK.EQ('Momentum Ranks'!K33,'Momentum Ranks'!$B33:$U33,0)&lt;='Strategy Settings'!$B$7),1,0)+IF(AND(RANK.EQ('Momentum Ranks'!L34,'Momentum Ranks'!$B34:$U34,0)&lt;='Strategy Settings'!$B$7,RANK.EQ('Momentum Ranks'!L33,'Momentum Ranks'!$B33:$U33,0)&lt;='Strategy Settings'!$B$7),1,0)+IF(AND(RANK.EQ('Momentum Ranks'!M34,'Momentum Ranks'!$B34:$U34,0)&lt;='Strategy Settings'!$B$7,RANK.EQ('Momentum Ranks'!M33,'Momentum Ranks'!$B33:$U33,0)&lt;='Strategy Settings'!$B$7),1,0)+IF(AND(RANK.EQ('Momentum Ranks'!N34,'Momentum Ranks'!$B34:$U34,0)&lt;='Strategy Settings'!$B$7,RANK.EQ('Momentum Ranks'!N33,'Momentum Ranks'!$B33:$U33,0)&lt;='Strategy Settings'!$B$7),1,0)+IF(AND(RANK.EQ('Momentum Ranks'!O34,'Momentum Ranks'!$B34:$U34,0)&lt;='Strategy Settings'!$B$7,RANK.EQ('Momentum Ranks'!O33,'Momentum Ranks'!$B33:$U33,0)&lt;='Strategy Settings'!$B$7),1,0)+IF(AND(RANK.EQ('Momentum Ranks'!P34,'Momentum Ranks'!$B34:$U34,0)&lt;='Strategy Settings'!$B$7,RANK.EQ('Momentum Ranks'!P33,'Momentum Ranks'!$B33:$U33,0)&lt;='Strategy Settings'!$B$7),1,0)+IF(AND(RANK.EQ('Momentum Ranks'!Q34,'Momentum Ranks'!$B34:$U34,0)&lt;='Strategy Settings'!$B$7,RANK.EQ('Momentum Ranks'!Q33,'Momentum Ranks'!$B33:$U33,0)&lt;='Strategy Settings'!$B$7),1,0)+IF(AND(RANK.EQ('Momentum Ranks'!R34,'Momentum Ranks'!$B34:$U34,0)&lt;='Strategy Settings'!$B$7,RANK.EQ('Momentum Ranks'!R33,'Momentum Ranks'!$B33:$U33,0)&lt;='Strategy Settings'!$B$7),1,0)+IF(AND(RANK.EQ('Momentum Ranks'!S34,'Momentum Ranks'!$B34:$U34,0)&lt;='Strategy Settings'!$B$7,RANK.EQ('Momentum Ranks'!S33,'Momentum Ranks'!$B33:$U33,0)&lt;='Strategy Settings'!$B$7),1,0)+IF(AND(RANK.EQ('Momentum Ranks'!T34,'Momentum Ranks'!$B34:$U34,0)&lt;='Strategy Settings'!$B$7,RANK.EQ('Momentum Ranks'!T33,'Momentum Ranks'!$B33:$U33,0)&lt;='Strategy Settings'!$B$7),1,0)+IF(AND(RANK.EQ('Momentum Ranks'!U34,'Momentum Ranks'!$B34:$U34,0)&lt;='Strategy Settings'!$B$7,RANK.EQ('Momentum Ranks'!U33,'Momentum Ranks'!$B33:$U33,0)&lt;='Strategy Settings'!$B$7),1,0))/'Strategy Settings'!$B$7</x:f>
        <x:v>0.25</x:v>
      </x:c>
      <x:c r="D34" s="26" t="n">
        <x:f>C34*'Strategy Settings'!$B$9</x:f>
        <x:v>0.00025</x:v>
      </x:c>
      <x:c r="E34" s="26" t="n">
        <x:f>B34-D34</x:f>
        <x:v>0.007841994693352047</x:v>
      </x:c>
      <x:c r="F34" s="26" t="n">
        <x:f>'Return Data'!V44</x:f>
        <x:v>-0.10344567276431112</x:v>
      </x:c>
      <x:c r="G34" s="26" t="n">
        <x:f>E34-F34</x:f>
        <x:v>0.11128766745766316</x:v>
      </x:c>
      <x:c r="H34" s="28" t="n">
        <x:f>H33*(1+E34)</x:f>
        <x:v>1.2262959963819018</x:v>
      </x:c>
      <x:c r="I34" s="28" t="n">
        <x:f>I33*(1+F34)</x:f>
        <x:v>1.033036628174347</x:v>
      </x:c>
      <x:c r="J34" s="26" t="n">
        <x:f>H34/MAX($H$4:H34)-1</x:f>
        <x:v>-0.16905028905796593</x:v>
      </x:c>
      <x:c r="K34" s="26" t="n">
        <x:f>I34/MAX($I$4:I34)-1</x:f>
        <x:v>-0.21930218600473594</x:v>
      </x:c>
    </x:row>
    <x:row r="35">
      <x:c r="A35" s="20" t="n">
        <x:f>'Return Data'!A49</x:f>
        <x:v>45076</x:v>
      </x:c>
      <x:c r="B35" s="26" t="n">
        <x:f>(IF(RANK.EQ('Momentum Ranks'!B35,'Momentum Ranks'!$B35:$U35,0)&lt;='Strategy Settings'!$B$7,'Return Data'!B49,0)+IF(RANK.EQ('Momentum Ranks'!C35,'Momentum Ranks'!$B35:$U35,0)&lt;='Strategy Settings'!$B$7,'Return Data'!C49,0)+IF(RANK.EQ('Momentum Ranks'!D35,'Momentum Ranks'!$B35:$U35,0)&lt;='Strategy Settings'!$B$7,'Return Data'!D49,0)+IF(RANK.EQ('Momentum Ranks'!E35,'Momentum Ranks'!$B35:$U35,0)&lt;='Strategy Settings'!$B$7,'Return Data'!E49,0)+IF(RANK.EQ('Momentum Ranks'!F35,'Momentum Ranks'!$B35:$U35,0)&lt;='Strategy Settings'!$B$7,'Return Data'!F49,0)+IF(RANK.EQ('Momentum Ranks'!G35,'Momentum Ranks'!$B35:$U35,0)&lt;='Strategy Settings'!$B$7,'Return Data'!G49,0)+IF(RANK.EQ('Momentum Ranks'!H35,'Momentum Ranks'!$B35:$U35,0)&lt;='Strategy Settings'!$B$7,'Return Data'!H49,0)+IF(RANK.EQ('Momentum Ranks'!I35,'Momentum Ranks'!$B35:$U35,0)&lt;='Strategy Settings'!$B$7,'Return Data'!I49,0)+IF(RANK.EQ('Momentum Ranks'!J35,'Momentum Ranks'!$B35:$U35,0)&lt;='Strategy Settings'!$B$7,'Return Data'!J49,0)+IF(RANK.EQ('Momentum Ranks'!K35,'Momentum Ranks'!$B35:$U35,0)&lt;='Strategy Settings'!$B$7,'Return Data'!K49,0)+IF(RANK.EQ('Momentum Ranks'!L35,'Momentum Ranks'!$B35:$U35,0)&lt;='Strategy Settings'!$B$7,'Return Data'!L49,0)+IF(RANK.EQ('Momentum Ranks'!M35,'Momentum Ranks'!$B35:$U35,0)&lt;='Strategy Settings'!$B$7,'Return Data'!M49,0)+IF(RANK.EQ('Momentum Ranks'!N35,'Momentum Ranks'!$B35:$U35,0)&lt;='Strategy Settings'!$B$7,'Return Data'!N49,0)+IF(RANK.EQ('Momentum Ranks'!O35,'Momentum Ranks'!$B35:$U35,0)&lt;='Strategy Settings'!$B$7,'Return Data'!O49,0)+IF(RANK.EQ('Momentum Ranks'!P35,'Momentum Ranks'!$B35:$U35,0)&lt;='Strategy Settings'!$B$7,'Return Data'!P49,0)+IF(RANK.EQ('Momentum Ranks'!Q35,'Momentum Ranks'!$B35:$U35,0)&lt;='Strategy Settings'!$B$7,'Return Data'!Q49,0)+IF(RANK.EQ('Momentum Ranks'!R35,'Momentum Ranks'!$B35:$U35,0)&lt;='Strategy Settings'!$B$7,'Return Data'!R49,0)+IF(RANK.EQ('Momentum Ranks'!S35,'Momentum Ranks'!$B35:$U35,0)&lt;='Strategy Settings'!$B$7,'Return Data'!S49,0)+IF(RANK.EQ('Momentum Ranks'!T35,'Momentum Ranks'!$B35:$U35,0)&lt;='Strategy Settings'!$B$7,'Return Data'!T49,0)+IF(RANK.EQ('Momentum Ranks'!U35,'Momentum Ranks'!$B35:$U35,0)&lt;='Strategy Settings'!$B$7,'Return Data'!U49,0))/'Strategy Settings'!$B$7</x:f>
        <x:v>-0.11300880456946195</x:v>
      </x:c>
      <x:c r="C35" s="26" t="n">
        <x:f>1-(IF(AND(RANK.EQ('Momentum Ranks'!B35,'Momentum Ranks'!$B35:$U35,0)&lt;='Strategy Settings'!$B$7,RANK.EQ('Momentum Ranks'!B34,'Momentum Ranks'!$B34:$U34,0)&lt;='Strategy Settings'!$B$7),1,0)+IF(AND(RANK.EQ('Momentum Ranks'!C35,'Momentum Ranks'!$B35:$U35,0)&lt;='Strategy Settings'!$B$7,RANK.EQ('Momentum Ranks'!C34,'Momentum Ranks'!$B34:$U34,0)&lt;='Strategy Settings'!$B$7),1,0)+IF(AND(RANK.EQ('Momentum Ranks'!D35,'Momentum Ranks'!$B35:$U35,0)&lt;='Strategy Settings'!$B$7,RANK.EQ('Momentum Ranks'!D34,'Momentum Ranks'!$B34:$U34,0)&lt;='Strategy Settings'!$B$7),1,0)+IF(AND(RANK.EQ('Momentum Ranks'!E35,'Momentum Ranks'!$B35:$U35,0)&lt;='Strategy Settings'!$B$7,RANK.EQ('Momentum Ranks'!E34,'Momentum Ranks'!$B34:$U34,0)&lt;='Strategy Settings'!$B$7),1,0)+IF(AND(RANK.EQ('Momentum Ranks'!F35,'Momentum Ranks'!$B35:$U35,0)&lt;='Strategy Settings'!$B$7,RANK.EQ('Momentum Ranks'!F34,'Momentum Ranks'!$B34:$U34,0)&lt;='Strategy Settings'!$B$7),1,0)+IF(AND(RANK.EQ('Momentum Ranks'!G35,'Momentum Ranks'!$B35:$U35,0)&lt;='Strategy Settings'!$B$7,RANK.EQ('Momentum Ranks'!G34,'Momentum Ranks'!$B34:$U34,0)&lt;='Strategy Settings'!$B$7),1,0)+IF(AND(RANK.EQ('Momentum Ranks'!H35,'Momentum Ranks'!$B35:$U35,0)&lt;='Strategy Settings'!$B$7,RANK.EQ('Momentum Ranks'!H34,'Momentum Ranks'!$B34:$U34,0)&lt;='Strategy Settings'!$B$7),1,0)+IF(AND(RANK.EQ('Momentum Ranks'!I35,'Momentum Ranks'!$B35:$U35,0)&lt;='Strategy Settings'!$B$7,RANK.EQ('Momentum Ranks'!I34,'Momentum Ranks'!$B34:$U34,0)&lt;='Strategy Settings'!$B$7),1,0)+IF(AND(RANK.EQ('Momentum Ranks'!J35,'Momentum Ranks'!$B35:$U35,0)&lt;='Strategy Settings'!$B$7,RANK.EQ('Momentum Ranks'!J34,'Momentum Ranks'!$B34:$U34,0)&lt;='Strategy Settings'!$B$7),1,0)+IF(AND(RANK.EQ('Momentum Ranks'!K35,'Momentum Ranks'!$B35:$U35,0)&lt;='Strategy Settings'!$B$7,RANK.EQ('Momentum Ranks'!K34,'Momentum Ranks'!$B34:$U34,0)&lt;='Strategy Settings'!$B$7),1,0)+IF(AND(RANK.EQ('Momentum Ranks'!L35,'Momentum Ranks'!$B35:$U35,0)&lt;='Strategy Settings'!$B$7,RANK.EQ('Momentum Ranks'!L34,'Momentum Ranks'!$B34:$U34,0)&lt;='Strategy Settings'!$B$7),1,0)+IF(AND(RANK.EQ('Momentum Ranks'!M35,'Momentum Ranks'!$B35:$U35,0)&lt;='Strategy Settings'!$B$7,RANK.EQ('Momentum Ranks'!M34,'Momentum Ranks'!$B34:$U34,0)&lt;='Strategy Settings'!$B$7),1,0)+IF(AND(RANK.EQ('Momentum Ranks'!N35,'Momentum Ranks'!$B35:$U35,0)&lt;='Strategy Settings'!$B$7,RANK.EQ('Momentum Ranks'!N34,'Momentum Ranks'!$B34:$U34,0)&lt;='Strategy Settings'!$B$7),1,0)+IF(AND(RANK.EQ('Momentum Ranks'!O35,'Momentum Ranks'!$B35:$U35,0)&lt;='Strategy Settings'!$B$7,RANK.EQ('Momentum Ranks'!O34,'Momentum Ranks'!$B34:$U34,0)&lt;='Strategy Settings'!$B$7),1,0)+IF(AND(RANK.EQ('Momentum Ranks'!P35,'Momentum Ranks'!$B35:$U35,0)&lt;='Strategy Settings'!$B$7,RANK.EQ('Momentum Ranks'!P34,'Momentum Ranks'!$B34:$U34,0)&lt;='Strategy Settings'!$B$7),1,0)+IF(AND(RANK.EQ('Momentum Ranks'!Q35,'Momentum Ranks'!$B35:$U35,0)&lt;='Strategy Settings'!$B$7,RANK.EQ('Momentum Ranks'!Q34,'Momentum Ranks'!$B34:$U34,0)&lt;='Strategy Settings'!$B$7),1,0)+IF(AND(RANK.EQ('Momentum Ranks'!R35,'Momentum Ranks'!$B35:$U35,0)&lt;='Strategy Settings'!$B$7,RANK.EQ('Momentum Ranks'!R34,'Momentum Ranks'!$B34:$U34,0)&lt;='Strategy Settings'!$B$7),1,0)+IF(AND(RANK.EQ('Momentum Ranks'!S35,'Momentum Ranks'!$B35:$U35,0)&lt;='Strategy Settings'!$B$7,RANK.EQ('Momentum Ranks'!S34,'Momentum Ranks'!$B34:$U34,0)&lt;='Strategy Settings'!$B$7),1,0)+IF(AND(RANK.EQ('Momentum Ranks'!T35,'Momentum Ranks'!$B35:$U35,0)&lt;='Strategy Settings'!$B$7,RANK.EQ('Momentum Ranks'!T34,'Momentum Ranks'!$B34:$U34,0)&lt;='Strategy Settings'!$B$7),1,0)+IF(AND(RANK.EQ('Momentum Ranks'!U35,'Momentum Ranks'!$B35:$U35,0)&lt;='Strategy Settings'!$B$7,RANK.EQ('Momentum Ranks'!U34,'Momentum Ranks'!$B34:$U34,0)&lt;='Strategy Settings'!$B$7),1,0))/'Strategy Settings'!$B$7</x:f>
        <x:v>0.25</x:v>
      </x:c>
      <x:c r="D35" s="26" t="n">
        <x:f>C35*'Strategy Settings'!$B$9</x:f>
        <x:v>0.00025</x:v>
      </x:c>
      <x:c r="E35" s="26" t="n">
        <x:f>B35-D35</x:f>
        <x:v>-0.11325880456946195</x:v>
      </x:c>
      <x:c r="F35" s="26" t="n">
        <x:f>'Return Data'!V45</x:f>
        <x:v>0.050144603073826365</x:v>
      </x:c>
      <x:c r="G35" s="26" t="n">
        <x:f>E35-F35</x:f>
        <x:v>-0.1634034076432883</x:v>
      </x:c>
      <x:c r="H35" s="28" t="n">
        <x:f>H34*(1+E35)</x:f>
        <x:v>1.0874071777833705</x:v>
      </x:c>
      <x:c r="I35" s="28" t="n">
        <x:f>I34*(1+F35)</x:f>
        <x:v>1.0848378398548737</x:v>
      </x:c>
      <x:c r="J35" s="26" t="n">
        <x:f>H35/MAX($H$4:H35)-1</x:f>
        <x:v>-0.2631626599766006</x:v>
      </x:c>
      <x:c r="K35" s="26" t="n">
        <x:f>I35/MAX($I$4:I35)-1</x:f>
        <x:v>-0.18015440400133942</x:v>
      </x:c>
    </x:row>
    <x:row r="36">
      <x:c r="A36" s="20" t="n">
        <x:f>'Return Data'!A50</x:f>
        <x:v>45107</x:v>
      </x:c>
      <x:c r="B36" s="26" t="n">
        <x:f>(IF(RANK.EQ('Momentum Ranks'!B36,'Momentum Ranks'!$B36:$U36,0)&lt;='Strategy Settings'!$B$7,'Return Data'!B50,0)+IF(RANK.EQ('Momentum Ranks'!C36,'Momentum Ranks'!$B36:$U36,0)&lt;='Strategy Settings'!$B$7,'Return Data'!C50,0)+IF(RANK.EQ('Momentum Ranks'!D36,'Momentum Ranks'!$B36:$U36,0)&lt;='Strategy Settings'!$B$7,'Return Data'!D50,0)+IF(RANK.EQ('Momentum Ranks'!E36,'Momentum Ranks'!$B36:$U36,0)&lt;='Strategy Settings'!$B$7,'Return Data'!E50,0)+IF(RANK.EQ('Momentum Ranks'!F36,'Momentum Ranks'!$B36:$U36,0)&lt;='Strategy Settings'!$B$7,'Return Data'!F50,0)+IF(RANK.EQ('Momentum Ranks'!G36,'Momentum Ranks'!$B36:$U36,0)&lt;='Strategy Settings'!$B$7,'Return Data'!G50,0)+IF(RANK.EQ('Momentum Ranks'!H36,'Momentum Ranks'!$B36:$U36,0)&lt;='Strategy Settings'!$B$7,'Return Data'!H50,0)+IF(RANK.EQ('Momentum Ranks'!I36,'Momentum Ranks'!$B36:$U36,0)&lt;='Strategy Settings'!$B$7,'Return Data'!I50,0)+IF(RANK.EQ('Momentum Ranks'!J36,'Momentum Ranks'!$B36:$U36,0)&lt;='Strategy Settings'!$B$7,'Return Data'!J50,0)+IF(RANK.EQ('Momentum Ranks'!K36,'Momentum Ranks'!$B36:$U36,0)&lt;='Strategy Settings'!$B$7,'Return Data'!K50,0)+IF(RANK.EQ('Momentum Ranks'!L36,'Momentum Ranks'!$B36:$U36,0)&lt;='Strategy Settings'!$B$7,'Return Data'!L50,0)+IF(RANK.EQ('Momentum Ranks'!M36,'Momentum Ranks'!$B36:$U36,0)&lt;='Strategy Settings'!$B$7,'Return Data'!M50,0)+IF(RANK.EQ('Momentum Ranks'!N36,'Momentum Ranks'!$B36:$U36,0)&lt;='Strategy Settings'!$B$7,'Return Data'!N50,0)+IF(RANK.EQ('Momentum Ranks'!O36,'Momentum Ranks'!$B36:$U36,0)&lt;='Strategy Settings'!$B$7,'Return Data'!O50,0)+IF(RANK.EQ('Momentum Ranks'!P36,'Momentum Ranks'!$B36:$U36,0)&lt;='Strategy Settings'!$B$7,'Return Data'!P50,0)+IF(RANK.EQ('Momentum Ranks'!Q36,'Momentum Ranks'!$B36:$U36,0)&lt;='Strategy Settings'!$B$7,'Return Data'!Q50,0)+IF(RANK.EQ('Momentum Ranks'!R36,'Momentum Ranks'!$B36:$U36,0)&lt;='Strategy Settings'!$B$7,'Return Data'!R50,0)+IF(RANK.EQ('Momentum Ranks'!S36,'Momentum Ranks'!$B36:$U36,0)&lt;='Strategy Settings'!$B$7,'Return Data'!S50,0)+IF(RANK.EQ('Momentum Ranks'!T36,'Momentum Ranks'!$B36:$U36,0)&lt;='Strategy Settings'!$B$7,'Return Data'!T50,0)+IF(RANK.EQ('Momentum Ranks'!U36,'Momentum Ranks'!$B36:$U36,0)&lt;='Strategy Settings'!$B$7,'Return Data'!U50,0))/'Strategy Settings'!$B$7</x:f>
        <x:v>-0.015340422445090256</x:v>
      </x:c>
      <x:c r="C36" s="26" t="n">
        <x:f>1-(IF(AND(RANK.EQ('Momentum Ranks'!B36,'Momentum Ranks'!$B36:$U36,0)&lt;='Strategy Settings'!$B$7,RANK.EQ('Momentum Ranks'!B35,'Momentum Ranks'!$B35:$U35,0)&lt;='Strategy Settings'!$B$7),1,0)+IF(AND(RANK.EQ('Momentum Ranks'!C36,'Momentum Ranks'!$B36:$U36,0)&lt;='Strategy Settings'!$B$7,RANK.EQ('Momentum Ranks'!C35,'Momentum Ranks'!$B35:$U35,0)&lt;='Strategy Settings'!$B$7),1,0)+IF(AND(RANK.EQ('Momentum Ranks'!D36,'Momentum Ranks'!$B36:$U36,0)&lt;='Strategy Settings'!$B$7,RANK.EQ('Momentum Ranks'!D35,'Momentum Ranks'!$B35:$U35,0)&lt;='Strategy Settings'!$B$7),1,0)+IF(AND(RANK.EQ('Momentum Ranks'!E36,'Momentum Ranks'!$B36:$U36,0)&lt;='Strategy Settings'!$B$7,RANK.EQ('Momentum Ranks'!E35,'Momentum Ranks'!$B35:$U35,0)&lt;='Strategy Settings'!$B$7),1,0)+IF(AND(RANK.EQ('Momentum Ranks'!F36,'Momentum Ranks'!$B36:$U36,0)&lt;='Strategy Settings'!$B$7,RANK.EQ('Momentum Ranks'!F35,'Momentum Ranks'!$B35:$U35,0)&lt;='Strategy Settings'!$B$7),1,0)+IF(AND(RANK.EQ('Momentum Ranks'!G36,'Momentum Ranks'!$B36:$U36,0)&lt;='Strategy Settings'!$B$7,RANK.EQ('Momentum Ranks'!G35,'Momentum Ranks'!$B35:$U35,0)&lt;='Strategy Settings'!$B$7),1,0)+IF(AND(RANK.EQ('Momentum Ranks'!H36,'Momentum Ranks'!$B36:$U36,0)&lt;='Strategy Settings'!$B$7,RANK.EQ('Momentum Ranks'!H35,'Momentum Ranks'!$B35:$U35,0)&lt;='Strategy Settings'!$B$7),1,0)+IF(AND(RANK.EQ('Momentum Ranks'!I36,'Momentum Ranks'!$B36:$U36,0)&lt;='Strategy Settings'!$B$7,RANK.EQ('Momentum Ranks'!I35,'Momentum Ranks'!$B35:$U35,0)&lt;='Strategy Settings'!$B$7),1,0)+IF(AND(RANK.EQ('Momentum Ranks'!J36,'Momentum Ranks'!$B36:$U36,0)&lt;='Strategy Settings'!$B$7,RANK.EQ('Momentum Ranks'!J35,'Momentum Ranks'!$B35:$U35,0)&lt;='Strategy Settings'!$B$7),1,0)+IF(AND(RANK.EQ('Momentum Ranks'!K36,'Momentum Ranks'!$B36:$U36,0)&lt;='Strategy Settings'!$B$7,RANK.EQ('Momentum Ranks'!K35,'Momentum Ranks'!$B35:$U35,0)&lt;='Strategy Settings'!$B$7),1,0)+IF(AND(RANK.EQ('Momentum Ranks'!L36,'Momentum Ranks'!$B36:$U36,0)&lt;='Strategy Settings'!$B$7,RANK.EQ('Momentum Ranks'!L35,'Momentum Ranks'!$B35:$U35,0)&lt;='Strategy Settings'!$B$7),1,0)+IF(AND(RANK.EQ('Momentum Ranks'!M36,'Momentum Ranks'!$B36:$U36,0)&lt;='Strategy Settings'!$B$7,RANK.EQ('Momentum Ranks'!M35,'Momentum Ranks'!$B35:$U35,0)&lt;='Strategy Settings'!$B$7),1,0)+IF(AND(RANK.EQ('Momentum Ranks'!N36,'Momentum Ranks'!$B36:$U36,0)&lt;='Strategy Settings'!$B$7,RANK.EQ('Momentum Ranks'!N35,'Momentum Ranks'!$B35:$U35,0)&lt;='Strategy Settings'!$B$7),1,0)+IF(AND(RANK.EQ('Momentum Ranks'!O36,'Momentum Ranks'!$B36:$U36,0)&lt;='Strategy Settings'!$B$7,RANK.EQ('Momentum Ranks'!O35,'Momentum Ranks'!$B35:$U35,0)&lt;='Strategy Settings'!$B$7),1,0)+IF(AND(RANK.EQ('Momentum Ranks'!P36,'Momentum Ranks'!$B36:$U36,0)&lt;='Strategy Settings'!$B$7,RANK.EQ('Momentum Ranks'!P35,'Momentum Ranks'!$B35:$U35,0)&lt;='Strategy Settings'!$B$7),1,0)+IF(AND(RANK.EQ('Momentum Ranks'!Q36,'Momentum Ranks'!$B36:$U36,0)&lt;='Strategy Settings'!$B$7,RANK.EQ('Momentum Ranks'!Q35,'Momentum Ranks'!$B35:$U35,0)&lt;='Strategy Settings'!$B$7),1,0)+IF(AND(RANK.EQ('Momentum Ranks'!R36,'Momentum Ranks'!$B36:$U36,0)&lt;='Strategy Settings'!$B$7,RANK.EQ('Momentum Ranks'!R35,'Momentum Ranks'!$B35:$U35,0)&lt;='Strategy Settings'!$B$7),1,0)+IF(AND(RANK.EQ('Momentum Ranks'!S36,'Momentum Ranks'!$B36:$U36,0)&lt;='Strategy Settings'!$B$7,RANK.EQ('Momentum Ranks'!S35,'Momentum Ranks'!$B35:$U35,0)&lt;='Strategy Settings'!$B$7),1,0)+IF(AND(RANK.EQ('Momentum Ranks'!T36,'Momentum Ranks'!$B36:$U36,0)&lt;='Strategy Settings'!$B$7,RANK.EQ('Momentum Ranks'!T35,'Momentum Ranks'!$B35:$U35,0)&lt;='Strategy Settings'!$B$7),1,0)+IF(AND(RANK.EQ('Momentum Ranks'!U36,'Momentum Ranks'!$B36:$U36,0)&lt;='Strategy Settings'!$B$7,RANK.EQ('Momentum Ranks'!U35,'Momentum Ranks'!$B35:$U35,0)&lt;='Strategy Settings'!$B$7),1,0))/'Strategy Settings'!$B$7</x:f>
        <x:v>0.5</x:v>
      </x:c>
      <x:c r="D36" s="26" t="n">
        <x:f>C36*'Strategy Settings'!$B$9</x:f>
        <x:v>0.0005</x:v>
      </x:c>
      <x:c r="E36" s="26" t="n">
        <x:f>B36-D36</x:f>
        <x:v>-0.015840422445090256</x:v>
      </x:c>
      <x:c r="F36" s="26" t="n">
        <x:f>'Return Data'!V46</x:f>
        <x:v>0.020462124393656553</x:v>
      </x:c>
      <x:c r="G36" s="26" t="n">
        <x:f>E36-F36</x:f>
        <x:v>-0.03630254683874681</x:v>
      </x:c>
      <x:c r="H36" s="28" t="n">
        <x:f>H35*(1+E36)</x:f>
        <x:v>1.0701821887174585</x:v>
      </x:c>
      <x:c r="I36" s="28" t="n">
        <x:f>I35*(1+F36)</x:f>
        <x:v>1.1070359266809298</x:v>
      </x:c>
      <x:c r="J36" s="26" t="n">
        <x:f>H36/MAX($H$4:H36)-1</x:f>
        <x:v>-0.27483447471588784</x:v>
      </x:c>
      <x:c r="K36" s="26" t="n">
        <x:f>I36/MAX($I$4:I36)-1</x:f>
        <x:v>-0.16337862143242332</x:v>
      </x:c>
    </x:row>
    <x:row r="37">
      <x:c r="A37" s="20" t="n">
        <x:f>'Return Data'!A51</x:f>
        <x:v>45137</x:v>
      </x:c>
      <x:c r="B37" s="26" t="n">
        <x:f>(IF(RANK.EQ('Momentum Ranks'!B37,'Momentum Ranks'!$B37:$U37,0)&lt;='Strategy Settings'!$B$7,'Return Data'!B51,0)+IF(RANK.EQ('Momentum Ranks'!C37,'Momentum Ranks'!$B37:$U37,0)&lt;='Strategy Settings'!$B$7,'Return Data'!C51,0)+IF(RANK.EQ('Momentum Ranks'!D37,'Momentum Ranks'!$B37:$U37,0)&lt;='Strategy Settings'!$B$7,'Return Data'!D51,0)+IF(RANK.EQ('Momentum Ranks'!E37,'Momentum Ranks'!$B37:$U37,0)&lt;='Strategy Settings'!$B$7,'Return Data'!E51,0)+IF(RANK.EQ('Momentum Ranks'!F37,'Momentum Ranks'!$B37:$U37,0)&lt;='Strategy Settings'!$B$7,'Return Data'!F51,0)+IF(RANK.EQ('Momentum Ranks'!G37,'Momentum Ranks'!$B37:$U37,0)&lt;='Strategy Settings'!$B$7,'Return Data'!G51,0)+IF(RANK.EQ('Momentum Ranks'!H37,'Momentum Ranks'!$B37:$U37,0)&lt;='Strategy Settings'!$B$7,'Return Data'!H51,0)+IF(RANK.EQ('Momentum Ranks'!I37,'Momentum Ranks'!$B37:$U37,0)&lt;='Strategy Settings'!$B$7,'Return Data'!I51,0)+IF(RANK.EQ('Momentum Ranks'!J37,'Momentum Ranks'!$B37:$U37,0)&lt;='Strategy Settings'!$B$7,'Return Data'!J51,0)+IF(RANK.EQ('Momentum Ranks'!K37,'Momentum Ranks'!$B37:$U37,0)&lt;='Strategy Settings'!$B$7,'Return Data'!K51,0)+IF(RANK.EQ('Momentum Ranks'!L37,'Momentum Ranks'!$B37:$U37,0)&lt;='Strategy Settings'!$B$7,'Return Data'!L51,0)+IF(RANK.EQ('Momentum Ranks'!M37,'Momentum Ranks'!$B37:$U37,0)&lt;='Strategy Settings'!$B$7,'Return Data'!M51,0)+IF(RANK.EQ('Momentum Ranks'!N37,'Momentum Ranks'!$B37:$U37,0)&lt;='Strategy Settings'!$B$7,'Return Data'!N51,0)+IF(RANK.EQ('Momentum Ranks'!O37,'Momentum Ranks'!$B37:$U37,0)&lt;='Strategy Settings'!$B$7,'Return Data'!O51,0)+IF(RANK.EQ('Momentum Ranks'!P37,'Momentum Ranks'!$B37:$U37,0)&lt;='Strategy Settings'!$B$7,'Return Data'!P51,0)+IF(RANK.EQ('Momentum Ranks'!Q37,'Momentum Ranks'!$B37:$U37,0)&lt;='Strategy Settings'!$B$7,'Return Data'!Q51,0)+IF(RANK.EQ('Momentum Ranks'!R37,'Momentum Ranks'!$B37:$U37,0)&lt;='Strategy Settings'!$B$7,'Return Data'!R51,0)+IF(RANK.EQ('Momentum Ranks'!S37,'Momentum Ranks'!$B37:$U37,0)&lt;='Strategy Settings'!$B$7,'Return Data'!S51,0)+IF(RANK.EQ('Momentum Ranks'!T37,'Momentum Ranks'!$B37:$U37,0)&lt;='Strategy Settings'!$B$7,'Return Data'!T51,0)+IF(RANK.EQ('Momentum Ranks'!U37,'Momentum Ranks'!$B37:$U37,0)&lt;='Strategy Settings'!$B$7,'Return Data'!U51,0))/'Strategy Settings'!$B$7</x:f>
        <x:v>0.018763072205186228</x:v>
      </x:c>
      <x:c r="C37" s="26" t="n">
        <x:f>1-(IF(AND(RANK.EQ('Momentum Ranks'!B37,'Momentum Ranks'!$B37:$U37,0)&lt;='Strategy Settings'!$B$7,RANK.EQ('Momentum Ranks'!B36,'Momentum Ranks'!$B36:$U36,0)&lt;='Strategy Settings'!$B$7),1,0)+IF(AND(RANK.EQ('Momentum Ranks'!C37,'Momentum Ranks'!$B37:$U37,0)&lt;='Strategy Settings'!$B$7,RANK.EQ('Momentum Ranks'!C36,'Momentum Ranks'!$B36:$U36,0)&lt;='Strategy Settings'!$B$7),1,0)+IF(AND(RANK.EQ('Momentum Ranks'!D37,'Momentum Ranks'!$B37:$U37,0)&lt;='Strategy Settings'!$B$7,RANK.EQ('Momentum Ranks'!D36,'Momentum Ranks'!$B36:$U36,0)&lt;='Strategy Settings'!$B$7),1,0)+IF(AND(RANK.EQ('Momentum Ranks'!E37,'Momentum Ranks'!$B37:$U37,0)&lt;='Strategy Settings'!$B$7,RANK.EQ('Momentum Ranks'!E36,'Momentum Ranks'!$B36:$U36,0)&lt;='Strategy Settings'!$B$7),1,0)+IF(AND(RANK.EQ('Momentum Ranks'!F37,'Momentum Ranks'!$B37:$U37,0)&lt;='Strategy Settings'!$B$7,RANK.EQ('Momentum Ranks'!F36,'Momentum Ranks'!$B36:$U36,0)&lt;='Strategy Settings'!$B$7),1,0)+IF(AND(RANK.EQ('Momentum Ranks'!G37,'Momentum Ranks'!$B37:$U37,0)&lt;='Strategy Settings'!$B$7,RANK.EQ('Momentum Ranks'!G36,'Momentum Ranks'!$B36:$U36,0)&lt;='Strategy Settings'!$B$7),1,0)+IF(AND(RANK.EQ('Momentum Ranks'!H37,'Momentum Ranks'!$B37:$U37,0)&lt;='Strategy Settings'!$B$7,RANK.EQ('Momentum Ranks'!H36,'Momentum Ranks'!$B36:$U36,0)&lt;='Strategy Settings'!$B$7),1,0)+IF(AND(RANK.EQ('Momentum Ranks'!I37,'Momentum Ranks'!$B37:$U37,0)&lt;='Strategy Settings'!$B$7,RANK.EQ('Momentum Ranks'!I36,'Momentum Ranks'!$B36:$U36,0)&lt;='Strategy Settings'!$B$7),1,0)+IF(AND(RANK.EQ('Momentum Ranks'!J37,'Momentum Ranks'!$B37:$U37,0)&lt;='Strategy Settings'!$B$7,RANK.EQ('Momentum Ranks'!J36,'Momentum Ranks'!$B36:$U36,0)&lt;='Strategy Settings'!$B$7),1,0)+IF(AND(RANK.EQ('Momentum Ranks'!K37,'Momentum Ranks'!$B37:$U37,0)&lt;='Strategy Settings'!$B$7,RANK.EQ('Momentum Ranks'!K36,'Momentum Ranks'!$B36:$U36,0)&lt;='Strategy Settings'!$B$7),1,0)+IF(AND(RANK.EQ('Momentum Ranks'!L37,'Momentum Ranks'!$B37:$U37,0)&lt;='Strategy Settings'!$B$7,RANK.EQ('Momentum Ranks'!L36,'Momentum Ranks'!$B36:$U36,0)&lt;='Strategy Settings'!$B$7),1,0)+IF(AND(RANK.EQ('Momentum Ranks'!M37,'Momentum Ranks'!$B37:$U37,0)&lt;='Strategy Settings'!$B$7,RANK.EQ('Momentum Ranks'!M36,'Momentum Ranks'!$B36:$U36,0)&lt;='Strategy Settings'!$B$7),1,0)+IF(AND(RANK.EQ('Momentum Ranks'!N37,'Momentum Ranks'!$B37:$U37,0)&lt;='Strategy Settings'!$B$7,RANK.EQ('Momentum Ranks'!N36,'Momentum Ranks'!$B36:$U36,0)&lt;='Strategy Settings'!$B$7),1,0)+IF(AND(RANK.EQ('Momentum Ranks'!O37,'Momentum Ranks'!$B37:$U37,0)&lt;='Strategy Settings'!$B$7,RANK.EQ('Momentum Ranks'!O36,'Momentum Ranks'!$B36:$U36,0)&lt;='Strategy Settings'!$B$7),1,0)+IF(AND(RANK.EQ('Momentum Ranks'!P37,'Momentum Ranks'!$B37:$U37,0)&lt;='Strategy Settings'!$B$7,RANK.EQ('Momentum Ranks'!P36,'Momentum Ranks'!$B36:$U36,0)&lt;='Strategy Settings'!$B$7),1,0)+IF(AND(RANK.EQ('Momentum Ranks'!Q37,'Momentum Ranks'!$B37:$U37,0)&lt;='Strategy Settings'!$B$7,RANK.EQ('Momentum Ranks'!Q36,'Momentum Ranks'!$B36:$U36,0)&lt;='Strategy Settings'!$B$7),1,0)+IF(AND(RANK.EQ('Momentum Ranks'!R37,'Momentum Ranks'!$B37:$U37,0)&lt;='Strategy Settings'!$B$7,RANK.EQ('Momentum Ranks'!R36,'Momentum Ranks'!$B36:$U36,0)&lt;='Strategy Settings'!$B$7),1,0)+IF(AND(RANK.EQ('Momentum Ranks'!S37,'Momentum Ranks'!$B37:$U37,0)&lt;='Strategy Settings'!$B$7,RANK.EQ('Momentum Ranks'!S36,'Momentum Ranks'!$B36:$U36,0)&lt;='Strategy Settings'!$B$7),1,0)+IF(AND(RANK.EQ('Momentum Ranks'!T37,'Momentum Ranks'!$B37:$U37,0)&lt;='Strategy Settings'!$B$7,RANK.EQ('Momentum Ranks'!T36,'Momentum Ranks'!$B36:$U36,0)&lt;='Strategy Settings'!$B$7),1,0)+IF(AND(RANK.EQ('Momentum Ranks'!U37,'Momentum Ranks'!$B37:$U37,0)&lt;='Strategy Settings'!$B$7,RANK.EQ('Momentum Ranks'!U36,'Momentum Ranks'!$B36:$U36,0)&lt;='Strategy Settings'!$B$7),1,0))/'Strategy Settings'!$B$7</x:f>
        <x:v>0.25</x:v>
      </x:c>
      <x:c r="D37" s="26" t="n">
        <x:f>C37*'Strategy Settings'!$B$9</x:f>
        <x:v>0.00025</x:v>
      </x:c>
      <x:c r="E37" s="26" t="n">
        <x:f>B37-D37</x:f>
        <x:v>0.018513072205186228</x:v>
      </x:c>
      <x:c r="F37" s="26" t="n">
        <x:f>'Return Data'!V47</x:f>
        <x:v>0.04064406238386464</x:v>
      </x:c>
      <x:c r="G37" s="26" t="n">
        <x:f>E37-F37</x:f>
        <x:v>-0.022130990178678416</x:v>
      </x:c>
      <x:c r="H37" s="28" t="n">
        <x:f>H36*(1+E37)</x:f>
        <x:v>1.089994548849889</x:v>
      </x:c>
      <x:c r="I37" s="28" t="n">
        <x:f>I36*(1+F37)</x:f>
        <x:v>1.152030363946129</x:v>
      </x:c>
      <x:c r="J37" s="26" t="n">
        <x:f>H37/MAX($H$4:H37)-1</x:f>
        <x:v>-0.2614094329855914</x:v>
      </x:c>
      <x:c r="K37" s="26" t="n">
        <x:f>I37/MAX($I$4:I37)-1</x:f>
        <x:v>-0.1293749299302479</x:v>
      </x:c>
    </x:row>
    <x:row r="38">
      <x:c r="A38" s="20" t="n">
        <x:f>'Return Data'!A52</x:f>
        <x:v>45168</x:v>
      </x:c>
      <x:c r="B38" s="26" t="n">
        <x:f>(IF(RANK.EQ('Momentum Ranks'!B38,'Momentum Ranks'!$B38:$U38,0)&lt;='Strategy Settings'!$B$7,'Return Data'!B52,0)+IF(RANK.EQ('Momentum Ranks'!C38,'Momentum Ranks'!$B38:$U38,0)&lt;='Strategy Settings'!$B$7,'Return Data'!C52,0)+IF(RANK.EQ('Momentum Ranks'!D38,'Momentum Ranks'!$B38:$U38,0)&lt;='Strategy Settings'!$B$7,'Return Data'!D52,0)+IF(RANK.EQ('Momentum Ranks'!E38,'Momentum Ranks'!$B38:$U38,0)&lt;='Strategy Settings'!$B$7,'Return Data'!E52,0)+IF(RANK.EQ('Momentum Ranks'!F38,'Momentum Ranks'!$B38:$U38,0)&lt;='Strategy Settings'!$B$7,'Return Data'!F52,0)+IF(RANK.EQ('Momentum Ranks'!G38,'Momentum Ranks'!$B38:$U38,0)&lt;='Strategy Settings'!$B$7,'Return Data'!G52,0)+IF(RANK.EQ('Momentum Ranks'!H38,'Momentum Ranks'!$B38:$U38,0)&lt;='Strategy Settings'!$B$7,'Return Data'!H52,0)+IF(RANK.EQ('Momentum Ranks'!I38,'Momentum Ranks'!$B38:$U38,0)&lt;='Strategy Settings'!$B$7,'Return Data'!I52,0)+IF(RANK.EQ('Momentum Ranks'!J38,'Momentum Ranks'!$B38:$U38,0)&lt;='Strategy Settings'!$B$7,'Return Data'!J52,0)+IF(RANK.EQ('Momentum Ranks'!K38,'Momentum Ranks'!$B38:$U38,0)&lt;='Strategy Settings'!$B$7,'Return Data'!K52,0)+IF(RANK.EQ('Momentum Ranks'!L38,'Momentum Ranks'!$B38:$U38,0)&lt;='Strategy Settings'!$B$7,'Return Data'!L52,0)+IF(RANK.EQ('Momentum Ranks'!M38,'Momentum Ranks'!$B38:$U38,0)&lt;='Strategy Settings'!$B$7,'Return Data'!M52,0)+IF(RANK.EQ('Momentum Ranks'!N38,'Momentum Ranks'!$B38:$U38,0)&lt;='Strategy Settings'!$B$7,'Return Data'!N52,0)+IF(RANK.EQ('Momentum Ranks'!O38,'Momentum Ranks'!$B38:$U38,0)&lt;='Strategy Settings'!$B$7,'Return Data'!O52,0)+IF(RANK.EQ('Momentum Ranks'!P38,'Momentum Ranks'!$B38:$U38,0)&lt;='Strategy Settings'!$B$7,'Return Data'!P52,0)+IF(RANK.EQ('Momentum Ranks'!Q38,'Momentum Ranks'!$B38:$U38,0)&lt;='Strategy Settings'!$B$7,'Return Data'!Q52,0)+IF(RANK.EQ('Momentum Ranks'!R38,'Momentum Ranks'!$B38:$U38,0)&lt;='Strategy Settings'!$B$7,'Return Data'!R52,0)+IF(RANK.EQ('Momentum Ranks'!S38,'Momentum Ranks'!$B38:$U38,0)&lt;='Strategy Settings'!$B$7,'Return Data'!S52,0)+IF(RANK.EQ('Momentum Ranks'!T38,'Momentum Ranks'!$B38:$U38,0)&lt;='Strategy Settings'!$B$7,'Return Data'!T52,0)+IF(RANK.EQ('Momentum Ranks'!U38,'Momentum Ranks'!$B38:$U38,0)&lt;='Strategy Settings'!$B$7,'Return Data'!U52,0))/'Strategy Settings'!$B$7</x:f>
        <x:v>0.038550054633143</x:v>
      </x:c>
      <x:c r="C38" s="26" t="n">
        <x:f>1-(IF(AND(RANK.EQ('Momentum Ranks'!B38,'Momentum Ranks'!$B38:$U38,0)&lt;='Strategy Settings'!$B$7,RANK.EQ('Momentum Ranks'!B37,'Momentum Ranks'!$B37:$U37,0)&lt;='Strategy Settings'!$B$7),1,0)+IF(AND(RANK.EQ('Momentum Ranks'!C38,'Momentum Ranks'!$B38:$U38,0)&lt;='Strategy Settings'!$B$7,RANK.EQ('Momentum Ranks'!C37,'Momentum Ranks'!$B37:$U37,0)&lt;='Strategy Settings'!$B$7),1,0)+IF(AND(RANK.EQ('Momentum Ranks'!D38,'Momentum Ranks'!$B38:$U38,0)&lt;='Strategy Settings'!$B$7,RANK.EQ('Momentum Ranks'!D37,'Momentum Ranks'!$B37:$U37,0)&lt;='Strategy Settings'!$B$7),1,0)+IF(AND(RANK.EQ('Momentum Ranks'!E38,'Momentum Ranks'!$B38:$U38,0)&lt;='Strategy Settings'!$B$7,RANK.EQ('Momentum Ranks'!E37,'Momentum Ranks'!$B37:$U37,0)&lt;='Strategy Settings'!$B$7),1,0)+IF(AND(RANK.EQ('Momentum Ranks'!F38,'Momentum Ranks'!$B38:$U38,0)&lt;='Strategy Settings'!$B$7,RANK.EQ('Momentum Ranks'!F37,'Momentum Ranks'!$B37:$U37,0)&lt;='Strategy Settings'!$B$7),1,0)+IF(AND(RANK.EQ('Momentum Ranks'!G38,'Momentum Ranks'!$B38:$U38,0)&lt;='Strategy Settings'!$B$7,RANK.EQ('Momentum Ranks'!G37,'Momentum Ranks'!$B37:$U37,0)&lt;='Strategy Settings'!$B$7),1,0)+IF(AND(RANK.EQ('Momentum Ranks'!H38,'Momentum Ranks'!$B38:$U38,0)&lt;='Strategy Settings'!$B$7,RANK.EQ('Momentum Ranks'!H37,'Momentum Ranks'!$B37:$U37,0)&lt;='Strategy Settings'!$B$7),1,0)+IF(AND(RANK.EQ('Momentum Ranks'!I38,'Momentum Ranks'!$B38:$U38,0)&lt;='Strategy Settings'!$B$7,RANK.EQ('Momentum Ranks'!I37,'Momentum Ranks'!$B37:$U37,0)&lt;='Strategy Settings'!$B$7),1,0)+IF(AND(RANK.EQ('Momentum Ranks'!J38,'Momentum Ranks'!$B38:$U38,0)&lt;='Strategy Settings'!$B$7,RANK.EQ('Momentum Ranks'!J37,'Momentum Ranks'!$B37:$U37,0)&lt;='Strategy Settings'!$B$7),1,0)+IF(AND(RANK.EQ('Momentum Ranks'!K38,'Momentum Ranks'!$B38:$U38,0)&lt;='Strategy Settings'!$B$7,RANK.EQ('Momentum Ranks'!K37,'Momentum Ranks'!$B37:$U37,0)&lt;='Strategy Settings'!$B$7),1,0)+IF(AND(RANK.EQ('Momentum Ranks'!L38,'Momentum Ranks'!$B38:$U38,0)&lt;='Strategy Settings'!$B$7,RANK.EQ('Momentum Ranks'!L37,'Momentum Ranks'!$B37:$U37,0)&lt;='Strategy Settings'!$B$7),1,0)+IF(AND(RANK.EQ('Momentum Ranks'!M38,'Momentum Ranks'!$B38:$U38,0)&lt;='Strategy Settings'!$B$7,RANK.EQ('Momentum Ranks'!M37,'Momentum Ranks'!$B37:$U37,0)&lt;='Strategy Settings'!$B$7),1,0)+IF(AND(RANK.EQ('Momentum Ranks'!N38,'Momentum Ranks'!$B38:$U38,0)&lt;='Strategy Settings'!$B$7,RANK.EQ('Momentum Ranks'!N37,'Momentum Ranks'!$B37:$U37,0)&lt;='Strategy Settings'!$B$7),1,0)+IF(AND(RANK.EQ('Momentum Ranks'!O38,'Momentum Ranks'!$B38:$U38,0)&lt;='Strategy Settings'!$B$7,RANK.EQ('Momentum Ranks'!O37,'Momentum Ranks'!$B37:$U37,0)&lt;='Strategy Settings'!$B$7),1,0)+IF(AND(RANK.EQ('Momentum Ranks'!P38,'Momentum Ranks'!$B38:$U38,0)&lt;='Strategy Settings'!$B$7,RANK.EQ('Momentum Ranks'!P37,'Momentum Ranks'!$B37:$U37,0)&lt;='Strategy Settings'!$B$7),1,0)+IF(AND(RANK.EQ('Momentum Ranks'!Q38,'Momentum Ranks'!$B38:$U38,0)&lt;='Strategy Settings'!$B$7,RANK.EQ('Momentum Ranks'!Q37,'Momentum Ranks'!$B37:$U37,0)&lt;='Strategy Settings'!$B$7),1,0)+IF(AND(RANK.EQ('Momentum Ranks'!R38,'Momentum Ranks'!$B38:$U38,0)&lt;='Strategy Settings'!$B$7,RANK.EQ('Momentum Ranks'!R37,'Momentum Ranks'!$B37:$U37,0)&lt;='Strategy Settings'!$B$7),1,0)+IF(AND(RANK.EQ('Momentum Ranks'!S38,'Momentum Ranks'!$B38:$U38,0)&lt;='Strategy Settings'!$B$7,RANK.EQ('Momentum Ranks'!S37,'Momentum Ranks'!$B37:$U37,0)&lt;='Strategy Settings'!$B$7),1,0)+IF(AND(RANK.EQ('Momentum Ranks'!T38,'Momentum Ranks'!$B38:$U38,0)&lt;='Strategy Settings'!$B$7,RANK.EQ('Momentum Ranks'!T37,'Momentum Ranks'!$B37:$U37,0)&lt;='Strategy Settings'!$B$7),1,0)+IF(AND(RANK.EQ('Momentum Ranks'!U38,'Momentum Ranks'!$B38:$U38,0)&lt;='Strategy Settings'!$B$7,RANK.EQ('Momentum Ranks'!U37,'Momentum Ranks'!$B37:$U37,0)&lt;='Strategy Settings'!$B$7),1,0))/'Strategy Settings'!$B$7</x:f>
        <x:v>0.25</x:v>
      </x:c>
      <x:c r="D38" s="26" t="n">
        <x:f>C38*'Strategy Settings'!$B$9</x:f>
        <x:v>0.00025</x:v>
      </x:c>
      <x:c r="E38" s="26" t="n">
        <x:f>B38-D38</x:f>
        <x:v>0.038300054633142996</x:v>
      </x:c>
      <x:c r="F38" s="26" t="n">
        <x:f>'Return Data'!V48</x:f>
        <x:v>0.010725405805513604</x:v>
      </x:c>
      <x:c r="G38" s="26" t="n">
        <x:f>E38-F38</x:f>
        <x:v>0.027574648827629392</x:v>
      </x:c>
      <x:c r="H38" s="28" t="n">
        <x:f>H37*(1+E38)</x:f>
        <x:v>1.1317413996206678</x:v>
      </x:c>
      <x:c r="I38" s="28" t="n">
        <x:f>I37*(1+F38)</x:f>
        <x:v>1.1643863570997246</x:v>
      </x:c>
      <x:c r="J38" s="26" t="n">
        <x:f>H38/MAX($H$4:H38)-1</x:f>
        <x:v>-0.2331213739174155</x:v>
      </x:c>
      <x:c r="K38" s="26" t="n">
        <x:f>I38/MAX($I$4:I38)-1</x:f>
        <x:v>-0.12003712274929612</x:v>
      </x:c>
    </x:row>
    <x:row r="39">
      <x:c r="A39" s="20" t="n">
        <x:f>'Return Data'!A53</x:f>
        <x:v>45199</x:v>
      </x:c>
      <x:c r="B39" s="26" t="n">
        <x:f>(IF(RANK.EQ('Momentum Ranks'!B39,'Momentum Ranks'!$B39:$U39,0)&lt;='Strategy Settings'!$B$7,'Return Data'!B53,0)+IF(RANK.EQ('Momentum Ranks'!C39,'Momentum Ranks'!$B39:$U39,0)&lt;='Strategy Settings'!$B$7,'Return Data'!C53,0)+IF(RANK.EQ('Momentum Ranks'!D39,'Momentum Ranks'!$B39:$U39,0)&lt;='Strategy Settings'!$B$7,'Return Data'!D53,0)+IF(RANK.EQ('Momentum Ranks'!E39,'Momentum Ranks'!$B39:$U39,0)&lt;='Strategy Settings'!$B$7,'Return Data'!E53,0)+IF(RANK.EQ('Momentum Ranks'!F39,'Momentum Ranks'!$B39:$U39,0)&lt;='Strategy Settings'!$B$7,'Return Data'!F53,0)+IF(RANK.EQ('Momentum Ranks'!G39,'Momentum Ranks'!$B39:$U39,0)&lt;='Strategy Settings'!$B$7,'Return Data'!G53,0)+IF(RANK.EQ('Momentum Ranks'!H39,'Momentum Ranks'!$B39:$U39,0)&lt;='Strategy Settings'!$B$7,'Return Data'!H53,0)+IF(RANK.EQ('Momentum Ranks'!I39,'Momentum Ranks'!$B39:$U39,0)&lt;='Strategy Settings'!$B$7,'Return Data'!I53,0)+IF(RANK.EQ('Momentum Ranks'!J39,'Momentum Ranks'!$B39:$U39,0)&lt;='Strategy Settings'!$B$7,'Return Data'!J53,0)+IF(RANK.EQ('Momentum Ranks'!K39,'Momentum Ranks'!$B39:$U39,0)&lt;='Strategy Settings'!$B$7,'Return Data'!K53,0)+IF(RANK.EQ('Momentum Ranks'!L39,'Momentum Ranks'!$B39:$U39,0)&lt;='Strategy Settings'!$B$7,'Return Data'!L53,0)+IF(RANK.EQ('Momentum Ranks'!M39,'Momentum Ranks'!$B39:$U39,0)&lt;='Strategy Settings'!$B$7,'Return Data'!M53,0)+IF(RANK.EQ('Momentum Ranks'!N39,'Momentum Ranks'!$B39:$U39,0)&lt;='Strategy Settings'!$B$7,'Return Data'!N53,0)+IF(RANK.EQ('Momentum Ranks'!O39,'Momentum Ranks'!$B39:$U39,0)&lt;='Strategy Settings'!$B$7,'Return Data'!O53,0)+IF(RANK.EQ('Momentum Ranks'!P39,'Momentum Ranks'!$B39:$U39,0)&lt;='Strategy Settings'!$B$7,'Return Data'!P53,0)+IF(RANK.EQ('Momentum Ranks'!Q39,'Momentum Ranks'!$B39:$U39,0)&lt;='Strategy Settings'!$B$7,'Return Data'!Q53,0)+IF(RANK.EQ('Momentum Ranks'!R39,'Momentum Ranks'!$B39:$U39,0)&lt;='Strategy Settings'!$B$7,'Return Data'!R53,0)+IF(RANK.EQ('Momentum Ranks'!S39,'Momentum Ranks'!$B39:$U39,0)&lt;='Strategy Settings'!$B$7,'Return Data'!S53,0)+IF(RANK.EQ('Momentum Ranks'!T39,'Momentum Ranks'!$B39:$U39,0)&lt;='Strategy Settings'!$B$7,'Return Data'!T53,0)+IF(RANK.EQ('Momentum Ranks'!U39,'Momentum Ranks'!$B39:$U39,0)&lt;='Strategy Settings'!$B$7,'Return Data'!U53,0))/'Strategy Settings'!$B$7</x:f>
        <x:v>0.021775991151815995</x:v>
      </x:c>
      <x:c r="C39" s="26" t="n">
        <x:f>1-(IF(AND(RANK.EQ('Momentum Ranks'!B39,'Momentum Ranks'!$B39:$U39,0)&lt;='Strategy Settings'!$B$7,RANK.EQ('Momentum Ranks'!B38,'Momentum Ranks'!$B38:$U38,0)&lt;='Strategy Settings'!$B$7),1,0)+IF(AND(RANK.EQ('Momentum Ranks'!C39,'Momentum Ranks'!$B39:$U39,0)&lt;='Strategy Settings'!$B$7,RANK.EQ('Momentum Ranks'!C38,'Momentum Ranks'!$B38:$U38,0)&lt;='Strategy Settings'!$B$7),1,0)+IF(AND(RANK.EQ('Momentum Ranks'!D39,'Momentum Ranks'!$B39:$U39,0)&lt;='Strategy Settings'!$B$7,RANK.EQ('Momentum Ranks'!D38,'Momentum Ranks'!$B38:$U38,0)&lt;='Strategy Settings'!$B$7),1,0)+IF(AND(RANK.EQ('Momentum Ranks'!E39,'Momentum Ranks'!$B39:$U39,0)&lt;='Strategy Settings'!$B$7,RANK.EQ('Momentum Ranks'!E38,'Momentum Ranks'!$B38:$U38,0)&lt;='Strategy Settings'!$B$7),1,0)+IF(AND(RANK.EQ('Momentum Ranks'!F39,'Momentum Ranks'!$B39:$U39,0)&lt;='Strategy Settings'!$B$7,RANK.EQ('Momentum Ranks'!F38,'Momentum Ranks'!$B38:$U38,0)&lt;='Strategy Settings'!$B$7),1,0)+IF(AND(RANK.EQ('Momentum Ranks'!G39,'Momentum Ranks'!$B39:$U39,0)&lt;='Strategy Settings'!$B$7,RANK.EQ('Momentum Ranks'!G38,'Momentum Ranks'!$B38:$U38,0)&lt;='Strategy Settings'!$B$7),1,0)+IF(AND(RANK.EQ('Momentum Ranks'!H39,'Momentum Ranks'!$B39:$U39,0)&lt;='Strategy Settings'!$B$7,RANK.EQ('Momentum Ranks'!H38,'Momentum Ranks'!$B38:$U38,0)&lt;='Strategy Settings'!$B$7),1,0)+IF(AND(RANK.EQ('Momentum Ranks'!I39,'Momentum Ranks'!$B39:$U39,0)&lt;='Strategy Settings'!$B$7,RANK.EQ('Momentum Ranks'!I38,'Momentum Ranks'!$B38:$U38,0)&lt;='Strategy Settings'!$B$7),1,0)+IF(AND(RANK.EQ('Momentum Ranks'!J39,'Momentum Ranks'!$B39:$U39,0)&lt;='Strategy Settings'!$B$7,RANK.EQ('Momentum Ranks'!J38,'Momentum Ranks'!$B38:$U38,0)&lt;='Strategy Settings'!$B$7),1,0)+IF(AND(RANK.EQ('Momentum Ranks'!K39,'Momentum Ranks'!$B39:$U39,0)&lt;='Strategy Settings'!$B$7,RANK.EQ('Momentum Ranks'!K38,'Momentum Ranks'!$B38:$U38,0)&lt;='Strategy Settings'!$B$7),1,0)+IF(AND(RANK.EQ('Momentum Ranks'!L39,'Momentum Ranks'!$B39:$U39,0)&lt;='Strategy Settings'!$B$7,RANK.EQ('Momentum Ranks'!L38,'Momentum Ranks'!$B38:$U38,0)&lt;='Strategy Settings'!$B$7),1,0)+IF(AND(RANK.EQ('Momentum Ranks'!M39,'Momentum Ranks'!$B39:$U39,0)&lt;='Strategy Settings'!$B$7,RANK.EQ('Momentum Ranks'!M38,'Momentum Ranks'!$B38:$U38,0)&lt;='Strategy Settings'!$B$7),1,0)+IF(AND(RANK.EQ('Momentum Ranks'!N39,'Momentum Ranks'!$B39:$U39,0)&lt;='Strategy Settings'!$B$7,RANK.EQ('Momentum Ranks'!N38,'Momentum Ranks'!$B38:$U38,0)&lt;='Strategy Settings'!$B$7),1,0)+IF(AND(RANK.EQ('Momentum Ranks'!O39,'Momentum Ranks'!$B39:$U39,0)&lt;='Strategy Settings'!$B$7,RANK.EQ('Momentum Ranks'!O38,'Momentum Ranks'!$B38:$U38,0)&lt;='Strategy Settings'!$B$7),1,0)+IF(AND(RANK.EQ('Momentum Ranks'!P39,'Momentum Ranks'!$B39:$U39,0)&lt;='Strategy Settings'!$B$7,RANK.EQ('Momentum Ranks'!P38,'Momentum Ranks'!$B38:$U38,0)&lt;='Strategy Settings'!$B$7),1,0)+IF(AND(RANK.EQ('Momentum Ranks'!Q39,'Momentum Ranks'!$B39:$U39,0)&lt;='Strategy Settings'!$B$7,RANK.EQ('Momentum Ranks'!Q38,'Momentum Ranks'!$B38:$U38,0)&lt;='Strategy Settings'!$B$7),1,0)+IF(AND(RANK.EQ('Momentum Ranks'!R39,'Momentum Ranks'!$B39:$U39,0)&lt;='Strategy Settings'!$B$7,RANK.EQ('Momentum Ranks'!R38,'Momentum Ranks'!$B38:$U38,0)&lt;='Strategy Settings'!$B$7),1,0)+IF(AND(RANK.EQ('Momentum Ranks'!S39,'Momentum Ranks'!$B39:$U39,0)&lt;='Strategy Settings'!$B$7,RANK.EQ('Momentum Ranks'!S38,'Momentum Ranks'!$B38:$U38,0)&lt;='Strategy Settings'!$B$7),1,0)+IF(AND(RANK.EQ('Momentum Ranks'!T39,'Momentum Ranks'!$B39:$U39,0)&lt;='Strategy Settings'!$B$7,RANK.EQ('Momentum Ranks'!T38,'Momentum Ranks'!$B38:$U38,0)&lt;='Strategy Settings'!$B$7),1,0)+IF(AND(RANK.EQ('Momentum Ranks'!U39,'Momentum Ranks'!$B39:$U39,0)&lt;='Strategy Settings'!$B$7,RANK.EQ('Momentum Ranks'!U38,'Momentum Ranks'!$B38:$U38,0)&lt;='Strategy Settings'!$B$7),1,0))/'Strategy Settings'!$B$7</x:f>
        <x:v>0.5</x:v>
      </x:c>
      <x:c r="D39" s="26" t="n">
        <x:f>C39*'Strategy Settings'!$B$9</x:f>
        <x:v>0.0005</x:v>
      </x:c>
      <x:c r="E39" s="26" t="n">
        <x:f>B39-D39</x:f>
        <x:v>0.021275991151815995</x:v>
      </x:c>
      <x:c r="F39" s="26" t="n">
        <x:f>'Return Data'!V49</x:f>
        <x:v>-0.05083394720984102</x:v>
      </x:c>
      <x:c r="G39" s="26" t="n">
        <x:f>E39-F39</x:f>
        <x:v>0.07210993836165701</x:v>
      </x:c>
      <x:c r="H39" s="28" t="n">
        <x:f>H38*(1+E39)</x:f>
        <x:v>1.1558203196251409</x:v>
      </x:c>
      <x:c r="I39" s="28" t="n">
        <x:f>I38*(1+F39)</x:f>
        <x:v>1.105196002491058</x:v>
      </x:c>
      <x:c r="J39" s="26" t="n">
        <x:f>H39/MAX($H$4:H39)-1</x:f>
        <x:v>-0.21680527105436564</x:v>
      </x:c>
      <x:c r="K39" s="26" t="n">
        <x:f>I39/MAX($I$4:I39)-1</x:f>
        <x:v>-0.1647691091980783</x:v>
      </x:c>
    </x:row>
    <x:row r="40">
      <x:c r="A40" s="20" t="n">
        <x:f>'Return Data'!A54</x:f>
        <x:v>45229</x:v>
      </x:c>
      <x:c r="B40" s="26" t="n">
        <x:f>(IF(RANK.EQ('Momentum Ranks'!B40,'Momentum Ranks'!$B40:$U40,0)&lt;='Strategy Settings'!$B$7,'Return Data'!B54,0)+IF(RANK.EQ('Momentum Ranks'!C40,'Momentum Ranks'!$B40:$U40,0)&lt;='Strategy Settings'!$B$7,'Return Data'!C54,0)+IF(RANK.EQ('Momentum Ranks'!D40,'Momentum Ranks'!$B40:$U40,0)&lt;='Strategy Settings'!$B$7,'Return Data'!D54,0)+IF(RANK.EQ('Momentum Ranks'!E40,'Momentum Ranks'!$B40:$U40,0)&lt;='Strategy Settings'!$B$7,'Return Data'!E54,0)+IF(RANK.EQ('Momentum Ranks'!F40,'Momentum Ranks'!$B40:$U40,0)&lt;='Strategy Settings'!$B$7,'Return Data'!F54,0)+IF(RANK.EQ('Momentum Ranks'!G40,'Momentum Ranks'!$B40:$U40,0)&lt;='Strategy Settings'!$B$7,'Return Data'!G54,0)+IF(RANK.EQ('Momentum Ranks'!H40,'Momentum Ranks'!$B40:$U40,0)&lt;='Strategy Settings'!$B$7,'Return Data'!H54,0)+IF(RANK.EQ('Momentum Ranks'!I40,'Momentum Ranks'!$B40:$U40,0)&lt;='Strategy Settings'!$B$7,'Return Data'!I54,0)+IF(RANK.EQ('Momentum Ranks'!J40,'Momentum Ranks'!$B40:$U40,0)&lt;='Strategy Settings'!$B$7,'Return Data'!J54,0)+IF(RANK.EQ('Momentum Ranks'!K40,'Momentum Ranks'!$B40:$U40,0)&lt;='Strategy Settings'!$B$7,'Return Data'!K54,0)+IF(RANK.EQ('Momentum Ranks'!L40,'Momentum Ranks'!$B40:$U40,0)&lt;='Strategy Settings'!$B$7,'Return Data'!L54,0)+IF(RANK.EQ('Momentum Ranks'!M40,'Momentum Ranks'!$B40:$U40,0)&lt;='Strategy Settings'!$B$7,'Return Data'!M54,0)+IF(RANK.EQ('Momentum Ranks'!N40,'Momentum Ranks'!$B40:$U40,0)&lt;='Strategy Settings'!$B$7,'Return Data'!N54,0)+IF(RANK.EQ('Momentum Ranks'!O40,'Momentum Ranks'!$B40:$U40,0)&lt;='Strategy Settings'!$B$7,'Return Data'!O54,0)+IF(RANK.EQ('Momentum Ranks'!P40,'Momentum Ranks'!$B40:$U40,0)&lt;='Strategy Settings'!$B$7,'Return Data'!P54,0)+IF(RANK.EQ('Momentum Ranks'!Q40,'Momentum Ranks'!$B40:$U40,0)&lt;='Strategy Settings'!$B$7,'Return Data'!Q54,0)+IF(RANK.EQ('Momentum Ranks'!R40,'Momentum Ranks'!$B40:$U40,0)&lt;='Strategy Settings'!$B$7,'Return Data'!R54,0)+IF(RANK.EQ('Momentum Ranks'!S40,'Momentum Ranks'!$B40:$U40,0)&lt;='Strategy Settings'!$B$7,'Return Data'!S54,0)+IF(RANK.EQ('Momentum Ranks'!T40,'Momentum Ranks'!$B40:$U40,0)&lt;='Strategy Settings'!$B$7,'Return Data'!T54,0)+IF(RANK.EQ('Momentum Ranks'!U40,'Momentum Ranks'!$B40:$U40,0)&lt;='Strategy Settings'!$B$7,'Return Data'!U54,0))/'Strategy Settings'!$B$7</x:f>
        <x:v>-0.01819006563471671</x:v>
      </x:c>
      <x:c r="C40" s="26" t="n">
        <x:f>1-(IF(AND(RANK.EQ('Momentum Ranks'!B40,'Momentum Ranks'!$B40:$U40,0)&lt;='Strategy Settings'!$B$7,RANK.EQ('Momentum Ranks'!B39,'Momentum Ranks'!$B39:$U39,0)&lt;='Strategy Settings'!$B$7),1,0)+IF(AND(RANK.EQ('Momentum Ranks'!C40,'Momentum Ranks'!$B40:$U40,0)&lt;='Strategy Settings'!$B$7,RANK.EQ('Momentum Ranks'!C39,'Momentum Ranks'!$B39:$U39,0)&lt;='Strategy Settings'!$B$7),1,0)+IF(AND(RANK.EQ('Momentum Ranks'!D40,'Momentum Ranks'!$B40:$U40,0)&lt;='Strategy Settings'!$B$7,RANK.EQ('Momentum Ranks'!D39,'Momentum Ranks'!$B39:$U39,0)&lt;='Strategy Settings'!$B$7),1,0)+IF(AND(RANK.EQ('Momentum Ranks'!E40,'Momentum Ranks'!$B40:$U40,0)&lt;='Strategy Settings'!$B$7,RANK.EQ('Momentum Ranks'!E39,'Momentum Ranks'!$B39:$U39,0)&lt;='Strategy Settings'!$B$7),1,0)+IF(AND(RANK.EQ('Momentum Ranks'!F40,'Momentum Ranks'!$B40:$U40,0)&lt;='Strategy Settings'!$B$7,RANK.EQ('Momentum Ranks'!F39,'Momentum Ranks'!$B39:$U39,0)&lt;='Strategy Settings'!$B$7),1,0)+IF(AND(RANK.EQ('Momentum Ranks'!G40,'Momentum Ranks'!$B40:$U40,0)&lt;='Strategy Settings'!$B$7,RANK.EQ('Momentum Ranks'!G39,'Momentum Ranks'!$B39:$U39,0)&lt;='Strategy Settings'!$B$7),1,0)+IF(AND(RANK.EQ('Momentum Ranks'!H40,'Momentum Ranks'!$B40:$U40,0)&lt;='Strategy Settings'!$B$7,RANK.EQ('Momentum Ranks'!H39,'Momentum Ranks'!$B39:$U39,0)&lt;='Strategy Settings'!$B$7),1,0)+IF(AND(RANK.EQ('Momentum Ranks'!I40,'Momentum Ranks'!$B40:$U40,0)&lt;='Strategy Settings'!$B$7,RANK.EQ('Momentum Ranks'!I39,'Momentum Ranks'!$B39:$U39,0)&lt;='Strategy Settings'!$B$7),1,0)+IF(AND(RANK.EQ('Momentum Ranks'!J40,'Momentum Ranks'!$B40:$U40,0)&lt;='Strategy Settings'!$B$7,RANK.EQ('Momentum Ranks'!J39,'Momentum Ranks'!$B39:$U39,0)&lt;='Strategy Settings'!$B$7),1,0)+IF(AND(RANK.EQ('Momentum Ranks'!K40,'Momentum Ranks'!$B40:$U40,0)&lt;='Strategy Settings'!$B$7,RANK.EQ('Momentum Ranks'!K39,'Momentum Ranks'!$B39:$U39,0)&lt;='Strategy Settings'!$B$7),1,0)+IF(AND(RANK.EQ('Momentum Ranks'!L40,'Momentum Ranks'!$B40:$U40,0)&lt;='Strategy Settings'!$B$7,RANK.EQ('Momentum Ranks'!L39,'Momentum Ranks'!$B39:$U39,0)&lt;='Strategy Settings'!$B$7),1,0)+IF(AND(RANK.EQ('Momentum Ranks'!M40,'Momentum Ranks'!$B40:$U40,0)&lt;='Strategy Settings'!$B$7,RANK.EQ('Momentum Ranks'!M39,'Momentum Ranks'!$B39:$U39,0)&lt;='Strategy Settings'!$B$7),1,0)+IF(AND(RANK.EQ('Momentum Ranks'!N40,'Momentum Ranks'!$B40:$U40,0)&lt;='Strategy Settings'!$B$7,RANK.EQ('Momentum Ranks'!N39,'Momentum Ranks'!$B39:$U39,0)&lt;='Strategy Settings'!$B$7),1,0)+IF(AND(RANK.EQ('Momentum Ranks'!O40,'Momentum Ranks'!$B40:$U40,0)&lt;='Strategy Settings'!$B$7,RANK.EQ('Momentum Ranks'!O39,'Momentum Ranks'!$B39:$U39,0)&lt;='Strategy Settings'!$B$7),1,0)+IF(AND(RANK.EQ('Momentum Ranks'!P40,'Momentum Ranks'!$B40:$U40,0)&lt;='Strategy Settings'!$B$7,RANK.EQ('Momentum Ranks'!P39,'Momentum Ranks'!$B39:$U39,0)&lt;='Strategy Settings'!$B$7),1,0)+IF(AND(RANK.EQ('Momentum Ranks'!Q40,'Momentum Ranks'!$B40:$U40,0)&lt;='Strategy Settings'!$B$7,RANK.EQ('Momentum Ranks'!Q39,'Momentum Ranks'!$B39:$U39,0)&lt;='Strategy Settings'!$B$7),1,0)+IF(AND(RANK.EQ('Momentum Ranks'!R40,'Momentum Ranks'!$B40:$U40,0)&lt;='Strategy Settings'!$B$7,RANK.EQ('Momentum Ranks'!R39,'Momentum Ranks'!$B39:$U39,0)&lt;='Strategy Settings'!$B$7),1,0)+IF(AND(RANK.EQ('Momentum Ranks'!S40,'Momentum Ranks'!$B40:$U40,0)&lt;='Strategy Settings'!$B$7,RANK.EQ('Momentum Ranks'!S39,'Momentum Ranks'!$B39:$U39,0)&lt;='Strategy Settings'!$B$7),1,0)+IF(AND(RANK.EQ('Momentum Ranks'!T40,'Momentum Ranks'!$B40:$U40,0)&lt;='Strategy Settings'!$B$7,RANK.EQ('Momentum Ranks'!T39,'Momentum Ranks'!$B39:$U39,0)&lt;='Strategy Settings'!$B$7),1,0)+IF(AND(RANK.EQ('Momentum Ranks'!U40,'Momentum Ranks'!$B40:$U40,0)&lt;='Strategy Settings'!$B$7,RANK.EQ('Momentum Ranks'!U39,'Momentum Ranks'!$B39:$U39,0)&lt;='Strategy Settings'!$B$7),1,0))/'Strategy Settings'!$B$7</x:f>
        <x:v>0.25</x:v>
      </x:c>
      <x:c r="D40" s="26" t="n">
        <x:f>C40*'Strategy Settings'!$B$9</x:f>
        <x:v>0.00025</x:v>
      </x:c>
      <x:c r="E40" s="26" t="n">
        <x:f>B40-D40</x:f>
        <x:v>-0.018440065634716712</x:v>
      </x:c>
      <x:c r="F40" s="26" t="n">
        <x:f>'Return Data'!V50</x:f>
        <x:v>0.04398559120030951</x:v>
      </x:c>
      <x:c r="G40" s="26" t="n">
        <x:f>E40-F40</x:f>
        <x:v>-0.062425656835026225</x:v>
      </x:c>
      <x:c r="H40" s="28" t="n">
        <x:f>H39*(1+E40)</x:f>
        <x:v>1.134506917069314</x:v>
      </x:c>
      <x:c r="I40" s="28" t="n">
        <x:f>I39*(1+F40)</x:f>
        <x:v>1.153808702052846</x:v>
      </x:c>
      <x:c r="J40" s="26" t="n">
        <x:f>H40/MAX($H$4:H40)-1</x:f>
        <x:v>-0.23124743326088726</x:v>
      </x:c>
      <x:c r="K40" s="26" t="n">
        <x:f>I40/MAX($I$4:I40)-1</x:f>
        <x:v>-0.1280309846773946</x:v>
      </x:c>
    </x:row>
    <x:row r="41">
      <x:c r="A41" s="20" t="n">
        <x:f>'Return Data'!A55</x:f>
        <x:v>45260</x:v>
      </x:c>
      <x:c r="B41" s="26" t="n">
        <x:f>(IF(RANK.EQ('Momentum Ranks'!B41,'Momentum Ranks'!$B41:$U41,0)&lt;='Strategy Settings'!$B$7,'Return Data'!B55,0)+IF(RANK.EQ('Momentum Ranks'!C41,'Momentum Ranks'!$B41:$U41,0)&lt;='Strategy Settings'!$B$7,'Return Data'!C55,0)+IF(RANK.EQ('Momentum Ranks'!D41,'Momentum Ranks'!$B41:$U41,0)&lt;='Strategy Settings'!$B$7,'Return Data'!D55,0)+IF(RANK.EQ('Momentum Ranks'!E41,'Momentum Ranks'!$B41:$U41,0)&lt;='Strategy Settings'!$B$7,'Return Data'!E55,0)+IF(RANK.EQ('Momentum Ranks'!F41,'Momentum Ranks'!$B41:$U41,0)&lt;='Strategy Settings'!$B$7,'Return Data'!F55,0)+IF(RANK.EQ('Momentum Ranks'!G41,'Momentum Ranks'!$B41:$U41,0)&lt;='Strategy Settings'!$B$7,'Return Data'!G55,0)+IF(RANK.EQ('Momentum Ranks'!H41,'Momentum Ranks'!$B41:$U41,0)&lt;='Strategy Settings'!$B$7,'Return Data'!H55,0)+IF(RANK.EQ('Momentum Ranks'!I41,'Momentum Ranks'!$B41:$U41,0)&lt;='Strategy Settings'!$B$7,'Return Data'!I55,0)+IF(RANK.EQ('Momentum Ranks'!J41,'Momentum Ranks'!$B41:$U41,0)&lt;='Strategy Settings'!$B$7,'Return Data'!J55,0)+IF(RANK.EQ('Momentum Ranks'!K41,'Momentum Ranks'!$B41:$U41,0)&lt;='Strategy Settings'!$B$7,'Return Data'!K55,0)+IF(RANK.EQ('Momentum Ranks'!L41,'Momentum Ranks'!$B41:$U41,0)&lt;='Strategy Settings'!$B$7,'Return Data'!L55,0)+IF(RANK.EQ('Momentum Ranks'!M41,'Momentum Ranks'!$B41:$U41,0)&lt;='Strategy Settings'!$B$7,'Return Data'!M55,0)+IF(RANK.EQ('Momentum Ranks'!N41,'Momentum Ranks'!$B41:$U41,0)&lt;='Strategy Settings'!$B$7,'Return Data'!N55,0)+IF(RANK.EQ('Momentum Ranks'!O41,'Momentum Ranks'!$B41:$U41,0)&lt;='Strategy Settings'!$B$7,'Return Data'!O55,0)+IF(RANK.EQ('Momentum Ranks'!P41,'Momentum Ranks'!$B41:$U41,0)&lt;='Strategy Settings'!$B$7,'Return Data'!P55,0)+IF(RANK.EQ('Momentum Ranks'!Q41,'Momentum Ranks'!$B41:$U41,0)&lt;='Strategy Settings'!$B$7,'Return Data'!Q55,0)+IF(RANK.EQ('Momentum Ranks'!R41,'Momentum Ranks'!$B41:$U41,0)&lt;='Strategy Settings'!$B$7,'Return Data'!R55,0)+IF(RANK.EQ('Momentum Ranks'!S41,'Momentum Ranks'!$B41:$U41,0)&lt;='Strategy Settings'!$B$7,'Return Data'!S55,0)+IF(RANK.EQ('Momentum Ranks'!T41,'Momentum Ranks'!$B41:$U41,0)&lt;='Strategy Settings'!$B$7,'Return Data'!T55,0)+IF(RANK.EQ('Momentum Ranks'!U41,'Momentum Ranks'!$B41:$U41,0)&lt;='Strategy Settings'!$B$7,'Return Data'!U55,0))/'Strategy Settings'!$B$7</x:f>
        <x:v>0.06476953996778731</x:v>
      </x:c>
      <x:c r="C41" s="26" t="n">
        <x:f>1-(IF(AND(RANK.EQ('Momentum Ranks'!B41,'Momentum Ranks'!$B41:$U41,0)&lt;='Strategy Settings'!$B$7,RANK.EQ('Momentum Ranks'!B40,'Momentum Ranks'!$B40:$U40,0)&lt;='Strategy Settings'!$B$7),1,0)+IF(AND(RANK.EQ('Momentum Ranks'!C41,'Momentum Ranks'!$B41:$U41,0)&lt;='Strategy Settings'!$B$7,RANK.EQ('Momentum Ranks'!C40,'Momentum Ranks'!$B40:$U40,0)&lt;='Strategy Settings'!$B$7),1,0)+IF(AND(RANK.EQ('Momentum Ranks'!D41,'Momentum Ranks'!$B41:$U41,0)&lt;='Strategy Settings'!$B$7,RANK.EQ('Momentum Ranks'!D40,'Momentum Ranks'!$B40:$U40,0)&lt;='Strategy Settings'!$B$7),1,0)+IF(AND(RANK.EQ('Momentum Ranks'!E41,'Momentum Ranks'!$B41:$U41,0)&lt;='Strategy Settings'!$B$7,RANK.EQ('Momentum Ranks'!E40,'Momentum Ranks'!$B40:$U40,0)&lt;='Strategy Settings'!$B$7),1,0)+IF(AND(RANK.EQ('Momentum Ranks'!F41,'Momentum Ranks'!$B41:$U41,0)&lt;='Strategy Settings'!$B$7,RANK.EQ('Momentum Ranks'!F40,'Momentum Ranks'!$B40:$U40,0)&lt;='Strategy Settings'!$B$7),1,0)+IF(AND(RANK.EQ('Momentum Ranks'!G41,'Momentum Ranks'!$B41:$U41,0)&lt;='Strategy Settings'!$B$7,RANK.EQ('Momentum Ranks'!G40,'Momentum Ranks'!$B40:$U40,0)&lt;='Strategy Settings'!$B$7),1,0)+IF(AND(RANK.EQ('Momentum Ranks'!H41,'Momentum Ranks'!$B41:$U41,0)&lt;='Strategy Settings'!$B$7,RANK.EQ('Momentum Ranks'!H40,'Momentum Ranks'!$B40:$U40,0)&lt;='Strategy Settings'!$B$7),1,0)+IF(AND(RANK.EQ('Momentum Ranks'!I41,'Momentum Ranks'!$B41:$U41,0)&lt;='Strategy Settings'!$B$7,RANK.EQ('Momentum Ranks'!I40,'Momentum Ranks'!$B40:$U40,0)&lt;='Strategy Settings'!$B$7),1,0)+IF(AND(RANK.EQ('Momentum Ranks'!J41,'Momentum Ranks'!$B41:$U41,0)&lt;='Strategy Settings'!$B$7,RANK.EQ('Momentum Ranks'!J40,'Momentum Ranks'!$B40:$U40,0)&lt;='Strategy Settings'!$B$7),1,0)+IF(AND(RANK.EQ('Momentum Ranks'!K41,'Momentum Ranks'!$B41:$U41,0)&lt;='Strategy Settings'!$B$7,RANK.EQ('Momentum Ranks'!K40,'Momentum Ranks'!$B40:$U40,0)&lt;='Strategy Settings'!$B$7),1,0)+IF(AND(RANK.EQ('Momentum Ranks'!L41,'Momentum Ranks'!$B41:$U41,0)&lt;='Strategy Settings'!$B$7,RANK.EQ('Momentum Ranks'!L40,'Momentum Ranks'!$B40:$U40,0)&lt;='Strategy Settings'!$B$7),1,0)+IF(AND(RANK.EQ('Momentum Ranks'!M41,'Momentum Ranks'!$B41:$U41,0)&lt;='Strategy Settings'!$B$7,RANK.EQ('Momentum Ranks'!M40,'Momentum Ranks'!$B40:$U40,0)&lt;='Strategy Settings'!$B$7),1,0)+IF(AND(RANK.EQ('Momentum Ranks'!N41,'Momentum Ranks'!$B41:$U41,0)&lt;='Strategy Settings'!$B$7,RANK.EQ('Momentum Ranks'!N40,'Momentum Ranks'!$B40:$U40,0)&lt;='Strategy Settings'!$B$7),1,0)+IF(AND(RANK.EQ('Momentum Ranks'!O41,'Momentum Ranks'!$B41:$U41,0)&lt;='Strategy Settings'!$B$7,RANK.EQ('Momentum Ranks'!O40,'Momentum Ranks'!$B40:$U40,0)&lt;='Strategy Settings'!$B$7),1,0)+IF(AND(RANK.EQ('Momentum Ranks'!P41,'Momentum Ranks'!$B41:$U41,0)&lt;='Strategy Settings'!$B$7,RANK.EQ('Momentum Ranks'!P40,'Momentum Ranks'!$B40:$U40,0)&lt;='Strategy Settings'!$B$7),1,0)+IF(AND(RANK.EQ('Momentum Ranks'!Q41,'Momentum Ranks'!$B41:$U41,0)&lt;='Strategy Settings'!$B$7,RANK.EQ('Momentum Ranks'!Q40,'Momentum Ranks'!$B40:$U40,0)&lt;='Strategy Settings'!$B$7),1,0)+IF(AND(RANK.EQ('Momentum Ranks'!R41,'Momentum Ranks'!$B41:$U41,0)&lt;='Strategy Settings'!$B$7,RANK.EQ('Momentum Ranks'!R40,'Momentum Ranks'!$B40:$U40,0)&lt;='Strategy Settings'!$B$7),1,0)+IF(AND(RANK.EQ('Momentum Ranks'!S41,'Momentum Ranks'!$B41:$U41,0)&lt;='Strategy Settings'!$B$7,RANK.EQ('Momentum Ranks'!S40,'Momentum Ranks'!$B40:$U40,0)&lt;='Strategy Settings'!$B$7),1,0)+IF(AND(RANK.EQ('Momentum Ranks'!T41,'Momentum Ranks'!$B41:$U41,0)&lt;='Strategy Settings'!$B$7,RANK.EQ('Momentum Ranks'!T40,'Momentum Ranks'!$B40:$U40,0)&lt;='Strategy Settings'!$B$7),1,0)+IF(AND(RANK.EQ('Momentum Ranks'!U41,'Momentum Ranks'!$B41:$U41,0)&lt;='Strategy Settings'!$B$7,RANK.EQ('Momentum Ranks'!U40,'Momentum Ranks'!$B40:$U40,0)&lt;='Strategy Settings'!$B$7),1,0))/'Strategy Settings'!$B$7</x:f>
        <x:v>0.25</x:v>
      </x:c>
      <x:c r="D41" s="26" t="n">
        <x:f>C41*'Strategy Settings'!$B$9</x:f>
        <x:v>0.00025</x:v>
      </x:c>
      <x:c r="E41" s="26" t="n">
        <x:f>B41-D41</x:f>
        <x:v>0.06451953996778731</x:v>
      </x:c>
      <x:c r="F41" s="26" t="n">
        <x:f>'Return Data'!V51</x:f>
        <x:v>0.02989450674766958</x:v>
      </x:c>
      <x:c r="G41" s="26" t="n">
        <x:f>E41-F41</x:f>
        <x:v>0.03462503322011773</x:v>
      </x:c>
      <x:c r="H41" s="28" t="n">
        <x:f>H40*(1+E41)</x:f>
        <x:v>1.2077047814488988</x:v>
      </x:c>
      <x:c r="I41" s="28" t="n">
        <x:f>I40*(1+F41)</x:f>
        <x:v>1.1883012440818848</x:v>
      </x:c>
      <x:c r="J41" s="26" t="n">
        <x:f>H41/MAX($H$4:H41)-1</x:f>
        <x:v>-0.18164787130582405</x:v>
      </x:c>
      <x:c r="K41" s="26" t="n">
        <x:f>I41/MAX($I$4:I41)-1</x:f>
        <x:v>-0.10196390106507414</x:v>
      </x:c>
    </x:row>
    <x:row r="42">
      <x:c r="A42" s="20" t="n">
        <x:f>'Return Data'!A56</x:f>
        <x:v>45290</x:v>
      </x:c>
      <x:c r="B42" s="26" t="n">
        <x:f>(IF(RANK.EQ('Momentum Ranks'!B42,'Momentum Ranks'!$B42:$U42,0)&lt;='Strategy Settings'!$B$7,'Return Data'!B56,0)+IF(RANK.EQ('Momentum Ranks'!C42,'Momentum Ranks'!$B42:$U42,0)&lt;='Strategy Settings'!$B$7,'Return Data'!C56,0)+IF(RANK.EQ('Momentum Ranks'!D42,'Momentum Ranks'!$B42:$U42,0)&lt;='Strategy Settings'!$B$7,'Return Data'!D56,0)+IF(RANK.EQ('Momentum Ranks'!E42,'Momentum Ranks'!$B42:$U42,0)&lt;='Strategy Settings'!$B$7,'Return Data'!E56,0)+IF(RANK.EQ('Momentum Ranks'!F42,'Momentum Ranks'!$B42:$U42,0)&lt;='Strategy Settings'!$B$7,'Return Data'!F56,0)+IF(RANK.EQ('Momentum Ranks'!G42,'Momentum Ranks'!$B42:$U42,0)&lt;='Strategy Settings'!$B$7,'Return Data'!G56,0)+IF(RANK.EQ('Momentum Ranks'!H42,'Momentum Ranks'!$B42:$U42,0)&lt;='Strategy Settings'!$B$7,'Return Data'!H56,0)+IF(RANK.EQ('Momentum Ranks'!I42,'Momentum Ranks'!$B42:$U42,0)&lt;='Strategy Settings'!$B$7,'Return Data'!I56,0)+IF(RANK.EQ('Momentum Ranks'!J42,'Momentum Ranks'!$B42:$U42,0)&lt;='Strategy Settings'!$B$7,'Return Data'!J56,0)+IF(RANK.EQ('Momentum Ranks'!K42,'Momentum Ranks'!$B42:$U42,0)&lt;='Strategy Settings'!$B$7,'Return Data'!K56,0)+IF(RANK.EQ('Momentum Ranks'!L42,'Momentum Ranks'!$B42:$U42,0)&lt;='Strategy Settings'!$B$7,'Return Data'!L56,0)+IF(RANK.EQ('Momentum Ranks'!M42,'Momentum Ranks'!$B42:$U42,0)&lt;='Strategy Settings'!$B$7,'Return Data'!M56,0)+IF(RANK.EQ('Momentum Ranks'!N42,'Momentum Ranks'!$B42:$U42,0)&lt;='Strategy Settings'!$B$7,'Return Data'!N56,0)+IF(RANK.EQ('Momentum Ranks'!O42,'Momentum Ranks'!$B42:$U42,0)&lt;='Strategy Settings'!$B$7,'Return Data'!O56,0)+IF(RANK.EQ('Momentum Ranks'!P42,'Momentum Ranks'!$B42:$U42,0)&lt;='Strategy Settings'!$B$7,'Return Data'!P56,0)+IF(RANK.EQ('Momentum Ranks'!Q42,'Momentum Ranks'!$B42:$U42,0)&lt;='Strategy Settings'!$B$7,'Return Data'!Q56,0)+IF(RANK.EQ('Momentum Ranks'!R42,'Momentum Ranks'!$B42:$U42,0)&lt;='Strategy Settings'!$B$7,'Return Data'!R56,0)+IF(RANK.EQ('Momentum Ranks'!S42,'Momentum Ranks'!$B42:$U42,0)&lt;='Strategy Settings'!$B$7,'Return Data'!S56,0)+IF(RANK.EQ('Momentum Ranks'!T42,'Momentum Ranks'!$B42:$U42,0)&lt;='Strategy Settings'!$B$7,'Return Data'!T56,0)+IF(RANK.EQ('Momentum Ranks'!U42,'Momentum Ranks'!$B42:$U42,0)&lt;='Strategy Settings'!$B$7,'Return Data'!U56,0))/'Strategy Settings'!$B$7</x:f>
        <x:v>0.055768923988822335</x:v>
      </x:c>
      <x:c r="C42" s="26" t="n">
        <x:f>1-(IF(AND(RANK.EQ('Momentum Ranks'!B42,'Momentum Ranks'!$B42:$U42,0)&lt;='Strategy Settings'!$B$7,RANK.EQ('Momentum Ranks'!B41,'Momentum Ranks'!$B41:$U41,0)&lt;='Strategy Settings'!$B$7),1,0)+IF(AND(RANK.EQ('Momentum Ranks'!C42,'Momentum Ranks'!$B42:$U42,0)&lt;='Strategy Settings'!$B$7,RANK.EQ('Momentum Ranks'!C41,'Momentum Ranks'!$B41:$U41,0)&lt;='Strategy Settings'!$B$7),1,0)+IF(AND(RANK.EQ('Momentum Ranks'!D42,'Momentum Ranks'!$B42:$U42,0)&lt;='Strategy Settings'!$B$7,RANK.EQ('Momentum Ranks'!D41,'Momentum Ranks'!$B41:$U41,0)&lt;='Strategy Settings'!$B$7),1,0)+IF(AND(RANK.EQ('Momentum Ranks'!E42,'Momentum Ranks'!$B42:$U42,0)&lt;='Strategy Settings'!$B$7,RANK.EQ('Momentum Ranks'!E41,'Momentum Ranks'!$B41:$U41,0)&lt;='Strategy Settings'!$B$7),1,0)+IF(AND(RANK.EQ('Momentum Ranks'!F42,'Momentum Ranks'!$B42:$U42,0)&lt;='Strategy Settings'!$B$7,RANK.EQ('Momentum Ranks'!F41,'Momentum Ranks'!$B41:$U41,0)&lt;='Strategy Settings'!$B$7),1,0)+IF(AND(RANK.EQ('Momentum Ranks'!G42,'Momentum Ranks'!$B42:$U42,0)&lt;='Strategy Settings'!$B$7,RANK.EQ('Momentum Ranks'!G41,'Momentum Ranks'!$B41:$U41,0)&lt;='Strategy Settings'!$B$7),1,0)+IF(AND(RANK.EQ('Momentum Ranks'!H42,'Momentum Ranks'!$B42:$U42,0)&lt;='Strategy Settings'!$B$7,RANK.EQ('Momentum Ranks'!H41,'Momentum Ranks'!$B41:$U41,0)&lt;='Strategy Settings'!$B$7),1,0)+IF(AND(RANK.EQ('Momentum Ranks'!I42,'Momentum Ranks'!$B42:$U42,0)&lt;='Strategy Settings'!$B$7,RANK.EQ('Momentum Ranks'!I41,'Momentum Ranks'!$B41:$U41,0)&lt;='Strategy Settings'!$B$7),1,0)+IF(AND(RANK.EQ('Momentum Ranks'!J42,'Momentum Ranks'!$B42:$U42,0)&lt;='Strategy Settings'!$B$7,RANK.EQ('Momentum Ranks'!J41,'Momentum Ranks'!$B41:$U41,0)&lt;='Strategy Settings'!$B$7),1,0)+IF(AND(RANK.EQ('Momentum Ranks'!K42,'Momentum Ranks'!$B42:$U42,0)&lt;='Strategy Settings'!$B$7,RANK.EQ('Momentum Ranks'!K41,'Momentum Ranks'!$B41:$U41,0)&lt;='Strategy Settings'!$B$7),1,0)+IF(AND(RANK.EQ('Momentum Ranks'!L42,'Momentum Ranks'!$B42:$U42,0)&lt;='Strategy Settings'!$B$7,RANK.EQ('Momentum Ranks'!L41,'Momentum Ranks'!$B41:$U41,0)&lt;='Strategy Settings'!$B$7),1,0)+IF(AND(RANK.EQ('Momentum Ranks'!M42,'Momentum Ranks'!$B42:$U42,0)&lt;='Strategy Settings'!$B$7,RANK.EQ('Momentum Ranks'!M41,'Momentum Ranks'!$B41:$U41,0)&lt;='Strategy Settings'!$B$7),1,0)+IF(AND(RANK.EQ('Momentum Ranks'!N42,'Momentum Ranks'!$B42:$U42,0)&lt;='Strategy Settings'!$B$7,RANK.EQ('Momentum Ranks'!N41,'Momentum Ranks'!$B41:$U41,0)&lt;='Strategy Settings'!$B$7),1,0)+IF(AND(RANK.EQ('Momentum Ranks'!O42,'Momentum Ranks'!$B42:$U42,0)&lt;='Strategy Settings'!$B$7,RANK.EQ('Momentum Ranks'!O41,'Momentum Ranks'!$B41:$U41,0)&lt;='Strategy Settings'!$B$7),1,0)+IF(AND(RANK.EQ('Momentum Ranks'!P42,'Momentum Ranks'!$B42:$U42,0)&lt;='Strategy Settings'!$B$7,RANK.EQ('Momentum Ranks'!P41,'Momentum Ranks'!$B41:$U41,0)&lt;='Strategy Settings'!$B$7),1,0)+IF(AND(RANK.EQ('Momentum Ranks'!Q42,'Momentum Ranks'!$B42:$U42,0)&lt;='Strategy Settings'!$B$7,RANK.EQ('Momentum Ranks'!Q41,'Momentum Ranks'!$B41:$U41,0)&lt;='Strategy Settings'!$B$7),1,0)+IF(AND(RANK.EQ('Momentum Ranks'!R42,'Momentum Ranks'!$B42:$U42,0)&lt;='Strategy Settings'!$B$7,RANK.EQ('Momentum Ranks'!R41,'Momentum Ranks'!$B41:$U41,0)&lt;='Strategy Settings'!$B$7),1,0)+IF(AND(RANK.EQ('Momentum Ranks'!S42,'Momentum Ranks'!$B42:$U42,0)&lt;='Strategy Settings'!$B$7,RANK.EQ('Momentum Ranks'!S41,'Momentum Ranks'!$B41:$U41,0)&lt;='Strategy Settings'!$B$7),1,0)+IF(AND(RANK.EQ('Momentum Ranks'!T42,'Momentum Ranks'!$B42:$U42,0)&lt;='Strategy Settings'!$B$7,RANK.EQ('Momentum Ranks'!T41,'Momentum Ranks'!$B41:$U41,0)&lt;='Strategy Settings'!$B$7),1,0)+IF(AND(RANK.EQ('Momentum Ranks'!U42,'Momentum Ranks'!$B42:$U42,0)&lt;='Strategy Settings'!$B$7,RANK.EQ('Momentum Ranks'!U41,'Momentum Ranks'!$B41:$U41,0)&lt;='Strategy Settings'!$B$7),1,0))/'Strategy Settings'!$B$7</x:f>
        <x:v>0.25</x:v>
      </x:c>
      <x:c r="D42" s="26" t="n">
        <x:f>C42*'Strategy Settings'!$B$9</x:f>
        <x:v>0.00025</x:v>
      </x:c>
      <x:c r="E42" s="26" t="n">
        <x:f>B42-D42</x:f>
        <x:v>0.055518923988822334</x:v>
      </x:c>
      <x:c r="F42" s="26" t="n">
        <x:f>'Return Data'!V52</x:f>
        <x:v>0.016979027235959676</x:v>
      </x:c>
      <x:c r="G42" s="26" t="n">
        <x:f>E42-F42</x:f>
        <x:v>0.03853989675286266</x:v>
      </x:c>
      <x:c r="H42" s="28" t="n">
        <x:f>H41*(1+E42)</x:f>
        <x:v>1.2747552514110976</x:v>
      </x:c>
      <x:c r="I42" s="28" t="n">
        <x:f>I41*(1+F42)</x:f>
        <x:v>1.2084774432696759</x:v>
      </x:c>
      <x:c r="J42" s="26" t="n">
        <x:f>H42/MAX($H$4:H42)-1</x:f>
        <x:v>-0.1362138416767611</x:v>
      </x:c>
      <x:c r="K42" s="26" t="n">
        <x:f>I42/MAX($I$4:I42)-1</x:f>
        <x:v>-0.08671612168238296</x:v>
      </x:c>
    </x:row>
    <x:row r="43">
      <x:c r="A43" s="20" t="n">
        <x:f>'Return Data'!A57</x:f>
        <x:v>45321</x:v>
      </x:c>
      <x:c r="B43" s="26" t="n">
        <x:f>(IF(RANK.EQ('Momentum Ranks'!B43,'Momentum Ranks'!$B43:$U43,0)&lt;='Strategy Settings'!$B$7,'Return Data'!B57,0)+IF(RANK.EQ('Momentum Ranks'!C43,'Momentum Ranks'!$B43:$U43,0)&lt;='Strategy Settings'!$B$7,'Return Data'!C57,0)+IF(RANK.EQ('Momentum Ranks'!D43,'Momentum Ranks'!$B43:$U43,0)&lt;='Strategy Settings'!$B$7,'Return Data'!D57,0)+IF(RANK.EQ('Momentum Ranks'!E43,'Momentum Ranks'!$B43:$U43,0)&lt;='Strategy Settings'!$B$7,'Return Data'!E57,0)+IF(RANK.EQ('Momentum Ranks'!F43,'Momentum Ranks'!$B43:$U43,0)&lt;='Strategy Settings'!$B$7,'Return Data'!F57,0)+IF(RANK.EQ('Momentum Ranks'!G43,'Momentum Ranks'!$B43:$U43,0)&lt;='Strategy Settings'!$B$7,'Return Data'!G57,0)+IF(RANK.EQ('Momentum Ranks'!H43,'Momentum Ranks'!$B43:$U43,0)&lt;='Strategy Settings'!$B$7,'Return Data'!H57,0)+IF(RANK.EQ('Momentum Ranks'!I43,'Momentum Ranks'!$B43:$U43,0)&lt;='Strategy Settings'!$B$7,'Return Data'!I57,0)+IF(RANK.EQ('Momentum Ranks'!J43,'Momentum Ranks'!$B43:$U43,0)&lt;='Strategy Settings'!$B$7,'Return Data'!J57,0)+IF(RANK.EQ('Momentum Ranks'!K43,'Momentum Ranks'!$B43:$U43,0)&lt;='Strategy Settings'!$B$7,'Return Data'!K57,0)+IF(RANK.EQ('Momentum Ranks'!L43,'Momentum Ranks'!$B43:$U43,0)&lt;='Strategy Settings'!$B$7,'Return Data'!L57,0)+IF(RANK.EQ('Momentum Ranks'!M43,'Momentum Ranks'!$B43:$U43,0)&lt;='Strategy Settings'!$B$7,'Return Data'!M57,0)+IF(RANK.EQ('Momentum Ranks'!N43,'Momentum Ranks'!$B43:$U43,0)&lt;='Strategy Settings'!$B$7,'Return Data'!N57,0)+IF(RANK.EQ('Momentum Ranks'!O43,'Momentum Ranks'!$B43:$U43,0)&lt;='Strategy Settings'!$B$7,'Return Data'!O57,0)+IF(RANK.EQ('Momentum Ranks'!P43,'Momentum Ranks'!$B43:$U43,0)&lt;='Strategy Settings'!$B$7,'Return Data'!P57,0)+IF(RANK.EQ('Momentum Ranks'!Q43,'Momentum Ranks'!$B43:$U43,0)&lt;='Strategy Settings'!$B$7,'Return Data'!Q57,0)+IF(RANK.EQ('Momentum Ranks'!R43,'Momentum Ranks'!$B43:$U43,0)&lt;='Strategy Settings'!$B$7,'Return Data'!R57,0)+IF(RANK.EQ('Momentum Ranks'!S43,'Momentum Ranks'!$B43:$U43,0)&lt;='Strategy Settings'!$B$7,'Return Data'!S57,0)+IF(RANK.EQ('Momentum Ranks'!T43,'Momentum Ranks'!$B43:$U43,0)&lt;='Strategy Settings'!$B$7,'Return Data'!T57,0)+IF(RANK.EQ('Momentum Ranks'!U43,'Momentum Ranks'!$B43:$U43,0)&lt;='Strategy Settings'!$B$7,'Return Data'!U57,0))/'Strategy Settings'!$B$7</x:f>
        <x:v>0.01610256942241773</x:v>
      </x:c>
      <x:c r="C43" s="26" t="n">
        <x:f>1-(IF(AND(RANK.EQ('Momentum Ranks'!B43,'Momentum Ranks'!$B43:$U43,0)&lt;='Strategy Settings'!$B$7,RANK.EQ('Momentum Ranks'!B42,'Momentum Ranks'!$B42:$U42,0)&lt;='Strategy Settings'!$B$7),1,0)+IF(AND(RANK.EQ('Momentum Ranks'!C43,'Momentum Ranks'!$B43:$U43,0)&lt;='Strategy Settings'!$B$7,RANK.EQ('Momentum Ranks'!C42,'Momentum Ranks'!$B42:$U42,0)&lt;='Strategy Settings'!$B$7),1,0)+IF(AND(RANK.EQ('Momentum Ranks'!D43,'Momentum Ranks'!$B43:$U43,0)&lt;='Strategy Settings'!$B$7,RANK.EQ('Momentum Ranks'!D42,'Momentum Ranks'!$B42:$U42,0)&lt;='Strategy Settings'!$B$7),1,0)+IF(AND(RANK.EQ('Momentum Ranks'!E43,'Momentum Ranks'!$B43:$U43,0)&lt;='Strategy Settings'!$B$7,RANK.EQ('Momentum Ranks'!E42,'Momentum Ranks'!$B42:$U42,0)&lt;='Strategy Settings'!$B$7),1,0)+IF(AND(RANK.EQ('Momentum Ranks'!F43,'Momentum Ranks'!$B43:$U43,0)&lt;='Strategy Settings'!$B$7,RANK.EQ('Momentum Ranks'!F42,'Momentum Ranks'!$B42:$U42,0)&lt;='Strategy Settings'!$B$7),1,0)+IF(AND(RANK.EQ('Momentum Ranks'!G43,'Momentum Ranks'!$B43:$U43,0)&lt;='Strategy Settings'!$B$7,RANK.EQ('Momentum Ranks'!G42,'Momentum Ranks'!$B42:$U42,0)&lt;='Strategy Settings'!$B$7),1,0)+IF(AND(RANK.EQ('Momentum Ranks'!H43,'Momentum Ranks'!$B43:$U43,0)&lt;='Strategy Settings'!$B$7,RANK.EQ('Momentum Ranks'!H42,'Momentum Ranks'!$B42:$U42,0)&lt;='Strategy Settings'!$B$7),1,0)+IF(AND(RANK.EQ('Momentum Ranks'!I43,'Momentum Ranks'!$B43:$U43,0)&lt;='Strategy Settings'!$B$7,RANK.EQ('Momentum Ranks'!I42,'Momentum Ranks'!$B42:$U42,0)&lt;='Strategy Settings'!$B$7),1,0)+IF(AND(RANK.EQ('Momentum Ranks'!J43,'Momentum Ranks'!$B43:$U43,0)&lt;='Strategy Settings'!$B$7,RANK.EQ('Momentum Ranks'!J42,'Momentum Ranks'!$B42:$U42,0)&lt;='Strategy Settings'!$B$7),1,0)+IF(AND(RANK.EQ('Momentum Ranks'!K43,'Momentum Ranks'!$B43:$U43,0)&lt;='Strategy Settings'!$B$7,RANK.EQ('Momentum Ranks'!K42,'Momentum Ranks'!$B42:$U42,0)&lt;='Strategy Settings'!$B$7),1,0)+IF(AND(RANK.EQ('Momentum Ranks'!L43,'Momentum Ranks'!$B43:$U43,0)&lt;='Strategy Settings'!$B$7,RANK.EQ('Momentum Ranks'!L42,'Momentum Ranks'!$B42:$U42,0)&lt;='Strategy Settings'!$B$7),1,0)+IF(AND(RANK.EQ('Momentum Ranks'!M43,'Momentum Ranks'!$B43:$U43,0)&lt;='Strategy Settings'!$B$7,RANK.EQ('Momentum Ranks'!M42,'Momentum Ranks'!$B42:$U42,0)&lt;='Strategy Settings'!$B$7),1,0)+IF(AND(RANK.EQ('Momentum Ranks'!N43,'Momentum Ranks'!$B43:$U43,0)&lt;='Strategy Settings'!$B$7,RANK.EQ('Momentum Ranks'!N42,'Momentum Ranks'!$B42:$U42,0)&lt;='Strategy Settings'!$B$7),1,0)+IF(AND(RANK.EQ('Momentum Ranks'!O43,'Momentum Ranks'!$B43:$U43,0)&lt;='Strategy Settings'!$B$7,RANK.EQ('Momentum Ranks'!O42,'Momentum Ranks'!$B42:$U42,0)&lt;='Strategy Settings'!$B$7),1,0)+IF(AND(RANK.EQ('Momentum Ranks'!P43,'Momentum Ranks'!$B43:$U43,0)&lt;='Strategy Settings'!$B$7,RANK.EQ('Momentum Ranks'!P42,'Momentum Ranks'!$B42:$U42,0)&lt;='Strategy Settings'!$B$7),1,0)+IF(AND(RANK.EQ('Momentum Ranks'!Q43,'Momentum Ranks'!$B43:$U43,0)&lt;='Strategy Settings'!$B$7,RANK.EQ('Momentum Ranks'!Q42,'Momentum Ranks'!$B42:$U42,0)&lt;='Strategy Settings'!$B$7),1,0)+IF(AND(RANK.EQ('Momentum Ranks'!R43,'Momentum Ranks'!$B43:$U43,0)&lt;='Strategy Settings'!$B$7,RANK.EQ('Momentum Ranks'!R42,'Momentum Ranks'!$B42:$U42,0)&lt;='Strategy Settings'!$B$7),1,0)+IF(AND(RANK.EQ('Momentum Ranks'!S43,'Momentum Ranks'!$B43:$U43,0)&lt;='Strategy Settings'!$B$7,RANK.EQ('Momentum Ranks'!S42,'Momentum Ranks'!$B42:$U42,0)&lt;='Strategy Settings'!$B$7),1,0)+IF(AND(RANK.EQ('Momentum Ranks'!T43,'Momentum Ranks'!$B43:$U43,0)&lt;='Strategy Settings'!$B$7,RANK.EQ('Momentum Ranks'!T42,'Momentum Ranks'!$B42:$U42,0)&lt;='Strategy Settings'!$B$7),1,0)+IF(AND(RANK.EQ('Momentum Ranks'!U43,'Momentum Ranks'!$B43:$U43,0)&lt;='Strategy Settings'!$B$7,RANK.EQ('Momentum Ranks'!U42,'Momentum Ranks'!$B42:$U42,0)&lt;='Strategy Settings'!$B$7),1,0))/'Strategy Settings'!$B$7</x:f>
        <x:v>0.25</x:v>
      </x:c>
      <x:c r="D43" s="26" t="n">
        <x:f>C43*'Strategy Settings'!$B$9</x:f>
        <x:v>0.00025</x:v>
      </x:c>
      <x:c r="E43" s="26" t="n">
        <x:f>B43-D43</x:f>
        <x:v>0.01585256942241773</x:v>
      </x:c>
      <x:c r="F43" s="26" t="n">
        <x:f>'Return Data'!V53</x:f>
        <x:v>-0.03507446371823413</x:v>
      </x:c>
      <x:c r="G43" s="26" t="n">
        <x:f>E43-F43</x:f>
        <x:v>0.05092703314065186</x:v>
      </x:c>
      <x:c r="H43" s="28" t="n">
        <x:f>H42*(1+E43)</x:f>
        <x:v>1.2949633975306833</x:v>
      </x:c>
      <x:c r="I43" s="28" t="n">
        <x:f>I42*(1+F43)</x:f>
        <x:v>1.1660907450314093</x:v>
      </x:c>
      <x:c r="J43" s="26" t="n">
        <x:f>H43/MAX($H$4:H43)-1</x:f>
        <x:v>-0.12252061163581851</x:v>
      </x:c>
      <x:c r="K43" s="26" t="n">
        <x:f>I43/MAX($I$4:I43)-1</x:f>
        <x:v>-0.11874906393688234</x:v>
      </x:c>
    </x:row>
    <x:row r="44">
      <x:c r="A44" s="20" t="n">
        <x:f>'Return Data'!A58</x:f>
        <x:v>45351</x:v>
      </x:c>
      <x:c r="B44" s="26" t="n">
        <x:f>(IF(RANK.EQ('Momentum Ranks'!B44,'Momentum Ranks'!$B44:$U44,0)&lt;='Strategy Settings'!$B$7,'Return Data'!B58,0)+IF(RANK.EQ('Momentum Ranks'!C44,'Momentum Ranks'!$B44:$U44,0)&lt;='Strategy Settings'!$B$7,'Return Data'!C58,0)+IF(RANK.EQ('Momentum Ranks'!D44,'Momentum Ranks'!$B44:$U44,0)&lt;='Strategy Settings'!$B$7,'Return Data'!D58,0)+IF(RANK.EQ('Momentum Ranks'!E44,'Momentum Ranks'!$B44:$U44,0)&lt;='Strategy Settings'!$B$7,'Return Data'!E58,0)+IF(RANK.EQ('Momentum Ranks'!F44,'Momentum Ranks'!$B44:$U44,0)&lt;='Strategy Settings'!$B$7,'Return Data'!F58,0)+IF(RANK.EQ('Momentum Ranks'!G44,'Momentum Ranks'!$B44:$U44,0)&lt;='Strategy Settings'!$B$7,'Return Data'!G58,0)+IF(RANK.EQ('Momentum Ranks'!H44,'Momentum Ranks'!$B44:$U44,0)&lt;='Strategy Settings'!$B$7,'Return Data'!H58,0)+IF(RANK.EQ('Momentum Ranks'!I44,'Momentum Ranks'!$B44:$U44,0)&lt;='Strategy Settings'!$B$7,'Return Data'!I58,0)+IF(RANK.EQ('Momentum Ranks'!J44,'Momentum Ranks'!$B44:$U44,0)&lt;='Strategy Settings'!$B$7,'Return Data'!J58,0)+IF(RANK.EQ('Momentum Ranks'!K44,'Momentum Ranks'!$B44:$U44,0)&lt;='Strategy Settings'!$B$7,'Return Data'!K58,0)+IF(RANK.EQ('Momentum Ranks'!L44,'Momentum Ranks'!$B44:$U44,0)&lt;='Strategy Settings'!$B$7,'Return Data'!L58,0)+IF(RANK.EQ('Momentum Ranks'!M44,'Momentum Ranks'!$B44:$U44,0)&lt;='Strategy Settings'!$B$7,'Return Data'!M58,0)+IF(RANK.EQ('Momentum Ranks'!N44,'Momentum Ranks'!$B44:$U44,0)&lt;='Strategy Settings'!$B$7,'Return Data'!N58,0)+IF(RANK.EQ('Momentum Ranks'!O44,'Momentum Ranks'!$B44:$U44,0)&lt;='Strategy Settings'!$B$7,'Return Data'!O58,0)+IF(RANK.EQ('Momentum Ranks'!P44,'Momentum Ranks'!$B44:$U44,0)&lt;='Strategy Settings'!$B$7,'Return Data'!P58,0)+IF(RANK.EQ('Momentum Ranks'!Q44,'Momentum Ranks'!$B44:$U44,0)&lt;='Strategy Settings'!$B$7,'Return Data'!Q58,0)+IF(RANK.EQ('Momentum Ranks'!R44,'Momentum Ranks'!$B44:$U44,0)&lt;='Strategy Settings'!$B$7,'Return Data'!R58,0)+IF(RANK.EQ('Momentum Ranks'!S44,'Momentum Ranks'!$B44:$U44,0)&lt;='Strategy Settings'!$B$7,'Return Data'!S58,0)+IF(RANK.EQ('Momentum Ranks'!T44,'Momentum Ranks'!$B44:$U44,0)&lt;='Strategy Settings'!$B$7,'Return Data'!T58,0)+IF(RANK.EQ('Momentum Ranks'!U44,'Momentum Ranks'!$B44:$U44,0)&lt;='Strategy Settings'!$B$7,'Return Data'!U58,0))/'Strategy Settings'!$B$7</x:f>
        <x:v>0.039240781726139325</x:v>
      </x:c>
      <x:c r="C44" s="26" t="n">
        <x:f>1-(IF(AND(RANK.EQ('Momentum Ranks'!B44,'Momentum Ranks'!$B44:$U44,0)&lt;='Strategy Settings'!$B$7,RANK.EQ('Momentum Ranks'!B43,'Momentum Ranks'!$B43:$U43,0)&lt;='Strategy Settings'!$B$7),1,0)+IF(AND(RANK.EQ('Momentum Ranks'!C44,'Momentum Ranks'!$B44:$U44,0)&lt;='Strategy Settings'!$B$7,RANK.EQ('Momentum Ranks'!C43,'Momentum Ranks'!$B43:$U43,0)&lt;='Strategy Settings'!$B$7),1,0)+IF(AND(RANK.EQ('Momentum Ranks'!D44,'Momentum Ranks'!$B44:$U44,0)&lt;='Strategy Settings'!$B$7,RANK.EQ('Momentum Ranks'!D43,'Momentum Ranks'!$B43:$U43,0)&lt;='Strategy Settings'!$B$7),1,0)+IF(AND(RANK.EQ('Momentum Ranks'!E44,'Momentum Ranks'!$B44:$U44,0)&lt;='Strategy Settings'!$B$7,RANK.EQ('Momentum Ranks'!E43,'Momentum Ranks'!$B43:$U43,0)&lt;='Strategy Settings'!$B$7),1,0)+IF(AND(RANK.EQ('Momentum Ranks'!F44,'Momentum Ranks'!$B44:$U44,0)&lt;='Strategy Settings'!$B$7,RANK.EQ('Momentum Ranks'!F43,'Momentum Ranks'!$B43:$U43,0)&lt;='Strategy Settings'!$B$7),1,0)+IF(AND(RANK.EQ('Momentum Ranks'!G44,'Momentum Ranks'!$B44:$U44,0)&lt;='Strategy Settings'!$B$7,RANK.EQ('Momentum Ranks'!G43,'Momentum Ranks'!$B43:$U43,0)&lt;='Strategy Settings'!$B$7),1,0)+IF(AND(RANK.EQ('Momentum Ranks'!H44,'Momentum Ranks'!$B44:$U44,0)&lt;='Strategy Settings'!$B$7,RANK.EQ('Momentum Ranks'!H43,'Momentum Ranks'!$B43:$U43,0)&lt;='Strategy Settings'!$B$7),1,0)+IF(AND(RANK.EQ('Momentum Ranks'!I44,'Momentum Ranks'!$B44:$U44,0)&lt;='Strategy Settings'!$B$7,RANK.EQ('Momentum Ranks'!I43,'Momentum Ranks'!$B43:$U43,0)&lt;='Strategy Settings'!$B$7),1,0)+IF(AND(RANK.EQ('Momentum Ranks'!J44,'Momentum Ranks'!$B44:$U44,0)&lt;='Strategy Settings'!$B$7,RANK.EQ('Momentum Ranks'!J43,'Momentum Ranks'!$B43:$U43,0)&lt;='Strategy Settings'!$B$7),1,0)+IF(AND(RANK.EQ('Momentum Ranks'!K44,'Momentum Ranks'!$B44:$U44,0)&lt;='Strategy Settings'!$B$7,RANK.EQ('Momentum Ranks'!K43,'Momentum Ranks'!$B43:$U43,0)&lt;='Strategy Settings'!$B$7),1,0)+IF(AND(RANK.EQ('Momentum Ranks'!L44,'Momentum Ranks'!$B44:$U44,0)&lt;='Strategy Settings'!$B$7,RANK.EQ('Momentum Ranks'!L43,'Momentum Ranks'!$B43:$U43,0)&lt;='Strategy Settings'!$B$7),1,0)+IF(AND(RANK.EQ('Momentum Ranks'!M44,'Momentum Ranks'!$B44:$U44,0)&lt;='Strategy Settings'!$B$7,RANK.EQ('Momentum Ranks'!M43,'Momentum Ranks'!$B43:$U43,0)&lt;='Strategy Settings'!$B$7),1,0)+IF(AND(RANK.EQ('Momentum Ranks'!N44,'Momentum Ranks'!$B44:$U44,0)&lt;='Strategy Settings'!$B$7,RANK.EQ('Momentum Ranks'!N43,'Momentum Ranks'!$B43:$U43,0)&lt;='Strategy Settings'!$B$7),1,0)+IF(AND(RANK.EQ('Momentum Ranks'!O44,'Momentum Ranks'!$B44:$U44,0)&lt;='Strategy Settings'!$B$7,RANK.EQ('Momentum Ranks'!O43,'Momentum Ranks'!$B43:$U43,0)&lt;='Strategy Settings'!$B$7),1,0)+IF(AND(RANK.EQ('Momentum Ranks'!P44,'Momentum Ranks'!$B44:$U44,0)&lt;='Strategy Settings'!$B$7,RANK.EQ('Momentum Ranks'!P43,'Momentum Ranks'!$B43:$U43,0)&lt;='Strategy Settings'!$B$7),1,0)+IF(AND(RANK.EQ('Momentum Ranks'!Q44,'Momentum Ranks'!$B44:$U44,0)&lt;='Strategy Settings'!$B$7,RANK.EQ('Momentum Ranks'!Q43,'Momentum Ranks'!$B43:$U43,0)&lt;='Strategy Settings'!$B$7),1,0)+IF(AND(RANK.EQ('Momentum Ranks'!R44,'Momentum Ranks'!$B44:$U44,0)&lt;='Strategy Settings'!$B$7,RANK.EQ('Momentum Ranks'!R43,'Momentum Ranks'!$B43:$U43,0)&lt;='Strategy Settings'!$B$7),1,0)+IF(AND(RANK.EQ('Momentum Ranks'!S44,'Momentum Ranks'!$B44:$U44,0)&lt;='Strategy Settings'!$B$7,RANK.EQ('Momentum Ranks'!S43,'Momentum Ranks'!$B43:$U43,0)&lt;='Strategy Settings'!$B$7),1,0)+IF(AND(RANK.EQ('Momentum Ranks'!T44,'Momentum Ranks'!$B44:$U44,0)&lt;='Strategy Settings'!$B$7,RANK.EQ('Momentum Ranks'!T43,'Momentum Ranks'!$B43:$U43,0)&lt;='Strategy Settings'!$B$7),1,0)+IF(AND(RANK.EQ('Momentum Ranks'!U44,'Momentum Ranks'!$B44:$U44,0)&lt;='Strategy Settings'!$B$7,RANK.EQ('Momentum Ranks'!U43,'Momentum Ranks'!$B43:$U43,0)&lt;='Strategy Settings'!$B$7),1,0))/'Strategy Settings'!$B$7</x:f>
        <x:v>0</x:v>
      </x:c>
      <x:c r="D44" s="26" t="n">
        <x:f>C44*'Strategy Settings'!$B$9</x:f>
        <x:v>0</x:v>
      </x:c>
      <x:c r="E44" s="26" t="n">
        <x:f>B44-D44</x:f>
        <x:v>0.039240781726139325</x:v>
      </x:c>
      <x:c r="F44" s="26" t="n">
        <x:f>'Return Data'!V54</x:f>
        <x:v>-0.028779947750891977</x:v>
      </x:c>
      <x:c r="G44" s="26" t="n">
        <x:f>E44-F44</x:f>
        <x:v>0.0680207294770313</x:v>
      </x:c>
      <x:c r="H44" s="28" t="n">
        <x:f>H43*(1+E44)</x:f>
        <x:v>1.3457787735565248</x:v>
      </x:c>
      <x:c r="I44" s="28" t="n">
        <x:f>I43*(1+F44)</x:f>
        <x:v>1.1325307143166066</x:v>
      </x:c>
      <x:c r="J44" s="26" t="n">
        <x:f>H44/MAX($H$4:H44)-1</x:f>
        <x:v>-0.08808763448783341</x:v>
      </x:c>
      <x:c r="K44" s="26" t="n">
        <x:f>I44/MAX($I$4:I44)-1</x:f>
        <x:v>-0.14411141983220366</x:v>
      </x:c>
    </x:row>
    <x:row r="45">
      <x:c r="A45" s="20" t="n">
        <x:f>'Return Data'!A59</x:f>
        <x:v>45381</x:v>
      </x:c>
      <x:c r="B45" s="26" t="n">
        <x:f>(IF(RANK.EQ('Momentum Ranks'!B45,'Momentum Ranks'!$B45:$U45,0)&lt;='Strategy Settings'!$B$7,'Return Data'!B59,0)+IF(RANK.EQ('Momentum Ranks'!C45,'Momentum Ranks'!$B45:$U45,0)&lt;='Strategy Settings'!$B$7,'Return Data'!C59,0)+IF(RANK.EQ('Momentum Ranks'!D45,'Momentum Ranks'!$B45:$U45,0)&lt;='Strategy Settings'!$B$7,'Return Data'!D59,0)+IF(RANK.EQ('Momentum Ranks'!E45,'Momentum Ranks'!$B45:$U45,0)&lt;='Strategy Settings'!$B$7,'Return Data'!E59,0)+IF(RANK.EQ('Momentum Ranks'!F45,'Momentum Ranks'!$B45:$U45,0)&lt;='Strategy Settings'!$B$7,'Return Data'!F59,0)+IF(RANK.EQ('Momentum Ranks'!G45,'Momentum Ranks'!$B45:$U45,0)&lt;='Strategy Settings'!$B$7,'Return Data'!G59,0)+IF(RANK.EQ('Momentum Ranks'!H45,'Momentum Ranks'!$B45:$U45,0)&lt;='Strategy Settings'!$B$7,'Return Data'!H59,0)+IF(RANK.EQ('Momentum Ranks'!I45,'Momentum Ranks'!$B45:$U45,0)&lt;='Strategy Settings'!$B$7,'Return Data'!I59,0)+IF(RANK.EQ('Momentum Ranks'!J45,'Momentum Ranks'!$B45:$U45,0)&lt;='Strategy Settings'!$B$7,'Return Data'!J59,0)+IF(RANK.EQ('Momentum Ranks'!K45,'Momentum Ranks'!$B45:$U45,0)&lt;='Strategy Settings'!$B$7,'Return Data'!K59,0)+IF(RANK.EQ('Momentum Ranks'!L45,'Momentum Ranks'!$B45:$U45,0)&lt;='Strategy Settings'!$B$7,'Return Data'!L59,0)+IF(RANK.EQ('Momentum Ranks'!M45,'Momentum Ranks'!$B45:$U45,0)&lt;='Strategy Settings'!$B$7,'Return Data'!M59,0)+IF(RANK.EQ('Momentum Ranks'!N45,'Momentum Ranks'!$B45:$U45,0)&lt;='Strategy Settings'!$B$7,'Return Data'!N59,0)+IF(RANK.EQ('Momentum Ranks'!O45,'Momentum Ranks'!$B45:$U45,0)&lt;='Strategy Settings'!$B$7,'Return Data'!O59,0)+IF(RANK.EQ('Momentum Ranks'!P45,'Momentum Ranks'!$B45:$U45,0)&lt;='Strategy Settings'!$B$7,'Return Data'!P59,0)+IF(RANK.EQ('Momentum Ranks'!Q45,'Momentum Ranks'!$B45:$U45,0)&lt;='Strategy Settings'!$B$7,'Return Data'!Q59,0)+IF(RANK.EQ('Momentum Ranks'!R45,'Momentum Ranks'!$B45:$U45,0)&lt;='Strategy Settings'!$B$7,'Return Data'!R59,0)+IF(RANK.EQ('Momentum Ranks'!S45,'Momentum Ranks'!$B45:$U45,0)&lt;='Strategy Settings'!$B$7,'Return Data'!S59,0)+IF(RANK.EQ('Momentum Ranks'!T45,'Momentum Ranks'!$B45:$U45,0)&lt;='Strategy Settings'!$B$7,'Return Data'!T59,0)+IF(RANK.EQ('Momentum Ranks'!U45,'Momentum Ranks'!$B45:$U45,0)&lt;='Strategy Settings'!$B$7,'Return Data'!U59,0))/'Strategy Settings'!$B$7</x:f>
        <x:v>0.06808609830544837</x:v>
      </x:c>
      <x:c r="C45" s="26" t="n">
        <x:f>1-(IF(AND(RANK.EQ('Momentum Ranks'!B45,'Momentum Ranks'!$B45:$U45,0)&lt;='Strategy Settings'!$B$7,RANK.EQ('Momentum Ranks'!B44,'Momentum Ranks'!$B44:$U44,0)&lt;='Strategy Settings'!$B$7),1,0)+IF(AND(RANK.EQ('Momentum Ranks'!C45,'Momentum Ranks'!$B45:$U45,0)&lt;='Strategy Settings'!$B$7,RANK.EQ('Momentum Ranks'!C44,'Momentum Ranks'!$B44:$U44,0)&lt;='Strategy Settings'!$B$7),1,0)+IF(AND(RANK.EQ('Momentum Ranks'!D45,'Momentum Ranks'!$B45:$U45,0)&lt;='Strategy Settings'!$B$7,RANK.EQ('Momentum Ranks'!D44,'Momentum Ranks'!$B44:$U44,0)&lt;='Strategy Settings'!$B$7),1,0)+IF(AND(RANK.EQ('Momentum Ranks'!E45,'Momentum Ranks'!$B45:$U45,0)&lt;='Strategy Settings'!$B$7,RANK.EQ('Momentum Ranks'!E44,'Momentum Ranks'!$B44:$U44,0)&lt;='Strategy Settings'!$B$7),1,0)+IF(AND(RANK.EQ('Momentum Ranks'!F45,'Momentum Ranks'!$B45:$U45,0)&lt;='Strategy Settings'!$B$7,RANK.EQ('Momentum Ranks'!F44,'Momentum Ranks'!$B44:$U44,0)&lt;='Strategy Settings'!$B$7),1,0)+IF(AND(RANK.EQ('Momentum Ranks'!G45,'Momentum Ranks'!$B45:$U45,0)&lt;='Strategy Settings'!$B$7,RANK.EQ('Momentum Ranks'!G44,'Momentum Ranks'!$B44:$U44,0)&lt;='Strategy Settings'!$B$7),1,0)+IF(AND(RANK.EQ('Momentum Ranks'!H45,'Momentum Ranks'!$B45:$U45,0)&lt;='Strategy Settings'!$B$7,RANK.EQ('Momentum Ranks'!H44,'Momentum Ranks'!$B44:$U44,0)&lt;='Strategy Settings'!$B$7),1,0)+IF(AND(RANK.EQ('Momentum Ranks'!I45,'Momentum Ranks'!$B45:$U45,0)&lt;='Strategy Settings'!$B$7,RANK.EQ('Momentum Ranks'!I44,'Momentum Ranks'!$B44:$U44,0)&lt;='Strategy Settings'!$B$7),1,0)+IF(AND(RANK.EQ('Momentum Ranks'!J45,'Momentum Ranks'!$B45:$U45,0)&lt;='Strategy Settings'!$B$7,RANK.EQ('Momentum Ranks'!J44,'Momentum Ranks'!$B44:$U44,0)&lt;='Strategy Settings'!$B$7),1,0)+IF(AND(RANK.EQ('Momentum Ranks'!K45,'Momentum Ranks'!$B45:$U45,0)&lt;='Strategy Settings'!$B$7,RANK.EQ('Momentum Ranks'!K44,'Momentum Ranks'!$B44:$U44,0)&lt;='Strategy Settings'!$B$7),1,0)+IF(AND(RANK.EQ('Momentum Ranks'!L45,'Momentum Ranks'!$B45:$U45,0)&lt;='Strategy Settings'!$B$7,RANK.EQ('Momentum Ranks'!L44,'Momentum Ranks'!$B44:$U44,0)&lt;='Strategy Settings'!$B$7),1,0)+IF(AND(RANK.EQ('Momentum Ranks'!M45,'Momentum Ranks'!$B45:$U45,0)&lt;='Strategy Settings'!$B$7,RANK.EQ('Momentum Ranks'!M44,'Momentum Ranks'!$B44:$U44,0)&lt;='Strategy Settings'!$B$7),1,0)+IF(AND(RANK.EQ('Momentum Ranks'!N45,'Momentum Ranks'!$B45:$U45,0)&lt;='Strategy Settings'!$B$7,RANK.EQ('Momentum Ranks'!N44,'Momentum Ranks'!$B44:$U44,0)&lt;='Strategy Settings'!$B$7),1,0)+IF(AND(RANK.EQ('Momentum Ranks'!O45,'Momentum Ranks'!$B45:$U45,0)&lt;='Strategy Settings'!$B$7,RANK.EQ('Momentum Ranks'!O44,'Momentum Ranks'!$B44:$U44,0)&lt;='Strategy Settings'!$B$7),1,0)+IF(AND(RANK.EQ('Momentum Ranks'!P45,'Momentum Ranks'!$B45:$U45,0)&lt;='Strategy Settings'!$B$7,RANK.EQ('Momentum Ranks'!P44,'Momentum Ranks'!$B44:$U44,0)&lt;='Strategy Settings'!$B$7),1,0)+IF(AND(RANK.EQ('Momentum Ranks'!Q45,'Momentum Ranks'!$B45:$U45,0)&lt;='Strategy Settings'!$B$7,RANK.EQ('Momentum Ranks'!Q44,'Momentum Ranks'!$B44:$U44,0)&lt;='Strategy Settings'!$B$7),1,0)+IF(AND(RANK.EQ('Momentum Ranks'!R45,'Momentum Ranks'!$B45:$U45,0)&lt;='Strategy Settings'!$B$7,RANK.EQ('Momentum Ranks'!R44,'Momentum Ranks'!$B44:$U44,0)&lt;='Strategy Settings'!$B$7),1,0)+IF(AND(RANK.EQ('Momentum Ranks'!S45,'Momentum Ranks'!$B45:$U45,0)&lt;='Strategy Settings'!$B$7,RANK.EQ('Momentum Ranks'!S44,'Momentum Ranks'!$B44:$U44,0)&lt;='Strategy Settings'!$B$7),1,0)+IF(AND(RANK.EQ('Momentum Ranks'!T45,'Momentum Ranks'!$B45:$U45,0)&lt;='Strategy Settings'!$B$7,RANK.EQ('Momentum Ranks'!T44,'Momentum Ranks'!$B44:$U44,0)&lt;='Strategy Settings'!$B$7),1,0)+IF(AND(RANK.EQ('Momentum Ranks'!U45,'Momentum Ranks'!$B45:$U45,0)&lt;='Strategy Settings'!$B$7,RANK.EQ('Momentum Ranks'!U44,'Momentum Ranks'!$B44:$U44,0)&lt;='Strategy Settings'!$B$7),1,0))/'Strategy Settings'!$B$7</x:f>
        <x:v>0.25</x:v>
      </x:c>
      <x:c r="D45" s="26" t="n">
        <x:f>C45*'Strategy Settings'!$B$9</x:f>
        <x:v>0.00025</x:v>
      </x:c>
      <x:c r="E45" s="26" t="n">
        <x:f>B45-D45</x:f>
        <x:v>0.06783609830544837</x:v>
      </x:c>
      <x:c r="F45" s="26" t="n">
        <x:f>'Return Data'!V55</x:f>
        <x:v>0.047263100418649506</x:v>
      </x:c>
      <x:c r="G45" s="26" t="n">
        <x:f>E45-F45</x:f>
        <x:v>0.020572997886798866</x:v>
      </x:c>
      <x:c r="H45" s="28" t="n">
        <x:f>H44*(1+E45)</x:f>
        <x:v>1.437071154736891</x:v>
      </x:c>
      <x:c r="I45" s="28" t="n">
        <x:f>I44*(1+F45)</x:f>
        <x:v>1.186057627194557</x:v>
      </x:c>
      <x:c r="J45" s="26" t="n">
        <x:f>H45/MAX($H$4:H45)-1</x:f>
        <x:v>-0.026227057614995997</x:v>
      </x:c>
      <x:c r="K45" s="26" t="n">
        <x:f>I45/MAX($I$4:I45)-1</x:f>
        <x:v>-0.1036594719205578</x:v>
      </x:c>
    </x:row>
    <x:row r="46">
      <x:c r="A46" s="20" t="n">
        <x:f>'Return Data'!A60</x:f>
        <x:v>45412</x:v>
      </x:c>
      <x:c r="B46" s="26" t="n">
        <x:f>(IF(RANK.EQ('Momentum Ranks'!B46,'Momentum Ranks'!$B46:$U46,0)&lt;='Strategy Settings'!$B$7,'Return Data'!B60,0)+IF(RANK.EQ('Momentum Ranks'!C46,'Momentum Ranks'!$B46:$U46,0)&lt;='Strategy Settings'!$B$7,'Return Data'!C60,0)+IF(RANK.EQ('Momentum Ranks'!D46,'Momentum Ranks'!$B46:$U46,0)&lt;='Strategy Settings'!$B$7,'Return Data'!D60,0)+IF(RANK.EQ('Momentum Ranks'!E46,'Momentum Ranks'!$B46:$U46,0)&lt;='Strategy Settings'!$B$7,'Return Data'!E60,0)+IF(RANK.EQ('Momentum Ranks'!F46,'Momentum Ranks'!$B46:$U46,0)&lt;='Strategy Settings'!$B$7,'Return Data'!F60,0)+IF(RANK.EQ('Momentum Ranks'!G46,'Momentum Ranks'!$B46:$U46,0)&lt;='Strategy Settings'!$B$7,'Return Data'!G60,0)+IF(RANK.EQ('Momentum Ranks'!H46,'Momentum Ranks'!$B46:$U46,0)&lt;='Strategy Settings'!$B$7,'Return Data'!H60,0)+IF(RANK.EQ('Momentum Ranks'!I46,'Momentum Ranks'!$B46:$U46,0)&lt;='Strategy Settings'!$B$7,'Return Data'!I60,0)+IF(RANK.EQ('Momentum Ranks'!J46,'Momentum Ranks'!$B46:$U46,0)&lt;='Strategy Settings'!$B$7,'Return Data'!J60,0)+IF(RANK.EQ('Momentum Ranks'!K46,'Momentum Ranks'!$B46:$U46,0)&lt;='Strategy Settings'!$B$7,'Return Data'!K60,0)+IF(RANK.EQ('Momentum Ranks'!L46,'Momentum Ranks'!$B46:$U46,0)&lt;='Strategy Settings'!$B$7,'Return Data'!L60,0)+IF(RANK.EQ('Momentum Ranks'!M46,'Momentum Ranks'!$B46:$U46,0)&lt;='Strategy Settings'!$B$7,'Return Data'!M60,0)+IF(RANK.EQ('Momentum Ranks'!N46,'Momentum Ranks'!$B46:$U46,0)&lt;='Strategy Settings'!$B$7,'Return Data'!N60,0)+IF(RANK.EQ('Momentum Ranks'!O46,'Momentum Ranks'!$B46:$U46,0)&lt;='Strategy Settings'!$B$7,'Return Data'!O60,0)+IF(RANK.EQ('Momentum Ranks'!P46,'Momentum Ranks'!$B46:$U46,0)&lt;='Strategy Settings'!$B$7,'Return Data'!P60,0)+IF(RANK.EQ('Momentum Ranks'!Q46,'Momentum Ranks'!$B46:$U46,0)&lt;='Strategy Settings'!$B$7,'Return Data'!Q60,0)+IF(RANK.EQ('Momentum Ranks'!R46,'Momentum Ranks'!$B46:$U46,0)&lt;='Strategy Settings'!$B$7,'Return Data'!R60,0)+IF(RANK.EQ('Momentum Ranks'!S46,'Momentum Ranks'!$B46:$U46,0)&lt;='Strategy Settings'!$B$7,'Return Data'!S60,0)+IF(RANK.EQ('Momentum Ranks'!T46,'Momentum Ranks'!$B46:$U46,0)&lt;='Strategy Settings'!$B$7,'Return Data'!T60,0)+IF(RANK.EQ('Momentum Ranks'!U46,'Momentum Ranks'!$B46:$U46,0)&lt;='Strategy Settings'!$B$7,'Return Data'!U60,0))/'Strategy Settings'!$B$7</x:f>
        <x:v>0.0705900499630663</x:v>
      </x:c>
      <x:c r="C46" s="26" t="n">
        <x:f>1-(IF(AND(RANK.EQ('Momentum Ranks'!B46,'Momentum Ranks'!$B46:$U46,0)&lt;='Strategy Settings'!$B$7,RANK.EQ('Momentum Ranks'!B45,'Momentum Ranks'!$B45:$U45,0)&lt;='Strategy Settings'!$B$7),1,0)+IF(AND(RANK.EQ('Momentum Ranks'!C46,'Momentum Ranks'!$B46:$U46,0)&lt;='Strategy Settings'!$B$7,RANK.EQ('Momentum Ranks'!C45,'Momentum Ranks'!$B45:$U45,0)&lt;='Strategy Settings'!$B$7),1,0)+IF(AND(RANK.EQ('Momentum Ranks'!D46,'Momentum Ranks'!$B46:$U46,0)&lt;='Strategy Settings'!$B$7,RANK.EQ('Momentum Ranks'!D45,'Momentum Ranks'!$B45:$U45,0)&lt;='Strategy Settings'!$B$7),1,0)+IF(AND(RANK.EQ('Momentum Ranks'!E46,'Momentum Ranks'!$B46:$U46,0)&lt;='Strategy Settings'!$B$7,RANK.EQ('Momentum Ranks'!E45,'Momentum Ranks'!$B45:$U45,0)&lt;='Strategy Settings'!$B$7),1,0)+IF(AND(RANK.EQ('Momentum Ranks'!F46,'Momentum Ranks'!$B46:$U46,0)&lt;='Strategy Settings'!$B$7,RANK.EQ('Momentum Ranks'!F45,'Momentum Ranks'!$B45:$U45,0)&lt;='Strategy Settings'!$B$7),1,0)+IF(AND(RANK.EQ('Momentum Ranks'!G46,'Momentum Ranks'!$B46:$U46,0)&lt;='Strategy Settings'!$B$7,RANK.EQ('Momentum Ranks'!G45,'Momentum Ranks'!$B45:$U45,0)&lt;='Strategy Settings'!$B$7),1,0)+IF(AND(RANK.EQ('Momentum Ranks'!H46,'Momentum Ranks'!$B46:$U46,0)&lt;='Strategy Settings'!$B$7,RANK.EQ('Momentum Ranks'!H45,'Momentum Ranks'!$B45:$U45,0)&lt;='Strategy Settings'!$B$7),1,0)+IF(AND(RANK.EQ('Momentum Ranks'!I46,'Momentum Ranks'!$B46:$U46,0)&lt;='Strategy Settings'!$B$7,RANK.EQ('Momentum Ranks'!I45,'Momentum Ranks'!$B45:$U45,0)&lt;='Strategy Settings'!$B$7),1,0)+IF(AND(RANK.EQ('Momentum Ranks'!J46,'Momentum Ranks'!$B46:$U46,0)&lt;='Strategy Settings'!$B$7,RANK.EQ('Momentum Ranks'!J45,'Momentum Ranks'!$B45:$U45,0)&lt;='Strategy Settings'!$B$7),1,0)+IF(AND(RANK.EQ('Momentum Ranks'!K46,'Momentum Ranks'!$B46:$U46,0)&lt;='Strategy Settings'!$B$7,RANK.EQ('Momentum Ranks'!K45,'Momentum Ranks'!$B45:$U45,0)&lt;='Strategy Settings'!$B$7),1,0)+IF(AND(RANK.EQ('Momentum Ranks'!L46,'Momentum Ranks'!$B46:$U46,0)&lt;='Strategy Settings'!$B$7,RANK.EQ('Momentum Ranks'!L45,'Momentum Ranks'!$B45:$U45,0)&lt;='Strategy Settings'!$B$7),1,0)+IF(AND(RANK.EQ('Momentum Ranks'!M46,'Momentum Ranks'!$B46:$U46,0)&lt;='Strategy Settings'!$B$7,RANK.EQ('Momentum Ranks'!M45,'Momentum Ranks'!$B45:$U45,0)&lt;='Strategy Settings'!$B$7),1,0)+IF(AND(RANK.EQ('Momentum Ranks'!N46,'Momentum Ranks'!$B46:$U46,0)&lt;='Strategy Settings'!$B$7,RANK.EQ('Momentum Ranks'!N45,'Momentum Ranks'!$B45:$U45,0)&lt;='Strategy Settings'!$B$7),1,0)+IF(AND(RANK.EQ('Momentum Ranks'!O46,'Momentum Ranks'!$B46:$U46,0)&lt;='Strategy Settings'!$B$7,RANK.EQ('Momentum Ranks'!O45,'Momentum Ranks'!$B45:$U45,0)&lt;='Strategy Settings'!$B$7),1,0)+IF(AND(RANK.EQ('Momentum Ranks'!P46,'Momentum Ranks'!$B46:$U46,0)&lt;='Strategy Settings'!$B$7,RANK.EQ('Momentum Ranks'!P45,'Momentum Ranks'!$B45:$U45,0)&lt;='Strategy Settings'!$B$7),1,0)+IF(AND(RANK.EQ('Momentum Ranks'!Q46,'Momentum Ranks'!$B46:$U46,0)&lt;='Strategy Settings'!$B$7,RANK.EQ('Momentum Ranks'!Q45,'Momentum Ranks'!$B45:$U45,0)&lt;='Strategy Settings'!$B$7),1,0)+IF(AND(RANK.EQ('Momentum Ranks'!R46,'Momentum Ranks'!$B46:$U46,0)&lt;='Strategy Settings'!$B$7,RANK.EQ('Momentum Ranks'!R45,'Momentum Ranks'!$B45:$U45,0)&lt;='Strategy Settings'!$B$7),1,0)+IF(AND(RANK.EQ('Momentum Ranks'!S46,'Momentum Ranks'!$B46:$U46,0)&lt;='Strategy Settings'!$B$7,RANK.EQ('Momentum Ranks'!S45,'Momentum Ranks'!$B45:$U45,0)&lt;='Strategy Settings'!$B$7),1,0)+IF(AND(RANK.EQ('Momentum Ranks'!T46,'Momentum Ranks'!$B46:$U46,0)&lt;='Strategy Settings'!$B$7,RANK.EQ('Momentum Ranks'!T45,'Momentum Ranks'!$B45:$U45,0)&lt;='Strategy Settings'!$B$7),1,0)+IF(AND(RANK.EQ('Momentum Ranks'!U46,'Momentum Ranks'!$B46:$U46,0)&lt;='Strategy Settings'!$B$7,RANK.EQ('Momentum Ranks'!U45,'Momentum Ranks'!$B45:$U45,0)&lt;='Strategy Settings'!$B$7),1,0))/'Strategy Settings'!$B$7</x:f>
        <x:v>0.25</x:v>
      </x:c>
      <x:c r="D46" s="26" t="n">
        <x:f>C46*'Strategy Settings'!$B$9</x:f>
        <x:v>0.00025</x:v>
      </x:c>
      <x:c r="E46" s="26" t="n">
        <x:f>B46-D46</x:f>
        <x:v>0.0703400499630663</x:v>
      </x:c>
      <x:c r="F46" s="26" t="n">
        <x:f>'Return Data'!V56</x:f>
        <x:v>0.052932011939161076</x:v>
      </x:c>
      <x:c r="G46" s="26" t="n">
        <x:f>E46-F46</x:f>
        <x:v>0.01740803802390522</x:v>
      </x:c>
      <x:c r="H46" s="28" t="n">
        <x:f>H45*(1+E46)</x:f>
        <x:v>1.5381548115615653</x:v>
      </x:c>
      <x:c r="I46" s="28" t="n">
        <x:f>I45*(1+F46)</x:f>
        <x:v>1.2488380436777524</x:v>
      </x:c>
      <x:c r="J46" s="26" t="n">
        <x:f>H46/MAX($H$4:H46)-1</x:f>
        <x:v>0</x:v>
      </x:c>
      <x:c r="K46" s="26" t="n">
        <x:f>I46/MAX($I$4:I46)-1</x:f>
        <x:v>-0.0562143643867028</x:v>
      </x:c>
    </x:row>
    <x:row r="47">
      <x:c r="A47" s="20" t="n">
        <x:f>'Return Data'!A61</x:f>
        <x:v>45442</x:v>
      </x:c>
      <x:c r="B47" s="26" t="n">
        <x:f>(IF(RANK.EQ('Momentum Ranks'!B47,'Momentum Ranks'!$B47:$U47,0)&lt;='Strategy Settings'!$B$7,'Return Data'!B61,0)+IF(RANK.EQ('Momentum Ranks'!C47,'Momentum Ranks'!$B47:$U47,0)&lt;='Strategy Settings'!$B$7,'Return Data'!C61,0)+IF(RANK.EQ('Momentum Ranks'!D47,'Momentum Ranks'!$B47:$U47,0)&lt;='Strategy Settings'!$B$7,'Return Data'!D61,0)+IF(RANK.EQ('Momentum Ranks'!E47,'Momentum Ranks'!$B47:$U47,0)&lt;='Strategy Settings'!$B$7,'Return Data'!E61,0)+IF(RANK.EQ('Momentum Ranks'!F47,'Momentum Ranks'!$B47:$U47,0)&lt;='Strategy Settings'!$B$7,'Return Data'!F61,0)+IF(RANK.EQ('Momentum Ranks'!G47,'Momentum Ranks'!$B47:$U47,0)&lt;='Strategy Settings'!$B$7,'Return Data'!G61,0)+IF(RANK.EQ('Momentum Ranks'!H47,'Momentum Ranks'!$B47:$U47,0)&lt;='Strategy Settings'!$B$7,'Return Data'!H61,0)+IF(RANK.EQ('Momentum Ranks'!I47,'Momentum Ranks'!$B47:$U47,0)&lt;='Strategy Settings'!$B$7,'Return Data'!I61,0)+IF(RANK.EQ('Momentum Ranks'!J47,'Momentum Ranks'!$B47:$U47,0)&lt;='Strategy Settings'!$B$7,'Return Data'!J61,0)+IF(RANK.EQ('Momentum Ranks'!K47,'Momentum Ranks'!$B47:$U47,0)&lt;='Strategy Settings'!$B$7,'Return Data'!K61,0)+IF(RANK.EQ('Momentum Ranks'!L47,'Momentum Ranks'!$B47:$U47,0)&lt;='Strategy Settings'!$B$7,'Return Data'!L61,0)+IF(RANK.EQ('Momentum Ranks'!M47,'Momentum Ranks'!$B47:$U47,0)&lt;='Strategy Settings'!$B$7,'Return Data'!M61,0)+IF(RANK.EQ('Momentum Ranks'!N47,'Momentum Ranks'!$B47:$U47,0)&lt;='Strategy Settings'!$B$7,'Return Data'!N61,0)+IF(RANK.EQ('Momentum Ranks'!O47,'Momentum Ranks'!$B47:$U47,0)&lt;='Strategy Settings'!$B$7,'Return Data'!O61,0)+IF(RANK.EQ('Momentum Ranks'!P47,'Momentum Ranks'!$B47:$U47,0)&lt;='Strategy Settings'!$B$7,'Return Data'!P61,0)+IF(RANK.EQ('Momentum Ranks'!Q47,'Momentum Ranks'!$B47:$U47,0)&lt;='Strategy Settings'!$B$7,'Return Data'!Q61,0)+IF(RANK.EQ('Momentum Ranks'!R47,'Momentum Ranks'!$B47:$U47,0)&lt;='Strategy Settings'!$B$7,'Return Data'!R61,0)+IF(RANK.EQ('Momentum Ranks'!S47,'Momentum Ranks'!$B47:$U47,0)&lt;='Strategy Settings'!$B$7,'Return Data'!S61,0)+IF(RANK.EQ('Momentum Ranks'!T47,'Momentum Ranks'!$B47:$U47,0)&lt;='Strategy Settings'!$B$7,'Return Data'!T61,0)+IF(RANK.EQ('Momentum Ranks'!U47,'Momentum Ranks'!$B47:$U47,0)&lt;='Strategy Settings'!$B$7,'Return Data'!U61,0))/'Strategy Settings'!$B$7</x:f>
        <x:v>0.06643475303213982</x:v>
      </x:c>
      <x:c r="C47" s="26" t="n">
        <x:f>1-(IF(AND(RANK.EQ('Momentum Ranks'!B47,'Momentum Ranks'!$B47:$U47,0)&lt;='Strategy Settings'!$B$7,RANK.EQ('Momentum Ranks'!B46,'Momentum Ranks'!$B46:$U46,0)&lt;='Strategy Settings'!$B$7),1,0)+IF(AND(RANK.EQ('Momentum Ranks'!C47,'Momentum Ranks'!$B47:$U47,0)&lt;='Strategy Settings'!$B$7,RANK.EQ('Momentum Ranks'!C46,'Momentum Ranks'!$B46:$U46,0)&lt;='Strategy Settings'!$B$7),1,0)+IF(AND(RANK.EQ('Momentum Ranks'!D47,'Momentum Ranks'!$B47:$U47,0)&lt;='Strategy Settings'!$B$7,RANK.EQ('Momentum Ranks'!D46,'Momentum Ranks'!$B46:$U46,0)&lt;='Strategy Settings'!$B$7),1,0)+IF(AND(RANK.EQ('Momentum Ranks'!E47,'Momentum Ranks'!$B47:$U47,0)&lt;='Strategy Settings'!$B$7,RANK.EQ('Momentum Ranks'!E46,'Momentum Ranks'!$B46:$U46,0)&lt;='Strategy Settings'!$B$7),1,0)+IF(AND(RANK.EQ('Momentum Ranks'!F47,'Momentum Ranks'!$B47:$U47,0)&lt;='Strategy Settings'!$B$7,RANK.EQ('Momentum Ranks'!F46,'Momentum Ranks'!$B46:$U46,0)&lt;='Strategy Settings'!$B$7),1,0)+IF(AND(RANK.EQ('Momentum Ranks'!G47,'Momentum Ranks'!$B47:$U47,0)&lt;='Strategy Settings'!$B$7,RANK.EQ('Momentum Ranks'!G46,'Momentum Ranks'!$B46:$U46,0)&lt;='Strategy Settings'!$B$7),1,0)+IF(AND(RANK.EQ('Momentum Ranks'!H47,'Momentum Ranks'!$B47:$U47,0)&lt;='Strategy Settings'!$B$7,RANK.EQ('Momentum Ranks'!H46,'Momentum Ranks'!$B46:$U46,0)&lt;='Strategy Settings'!$B$7),1,0)+IF(AND(RANK.EQ('Momentum Ranks'!I47,'Momentum Ranks'!$B47:$U47,0)&lt;='Strategy Settings'!$B$7,RANK.EQ('Momentum Ranks'!I46,'Momentum Ranks'!$B46:$U46,0)&lt;='Strategy Settings'!$B$7),1,0)+IF(AND(RANK.EQ('Momentum Ranks'!J47,'Momentum Ranks'!$B47:$U47,0)&lt;='Strategy Settings'!$B$7,RANK.EQ('Momentum Ranks'!J46,'Momentum Ranks'!$B46:$U46,0)&lt;='Strategy Settings'!$B$7),1,0)+IF(AND(RANK.EQ('Momentum Ranks'!K47,'Momentum Ranks'!$B47:$U47,0)&lt;='Strategy Settings'!$B$7,RANK.EQ('Momentum Ranks'!K46,'Momentum Ranks'!$B46:$U46,0)&lt;='Strategy Settings'!$B$7),1,0)+IF(AND(RANK.EQ('Momentum Ranks'!L47,'Momentum Ranks'!$B47:$U47,0)&lt;='Strategy Settings'!$B$7,RANK.EQ('Momentum Ranks'!L46,'Momentum Ranks'!$B46:$U46,0)&lt;='Strategy Settings'!$B$7),1,0)+IF(AND(RANK.EQ('Momentum Ranks'!M47,'Momentum Ranks'!$B47:$U47,0)&lt;='Strategy Settings'!$B$7,RANK.EQ('Momentum Ranks'!M46,'Momentum Ranks'!$B46:$U46,0)&lt;='Strategy Settings'!$B$7),1,0)+IF(AND(RANK.EQ('Momentum Ranks'!N47,'Momentum Ranks'!$B47:$U47,0)&lt;='Strategy Settings'!$B$7,RANK.EQ('Momentum Ranks'!N46,'Momentum Ranks'!$B46:$U46,0)&lt;='Strategy Settings'!$B$7),1,0)+IF(AND(RANK.EQ('Momentum Ranks'!O47,'Momentum Ranks'!$B47:$U47,0)&lt;='Strategy Settings'!$B$7,RANK.EQ('Momentum Ranks'!O46,'Momentum Ranks'!$B46:$U46,0)&lt;='Strategy Settings'!$B$7),1,0)+IF(AND(RANK.EQ('Momentum Ranks'!P47,'Momentum Ranks'!$B47:$U47,0)&lt;='Strategy Settings'!$B$7,RANK.EQ('Momentum Ranks'!P46,'Momentum Ranks'!$B46:$U46,0)&lt;='Strategy Settings'!$B$7),1,0)+IF(AND(RANK.EQ('Momentum Ranks'!Q47,'Momentum Ranks'!$B47:$U47,0)&lt;='Strategy Settings'!$B$7,RANK.EQ('Momentum Ranks'!Q46,'Momentum Ranks'!$B46:$U46,0)&lt;='Strategy Settings'!$B$7),1,0)+IF(AND(RANK.EQ('Momentum Ranks'!R47,'Momentum Ranks'!$B47:$U47,0)&lt;='Strategy Settings'!$B$7,RANK.EQ('Momentum Ranks'!R46,'Momentum Ranks'!$B46:$U46,0)&lt;='Strategy Settings'!$B$7),1,0)+IF(AND(RANK.EQ('Momentum Ranks'!S47,'Momentum Ranks'!$B47:$U47,0)&lt;='Strategy Settings'!$B$7,RANK.EQ('Momentum Ranks'!S46,'Momentum Ranks'!$B46:$U46,0)&lt;='Strategy Settings'!$B$7),1,0)+IF(AND(RANK.EQ('Momentum Ranks'!T47,'Momentum Ranks'!$B47:$U47,0)&lt;='Strategy Settings'!$B$7,RANK.EQ('Momentum Ranks'!T46,'Momentum Ranks'!$B46:$U46,0)&lt;='Strategy Settings'!$B$7),1,0)+IF(AND(RANK.EQ('Momentum Ranks'!U47,'Momentum Ranks'!$B47:$U47,0)&lt;='Strategy Settings'!$B$7,RANK.EQ('Momentum Ranks'!U46,'Momentum Ranks'!$B46:$U46,0)&lt;='Strategy Settings'!$B$7),1,0))/'Strategy Settings'!$B$7</x:f>
        <x:v>0.25</x:v>
      </x:c>
      <x:c r="D47" s="26" t="n">
        <x:f>C47*'Strategy Settings'!$B$9</x:f>
        <x:v>0.00025</x:v>
      </x:c>
      <x:c r="E47" s="26" t="n">
        <x:f>B47-D47</x:f>
        <x:v>0.06618475303213982</x:v>
      </x:c>
      <x:c r="F47" s="26" t="n">
        <x:f>'Return Data'!V57</x:f>
        <x:v>0.03918311251747933</x:v>
      </x:c>
      <x:c r="G47" s="26" t="n">
        <x:f>E47-F47</x:f>
        <x:v>0.027001640514660488</x:v>
      </x:c>
      <x:c r="H47" s="28" t="n">
        <x:f>H46*(1+E47)</x:f>
        <x:v>1.639957207889965</x:v>
      </x:c>
      <x:c r="I47" s="28" t="n">
        <x:f>I46*(1+F47)</x:f>
        <x:v>1.2977714052592866</x:v>
      </x:c>
      <x:c r="J47" s="26" t="n">
        <x:f>H47/MAX($H$4:H47)-1</x:f>
        <x:v>0</x:v>
      </x:c>
      <x:c r="K47" s="26" t="n">
        <x:f>I47/MAX($I$4:I47)-1</x:f>
        <x:v>-0.019233905634086224</x:v>
      </x:c>
    </x:row>
    <x:row r="48">
      <x:c r="A48" s="20" t="n">
        <x:f>'Return Data'!A62</x:f>
        <x:v>45473</x:v>
      </x:c>
      <x:c r="B48" s="26" t="n">
        <x:f>(IF(RANK.EQ('Momentum Ranks'!B48,'Momentum Ranks'!$B48:$U48,0)&lt;='Strategy Settings'!$B$7,'Return Data'!B62,0)+IF(RANK.EQ('Momentum Ranks'!C48,'Momentum Ranks'!$B48:$U48,0)&lt;='Strategy Settings'!$B$7,'Return Data'!C62,0)+IF(RANK.EQ('Momentum Ranks'!D48,'Momentum Ranks'!$B48:$U48,0)&lt;='Strategy Settings'!$B$7,'Return Data'!D62,0)+IF(RANK.EQ('Momentum Ranks'!E48,'Momentum Ranks'!$B48:$U48,0)&lt;='Strategy Settings'!$B$7,'Return Data'!E62,0)+IF(RANK.EQ('Momentum Ranks'!F48,'Momentum Ranks'!$B48:$U48,0)&lt;='Strategy Settings'!$B$7,'Return Data'!F62,0)+IF(RANK.EQ('Momentum Ranks'!G48,'Momentum Ranks'!$B48:$U48,0)&lt;='Strategy Settings'!$B$7,'Return Data'!G62,0)+IF(RANK.EQ('Momentum Ranks'!H48,'Momentum Ranks'!$B48:$U48,0)&lt;='Strategy Settings'!$B$7,'Return Data'!H62,0)+IF(RANK.EQ('Momentum Ranks'!I48,'Momentum Ranks'!$B48:$U48,0)&lt;='Strategy Settings'!$B$7,'Return Data'!I62,0)+IF(RANK.EQ('Momentum Ranks'!J48,'Momentum Ranks'!$B48:$U48,0)&lt;='Strategy Settings'!$B$7,'Return Data'!J62,0)+IF(RANK.EQ('Momentum Ranks'!K48,'Momentum Ranks'!$B48:$U48,0)&lt;='Strategy Settings'!$B$7,'Return Data'!K62,0)+IF(RANK.EQ('Momentum Ranks'!L48,'Momentum Ranks'!$B48:$U48,0)&lt;='Strategy Settings'!$B$7,'Return Data'!L62,0)+IF(RANK.EQ('Momentum Ranks'!M48,'Momentum Ranks'!$B48:$U48,0)&lt;='Strategy Settings'!$B$7,'Return Data'!M62,0)+IF(RANK.EQ('Momentum Ranks'!N48,'Momentum Ranks'!$B48:$U48,0)&lt;='Strategy Settings'!$B$7,'Return Data'!N62,0)+IF(RANK.EQ('Momentum Ranks'!O48,'Momentum Ranks'!$B48:$U48,0)&lt;='Strategy Settings'!$B$7,'Return Data'!O62,0)+IF(RANK.EQ('Momentum Ranks'!P48,'Momentum Ranks'!$B48:$U48,0)&lt;='Strategy Settings'!$B$7,'Return Data'!P62,0)+IF(RANK.EQ('Momentum Ranks'!Q48,'Momentum Ranks'!$B48:$U48,0)&lt;='Strategy Settings'!$B$7,'Return Data'!Q62,0)+IF(RANK.EQ('Momentum Ranks'!R48,'Momentum Ranks'!$B48:$U48,0)&lt;='Strategy Settings'!$B$7,'Return Data'!R62,0)+IF(RANK.EQ('Momentum Ranks'!S48,'Momentum Ranks'!$B48:$U48,0)&lt;='Strategy Settings'!$B$7,'Return Data'!S62,0)+IF(RANK.EQ('Momentum Ranks'!T48,'Momentum Ranks'!$B48:$U48,0)&lt;='Strategy Settings'!$B$7,'Return Data'!T62,0)+IF(RANK.EQ('Momentum Ranks'!U48,'Momentum Ranks'!$B48:$U48,0)&lt;='Strategy Settings'!$B$7,'Return Data'!U62,0))/'Strategy Settings'!$B$7</x:f>
        <x:v>0.13234978340309128</x:v>
      </x:c>
      <x:c r="C48" s="26" t="n">
        <x:f>1-(IF(AND(RANK.EQ('Momentum Ranks'!B48,'Momentum Ranks'!$B48:$U48,0)&lt;='Strategy Settings'!$B$7,RANK.EQ('Momentum Ranks'!B47,'Momentum Ranks'!$B47:$U47,0)&lt;='Strategy Settings'!$B$7),1,0)+IF(AND(RANK.EQ('Momentum Ranks'!C48,'Momentum Ranks'!$B48:$U48,0)&lt;='Strategy Settings'!$B$7,RANK.EQ('Momentum Ranks'!C47,'Momentum Ranks'!$B47:$U47,0)&lt;='Strategy Settings'!$B$7),1,0)+IF(AND(RANK.EQ('Momentum Ranks'!D48,'Momentum Ranks'!$B48:$U48,0)&lt;='Strategy Settings'!$B$7,RANK.EQ('Momentum Ranks'!D47,'Momentum Ranks'!$B47:$U47,0)&lt;='Strategy Settings'!$B$7),1,0)+IF(AND(RANK.EQ('Momentum Ranks'!E48,'Momentum Ranks'!$B48:$U48,0)&lt;='Strategy Settings'!$B$7,RANK.EQ('Momentum Ranks'!E47,'Momentum Ranks'!$B47:$U47,0)&lt;='Strategy Settings'!$B$7),1,0)+IF(AND(RANK.EQ('Momentum Ranks'!F48,'Momentum Ranks'!$B48:$U48,0)&lt;='Strategy Settings'!$B$7,RANK.EQ('Momentum Ranks'!F47,'Momentum Ranks'!$B47:$U47,0)&lt;='Strategy Settings'!$B$7),1,0)+IF(AND(RANK.EQ('Momentum Ranks'!G48,'Momentum Ranks'!$B48:$U48,0)&lt;='Strategy Settings'!$B$7,RANK.EQ('Momentum Ranks'!G47,'Momentum Ranks'!$B47:$U47,0)&lt;='Strategy Settings'!$B$7),1,0)+IF(AND(RANK.EQ('Momentum Ranks'!H48,'Momentum Ranks'!$B48:$U48,0)&lt;='Strategy Settings'!$B$7,RANK.EQ('Momentum Ranks'!H47,'Momentum Ranks'!$B47:$U47,0)&lt;='Strategy Settings'!$B$7),1,0)+IF(AND(RANK.EQ('Momentum Ranks'!I48,'Momentum Ranks'!$B48:$U48,0)&lt;='Strategy Settings'!$B$7,RANK.EQ('Momentum Ranks'!I47,'Momentum Ranks'!$B47:$U47,0)&lt;='Strategy Settings'!$B$7),1,0)+IF(AND(RANK.EQ('Momentum Ranks'!J48,'Momentum Ranks'!$B48:$U48,0)&lt;='Strategy Settings'!$B$7,RANK.EQ('Momentum Ranks'!J47,'Momentum Ranks'!$B47:$U47,0)&lt;='Strategy Settings'!$B$7),1,0)+IF(AND(RANK.EQ('Momentum Ranks'!K48,'Momentum Ranks'!$B48:$U48,0)&lt;='Strategy Settings'!$B$7,RANK.EQ('Momentum Ranks'!K47,'Momentum Ranks'!$B47:$U47,0)&lt;='Strategy Settings'!$B$7),1,0)+IF(AND(RANK.EQ('Momentum Ranks'!L48,'Momentum Ranks'!$B48:$U48,0)&lt;='Strategy Settings'!$B$7,RANK.EQ('Momentum Ranks'!L47,'Momentum Ranks'!$B47:$U47,0)&lt;='Strategy Settings'!$B$7),1,0)+IF(AND(RANK.EQ('Momentum Ranks'!M48,'Momentum Ranks'!$B48:$U48,0)&lt;='Strategy Settings'!$B$7,RANK.EQ('Momentum Ranks'!M47,'Momentum Ranks'!$B47:$U47,0)&lt;='Strategy Settings'!$B$7),1,0)+IF(AND(RANK.EQ('Momentum Ranks'!N48,'Momentum Ranks'!$B48:$U48,0)&lt;='Strategy Settings'!$B$7,RANK.EQ('Momentum Ranks'!N47,'Momentum Ranks'!$B47:$U47,0)&lt;='Strategy Settings'!$B$7),1,0)+IF(AND(RANK.EQ('Momentum Ranks'!O48,'Momentum Ranks'!$B48:$U48,0)&lt;='Strategy Settings'!$B$7,RANK.EQ('Momentum Ranks'!O47,'Momentum Ranks'!$B47:$U47,0)&lt;='Strategy Settings'!$B$7),1,0)+IF(AND(RANK.EQ('Momentum Ranks'!P48,'Momentum Ranks'!$B48:$U48,0)&lt;='Strategy Settings'!$B$7,RANK.EQ('Momentum Ranks'!P47,'Momentum Ranks'!$B47:$U47,0)&lt;='Strategy Settings'!$B$7),1,0)+IF(AND(RANK.EQ('Momentum Ranks'!Q48,'Momentum Ranks'!$B48:$U48,0)&lt;='Strategy Settings'!$B$7,RANK.EQ('Momentum Ranks'!Q47,'Momentum Ranks'!$B47:$U47,0)&lt;='Strategy Settings'!$B$7),1,0)+IF(AND(RANK.EQ('Momentum Ranks'!R48,'Momentum Ranks'!$B48:$U48,0)&lt;='Strategy Settings'!$B$7,RANK.EQ('Momentum Ranks'!R47,'Momentum Ranks'!$B47:$U47,0)&lt;='Strategy Settings'!$B$7),1,0)+IF(AND(RANK.EQ('Momentum Ranks'!S48,'Momentum Ranks'!$B48:$U48,0)&lt;='Strategy Settings'!$B$7,RANK.EQ('Momentum Ranks'!S47,'Momentum Ranks'!$B47:$U47,0)&lt;='Strategy Settings'!$B$7),1,0)+IF(AND(RANK.EQ('Momentum Ranks'!T48,'Momentum Ranks'!$B48:$U48,0)&lt;='Strategy Settings'!$B$7,RANK.EQ('Momentum Ranks'!T47,'Momentum Ranks'!$B47:$U47,0)&lt;='Strategy Settings'!$B$7),1,0)+IF(AND(RANK.EQ('Momentum Ranks'!U48,'Momentum Ranks'!$B48:$U48,0)&lt;='Strategy Settings'!$B$7,RANK.EQ('Momentum Ranks'!U47,'Momentum Ranks'!$B47:$U47,0)&lt;='Strategy Settings'!$B$7),1,0))/'Strategy Settings'!$B$7</x:f>
        <x:v>0.25</x:v>
      </x:c>
      <x:c r="D48" s="26" t="n">
        <x:f>C48*'Strategy Settings'!$B$9</x:f>
        <x:v>0.00025</x:v>
      </x:c>
      <x:c r="E48" s="26" t="n">
        <x:f>B48-D48</x:f>
        <x:v>0.13209978340309128</x:v>
      </x:c>
      <x:c r="F48" s="26" t="n">
        <x:f>'Return Data'!V58</x:f>
        <x:v>0.03155678304092669</x:v>
      </x:c>
      <x:c r="G48" s="26" t="n">
        <x:f>E48-F48</x:f>
        <x:v>0.1005430003621646</x:v>
      </x:c>
      <x:c r="H48" s="28" t="n">
        <x:f>H47*(1+E48)</x:f>
        <x:v>1.8565951998425676</x:v>
      </x:c>
      <x:c r="I48" s="28" t="n">
        <x:f>I47*(1+F48)</x:f>
        <x:v>1.3387248959317724</x:v>
      </x:c>
      <x:c r="J48" s="26" t="n">
        <x:f>H48/MAX($H$4:H48)-1</x:f>
        <x:v>0</x:v>
      </x:c>
      <x:c r="K48" s="26" t="n">
        <x:f>I48/MAX($I$4:I48)-1</x:f>
        <x:v>0</x:v>
      </x:c>
    </x:row>
    <x:row r="49">
      <x:c r="A49" s="20" t="n">
        <x:f>'Return Data'!A63</x:f>
        <x:v>45503</x:v>
      </x:c>
      <x:c r="B49" s="26" t="n">
        <x:f>(IF(RANK.EQ('Momentum Ranks'!B49,'Momentum Ranks'!$B49:$U49,0)&lt;='Strategy Settings'!$B$7,'Return Data'!B63,0)+IF(RANK.EQ('Momentum Ranks'!C49,'Momentum Ranks'!$B49:$U49,0)&lt;='Strategy Settings'!$B$7,'Return Data'!C63,0)+IF(RANK.EQ('Momentum Ranks'!D49,'Momentum Ranks'!$B49:$U49,0)&lt;='Strategy Settings'!$B$7,'Return Data'!D63,0)+IF(RANK.EQ('Momentum Ranks'!E49,'Momentum Ranks'!$B49:$U49,0)&lt;='Strategy Settings'!$B$7,'Return Data'!E63,0)+IF(RANK.EQ('Momentum Ranks'!F49,'Momentum Ranks'!$B49:$U49,0)&lt;='Strategy Settings'!$B$7,'Return Data'!F63,0)+IF(RANK.EQ('Momentum Ranks'!G49,'Momentum Ranks'!$B49:$U49,0)&lt;='Strategy Settings'!$B$7,'Return Data'!G63,0)+IF(RANK.EQ('Momentum Ranks'!H49,'Momentum Ranks'!$B49:$U49,0)&lt;='Strategy Settings'!$B$7,'Return Data'!H63,0)+IF(RANK.EQ('Momentum Ranks'!I49,'Momentum Ranks'!$B49:$U49,0)&lt;='Strategy Settings'!$B$7,'Return Data'!I63,0)+IF(RANK.EQ('Momentum Ranks'!J49,'Momentum Ranks'!$B49:$U49,0)&lt;='Strategy Settings'!$B$7,'Return Data'!J63,0)+IF(RANK.EQ('Momentum Ranks'!K49,'Momentum Ranks'!$B49:$U49,0)&lt;='Strategy Settings'!$B$7,'Return Data'!K63,0)+IF(RANK.EQ('Momentum Ranks'!L49,'Momentum Ranks'!$B49:$U49,0)&lt;='Strategy Settings'!$B$7,'Return Data'!L63,0)+IF(RANK.EQ('Momentum Ranks'!M49,'Momentum Ranks'!$B49:$U49,0)&lt;='Strategy Settings'!$B$7,'Return Data'!M63,0)+IF(RANK.EQ('Momentum Ranks'!N49,'Momentum Ranks'!$B49:$U49,0)&lt;='Strategy Settings'!$B$7,'Return Data'!N63,0)+IF(RANK.EQ('Momentum Ranks'!O49,'Momentum Ranks'!$B49:$U49,0)&lt;='Strategy Settings'!$B$7,'Return Data'!O63,0)+IF(RANK.EQ('Momentum Ranks'!P49,'Momentum Ranks'!$B49:$U49,0)&lt;='Strategy Settings'!$B$7,'Return Data'!P63,0)+IF(RANK.EQ('Momentum Ranks'!Q49,'Momentum Ranks'!$B49:$U49,0)&lt;='Strategy Settings'!$B$7,'Return Data'!Q63,0)+IF(RANK.EQ('Momentum Ranks'!R49,'Momentum Ranks'!$B49:$U49,0)&lt;='Strategy Settings'!$B$7,'Return Data'!R63,0)+IF(RANK.EQ('Momentum Ranks'!S49,'Momentum Ranks'!$B49:$U49,0)&lt;='Strategy Settings'!$B$7,'Return Data'!S63,0)+IF(RANK.EQ('Momentum Ranks'!T49,'Momentum Ranks'!$B49:$U49,0)&lt;='Strategy Settings'!$B$7,'Return Data'!T63,0)+IF(RANK.EQ('Momentum Ranks'!U49,'Momentum Ranks'!$B49:$U49,0)&lt;='Strategy Settings'!$B$7,'Return Data'!U63,0))/'Strategy Settings'!$B$7</x:f>
        <x:v>-0.009920735165860464</x:v>
      </x:c>
      <x:c r="C49" s="26" t="n">
        <x:f>1-(IF(AND(RANK.EQ('Momentum Ranks'!B49,'Momentum Ranks'!$B49:$U49,0)&lt;='Strategy Settings'!$B$7,RANK.EQ('Momentum Ranks'!B48,'Momentum Ranks'!$B48:$U48,0)&lt;='Strategy Settings'!$B$7),1,0)+IF(AND(RANK.EQ('Momentum Ranks'!C49,'Momentum Ranks'!$B49:$U49,0)&lt;='Strategy Settings'!$B$7,RANK.EQ('Momentum Ranks'!C48,'Momentum Ranks'!$B48:$U48,0)&lt;='Strategy Settings'!$B$7),1,0)+IF(AND(RANK.EQ('Momentum Ranks'!D49,'Momentum Ranks'!$B49:$U49,0)&lt;='Strategy Settings'!$B$7,RANK.EQ('Momentum Ranks'!D48,'Momentum Ranks'!$B48:$U48,0)&lt;='Strategy Settings'!$B$7),1,0)+IF(AND(RANK.EQ('Momentum Ranks'!E49,'Momentum Ranks'!$B49:$U49,0)&lt;='Strategy Settings'!$B$7,RANK.EQ('Momentum Ranks'!E48,'Momentum Ranks'!$B48:$U48,0)&lt;='Strategy Settings'!$B$7),1,0)+IF(AND(RANK.EQ('Momentum Ranks'!F49,'Momentum Ranks'!$B49:$U49,0)&lt;='Strategy Settings'!$B$7,RANK.EQ('Momentum Ranks'!F48,'Momentum Ranks'!$B48:$U48,0)&lt;='Strategy Settings'!$B$7),1,0)+IF(AND(RANK.EQ('Momentum Ranks'!G49,'Momentum Ranks'!$B49:$U49,0)&lt;='Strategy Settings'!$B$7,RANK.EQ('Momentum Ranks'!G48,'Momentum Ranks'!$B48:$U48,0)&lt;='Strategy Settings'!$B$7),1,0)+IF(AND(RANK.EQ('Momentum Ranks'!H49,'Momentum Ranks'!$B49:$U49,0)&lt;='Strategy Settings'!$B$7,RANK.EQ('Momentum Ranks'!H48,'Momentum Ranks'!$B48:$U48,0)&lt;='Strategy Settings'!$B$7),1,0)+IF(AND(RANK.EQ('Momentum Ranks'!I49,'Momentum Ranks'!$B49:$U49,0)&lt;='Strategy Settings'!$B$7,RANK.EQ('Momentum Ranks'!I48,'Momentum Ranks'!$B48:$U48,0)&lt;='Strategy Settings'!$B$7),1,0)+IF(AND(RANK.EQ('Momentum Ranks'!J49,'Momentum Ranks'!$B49:$U49,0)&lt;='Strategy Settings'!$B$7,RANK.EQ('Momentum Ranks'!J48,'Momentum Ranks'!$B48:$U48,0)&lt;='Strategy Settings'!$B$7),1,0)+IF(AND(RANK.EQ('Momentum Ranks'!K49,'Momentum Ranks'!$B49:$U49,0)&lt;='Strategy Settings'!$B$7,RANK.EQ('Momentum Ranks'!K48,'Momentum Ranks'!$B48:$U48,0)&lt;='Strategy Settings'!$B$7),1,0)+IF(AND(RANK.EQ('Momentum Ranks'!L49,'Momentum Ranks'!$B49:$U49,0)&lt;='Strategy Settings'!$B$7,RANK.EQ('Momentum Ranks'!L48,'Momentum Ranks'!$B48:$U48,0)&lt;='Strategy Settings'!$B$7),1,0)+IF(AND(RANK.EQ('Momentum Ranks'!M49,'Momentum Ranks'!$B49:$U49,0)&lt;='Strategy Settings'!$B$7,RANK.EQ('Momentum Ranks'!M48,'Momentum Ranks'!$B48:$U48,0)&lt;='Strategy Settings'!$B$7),1,0)+IF(AND(RANK.EQ('Momentum Ranks'!N49,'Momentum Ranks'!$B49:$U49,0)&lt;='Strategy Settings'!$B$7,RANK.EQ('Momentum Ranks'!N48,'Momentum Ranks'!$B48:$U48,0)&lt;='Strategy Settings'!$B$7),1,0)+IF(AND(RANK.EQ('Momentum Ranks'!O49,'Momentum Ranks'!$B49:$U49,0)&lt;='Strategy Settings'!$B$7,RANK.EQ('Momentum Ranks'!O48,'Momentum Ranks'!$B48:$U48,0)&lt;='Strategy Settings'!$B$7),1,0)+IF(AND(RANK.EQ('Momentum Ranks'!P49,'Momentum Ranks'!$B49:$U49,0)&lt;='Strategy Settings'!$B$7,RANK.EQ('Momentum Ranks'!P48,'Momentum Ranks'!$B48:$U48,0)&lt;='Strategy Settings'!$B$7),1,0)+IF(AND(RANK.EQ('Momentum Ranks'!Q49,'Momentum Ranks'!$B49:$U49,0)&lt;='Strategy Settings'!$B$7,RANK.EQ('Momentum Ranks'!Q48,'Momentum Ranks'!$B48:$U48,0)&lt;='Strategy Settings'!$B$7),1,0)+IF(AND(RANK.EQ('Momentum Ranks'!R49,'Momentum Ranks'!$B49:$U49,0)&lt;='Strategy Settings'!$B$7,RANK.EQ('Momentum Ranks'!R48,'Momentum Ranks'!$B48:$U48,0)&lt;='Strategy Settings'!$B$7),1,0)+IF(AND(RANK.EQ('Momentum Ranks'!S49,'Momentum Ranks'!$B49:$U49,0)&lt;='Strategy Settings'!$B$7,RANK.EQ('Momentum Ranks'!S48,'Momentum Ranks'!$B48:$U48,0)&lt;='Strategy Settings'!$B$7),1,0)+IF(AND(RANK.EQ('Momentum Ranks'!T49,'Momentum Ranks'!$B49:$U49,0)&lt;='Strategy Settings'!$B$7,RANK.EQ('Momentum Ranks'!T48,'Momentum Ranks'!$B48:$U48,0)&lt;='Strategy Settings'!$B$7),1,0)+IF(AND(RANK.EQ('Momentum Ranks'!U49,'Momentum Ranks'!$B49:$U49,0)&lt;='Strategy Settings'!$B$7,RANK.EQ('Momentum Ranks'!U48,'Momentum Ranks'!$B48:$U48,0)&lt;='Strategy Settings'!$B$7),1,0))/'Strategy Settings'!$B$7</x:f>
        <x:v>0.25</x:v>
      </x:c>
      <x:c r="D49" s="26" t="n">
        <x:f>C49*'Strategy Settings'!$B$9</x:f>
        <x:v>0.00025</x:v>
      </x:c>
      <x:c r="E49" s="26" t="n">
        <x:f>B49-D49</x:f>
        <x:v>-0.010170735165860464</x:v>
      </x:c>
      <x:c r="F49" s="26" t="n">
        <x:f>'Return Data'!V59</x:f>
        <x:v>0.005482374269277876</x:v>
      </x:c>
      <x:c r="G49" s="26" t="n">
        <x:f>E49-F49</x:f>
        <x:v>-0.01565310943513834</x:v>
      </x:c>
      <x:c r="H49" s="28" t="n">
        <x:f>H48*(1+E49)</x:f>
        <x:v>1.8377122617547612</x:v>
      </x:c>
      <x:c r="I49" s="28" t="n">
        <x:f>I48*(1+F49)</x:f>
        <x:v>1.3460642868548702</x:v>
      </x:c>
      <x:c r="J49" s="26" t="n">
        <x:f>H49/MAX($H$4:H49)-1</x:f>
        <x:v>-0.010170735165860423</x:v>
      </x:c>
      <x:c r="K49" s="26" t="n">
        <x:f>I49/MAX($I$4:I49)-1</x:f>
        <x:v>0</x:v>
      </x:c>
    </x:row>
    <x:row r="50">
      <x:c r="A50" s="20" t="n">
        <x:f>'Return Data'!A64</x:f>
        <x:v>45534</x:v>
      </x:c>
      <x:c r="B50" s="26" t="n">
        <x:f>(IF(RANK.EQ('Momentum Ranks'!B50,'Momentum Ranks'!$B50:$U50,0)&lt;='Strategy Settings'!$B$7,'Return Data'!B64,0)+IF(RANK.EQ('Momentum Ranks'!C50,'Momentum Ranks'!$B50:$U50,0)&lt;='Strategy Settings'!$B$7,'Return Data'!C64,0)+IF(RANK.EQ('Momentum Ranks'!D50,'Momentum Ranks'!$B50:$U50,0)&lt;='Strategy Settings'!$B$7,'Return Data'!D64,0)+IF(RANK.EQ('Momentum Ranks'!E50,'Momentum Ranks'!$B50:$U50,0)&lt;='Strategy Settings'!$B$7,'Return Data'!E64,0)+IF(RANK.EQ('Momentum Ranks'!F50,'Momentum Ranks'!$B50:$U50,0)&lt;='Strategy Settings'!$B$7,'Return Data'!F64,0)+IF(RANK.EQ('Momentum Ranks'!G50,'Momentum Ranks'!$B50:$U50,0)&lt;='Strategy Settings'!$B$7,'Return Data'!G64,0)+IF(RANK.EQ('Momentum Ranks'!H50,'Momentum Ranks'!$B50:$U50,0)&lt;='Strategy Settings'!$B$7,'Return Data'!H64,0)+IF(RANK.EQ('Momentum Ranks'!I50,'Momentum Ranks'!$B50:$U50,0)&lt;='Strategy Settings'!$B$7,'Return Data'!I64,0)+IF(RANK.EQ('Momentum Ranks'!J50,'Momentum Ranks'!$B50:$U50,0)&lt;='Strategy Settings'!$B$7,'Return Data'!J64,0)+IF(RANK.EQ('Momentum Ranks'!K50,'Momentum Ranks'!$B50:$U50,0)&lt;='Strategy Settings'!$B$7,'Return Data'!K64,0)+IF(RANK.EQ('Momentum Ranks'!L50,'Momentum Ranks'!$B50:$U50,0)&lt;='Strategy Settings'!$B$7,'Return Data'!L64,0)+IF(RANK.EQ('Momentum Ranks'!M50,'Momentum Ranks'!$B50:$U50,0)&lt;='Strategy Settings'!$B$7,'Return Data'!M64,0)+IF(RANK.EQ('Momentum Ranks'!N50,'Momentum Ranks'!$B50:$U50,0)&lt;='Strategy Settings'!$B$7,'Return Data'!N64,0)+IF(RANK.EQ('Momentum Ranks'!O50,'Momentum Ranks'!$B50:$U50,0)&lt;='Strategy Settings'!$B$7,'Return Data'!O64,0)+IF(RANK.EQ('Momentum Ranks'!P50,'Momentum Ranks'!$B50:$U50,0)&lt;='Strategy Settings'!$B$7,'Return Data'!P64,0)+IF(RANK.EQ('Momentum Ranks'!Q50,'Momentum Ranks'!$B50:$U50,0)&lt;='Strategy Settings'!$B$7,'Return Data'!Q64,0)+IF(RANK.EQ('Momentum Ranks'!R50,'Momentum Ranks'!$B50:$U50,0)&lt;='Strategy Settings'!$B$7,'Return Data'!R64,0)+IF(RANK.EQ('Momentum Ranks'!S50,'Momentum Ranks'!$B50:$U50,0)&lt;='Strategy Settings'!$B$7,'Return Data'!S64,0)+IF(RANK.EQ('Momentum Ranks'!T50,'Momentum Ranks'!$B50:$U50,0)&lt;='Strategy Settings'!$B$7,'Return Data'!T64,0)+IF(RANK.EQ('Momentum Ranks'!U50,'Momentum Ranks'!$B50:$U50,0)&lt;='Strategy Settings'!$B$7,'Return Data'!U64,0))/'Strategy Settings'!$B$7</x:f>
        <x:v>-0.028394650741884842</x:v>
      </x:c>
      <x:c r="C50" s="26" t="n">
        <x:f>1-(IF(AND(RANK.EQ('Momentum Ranks'!B50,'Momentum Ranks'!$B50:$U50,0)&lt;='Strategy Settings'!$B$7,RANK.EQ('Momentum Ranks'!B49,'Momentum Ranks'!$B49:$U49,0)&lt;='Strategy Settings'!$B$7),1,0)+IF(AND(RANK.EQ('Momentum Ranks'!C50,'Momentum Ranks'!$B50:$U50,0)&lt;='Strategy Settings'!$B$7,RANK.EQ('Momentum Ranks'!C49,'Momentum Ranks'!$B49:$U49,0)&lt;='Strategy Settings'!$B$7),1,0)+IF(AND(RANK.EQ('Momentum Ranks'!D50,'Momentum Ranks'!$B50:$U50,0)&lt;='Strategy Settings'!$B$7,RANK.EQ('Momentum Ranks'!D49,'Momentum Ranks'!$B49:$U49,0)&lt;='Strategy Settings'!$B$7),1,0)+IF(AND(RANK.EQ('Momentum Ranks'!E50,'Momentum Ranks'!$B50:$U50,0)&lt;='Strategy Settings'!$B$7,RANK.EQ('Momentum Ranks'!E49,'Momentum Ranks'!$B49:$U49,0)&lt;='Strategy Settings'!$B$7),1,0)+IF(AND(RANK.EQ('Momentum Ranks'!F50,'Momentum Ranks'!$B50:$U50,0)&lt;='Strategy Settings'!$B$7,RANK.EQ('Momentum Ranks'!F49,'Momentum Ranks'!$B49:$U49,0)&lt;='Strategy Settings'!$B$7),1,0)+IF(AND(RANK.EQ('Momentum Ranks'!G50,'Momentum Ranks'!$B50:$U50,0)&lt;='Strategy Settings'!$B$7,RANK.EQ('Momentum Ranks'!G49,'Momentum Ranks'!$B49:$U49,0)&lt;='Strategy Settings'!$B$7),1,0)+IF(AND(RANK.EQ('Momentum Ranks'!H50,'Momentum Ranks'!$B50:$U50,0)&lt;='Strategy Settings'!$B$7,RANK.EQ('Momentum Ranks'!H49,'Momentum Ranks'!$B49:$U49,0)&lt;='Strategy Settings'!$B$7),1,0)+IF(AND(RANK.EQ('Momentum Ranks'!I50,'Momentum Ranks'!$B50:$U50,0)&lt;='Strategy Settings'!$B$7,RANK.EQ('Momentum Ranks'!I49,'Momentum Ranks'!$B49:$U49,0)&lt;='Strategy Settings'!$B$7),1,0)+IF(AND(RANK.EQ('Momentum Ranks'!J50,'Momentum Ranks'!$B50:$U50,0)&lt;='Strategy Settings'!$B$7,RANK.EQ('Momentum Ranks'!J49,'Momentum Ranks'!$B49:$U49,0)&lt;='Strategy Settings'!$B$7),1,0)+IF(AND(RANK.EQ('Momentum Ranks'!K50,'Momentum Ranks'!$B50:$U50,0)&lt;='Strategy Settings'!$B$7,RANK.EQ('Momentum Ranks'!K49,'Momentum Ranks'!$B49:$U49,0)&lt;='Strategy Settings'!$B$7),1,0)+IF(AND(RANK.EQ('Momentum Ranks'!L50,'Momentum Ranks'!$B50:$U50,0)&lt;='Strategy Settings'!$B$7,RANK.EQ('Momentum Ranks'!L49,'Momentum Ranks'!$B49:$U49,0)&lt;='Strategy Settings'!$B$7),1,0)+IF(AND(RANK.EQ('Momentum Ranks'!M50,'Momentum Ranks'!$B50:$U50,0)&lt;='Strategy Settings'!$B$7,RANK.EQ('Momentum Ranks'!M49,'Momentum Ranks'!$B49:$U49,0)&lt;='Strategy Settings'!$B$7),1,0)+IF(AND(RANK.EQ('Momentum Ranks'!N50,'Momentum Ranks'!$B50:$U50,0)&lt;='Strategy Settings'!$B$7,RANK.EQ('Momentum Ranks'!N49,'Momentum Ranks'!$B49:$U49,0)&lt;='Strategy Settings'!$B$7),1,0)+IF(AND(RANK.EQ('Momentum Ranks'!O50,'Momentum Ranks'!$B50:$U50,0)&lt;='Strategy Settings'!$B$7,RANK.EQ('Momentum Ranks'!O49,'Momentum Ranks'!$B49:$U49,0)&lt;='Strategy Settings'!$B$7),1,0)+IF(AND(RANK.EQ('Momentum Ranks'!P50,'Momentum Ranks'!$B50:$U50,0)&lt;='Strategy Settings'!$B$7,RANK.EQ('Momentum Ranks'!P49,'Momentum Ranks'!$B49:$U49,0)&lt;='Strategy Settings'!$B$7),1,0)+IF(AND(RANK.EQ('Momentum Ranks'!Q50,'Momentum Ranks'!$B50:$U50,0)&lt;='Strategy Settings'!$B$7,RANK.EQ('Momentum Ranks'!Q49,'Momentum Ranks'!$B49:$U49,0)&lt;='Strategy Settings'!$B$7),1,0)+IF(AND(RANK.EQ('Momentum Ranks'!R50,'Momentum Ranks'!$B50:$U50,0)&lt;='Strategy Settings'!$B$7,RANK.EQ('Momentum Ranks'!R49,'Momentum Ranks'!$B49:$U49,0)&lt;='Strategy Settings'!$B$7),1,0)+IF(AND(RANK.EQ('Momentum Ranks'!S50,'Momentum Ranks'!$B50:$U50,0)&lt;='Strategy Settings'!$B$7,RANK.EQ('Momentum Ranks'!S49,'Momentum Ranks'!$B49:$U49,0)&lt;='Strategy Settings'!$B$7),1,0)+IF(AND(RANK.EQ('Momentum Ranks'!T50,'Momentum Ranks'!$B50:$U50,0)&lt;='Strategy Settings'!$B$7,RANK.EQ('Momentum Ranks'!T49,'Momentum Ranks'!$B49:$U49,0)&lt;='Strategy Settings'!$B$7),1,0)+IF(AND(RANK.EQ('Momentum Ranks'!U50,'Momentum Ranks'!$B50:$U50,0)&lt;='Strategy Settings'!$B$7,RANK.EQ('Momentum Ranks'!U49,'Momentum Ranks'!$B49:$U49,0)&lt;='Strategy Settings'!$B$7),1,0))/'Strategy Settings'!$B$7</x:f>
        <x:v>0.25</x:v>
      </x:c>
      <x:c r="D50" s="26" t="n">
        <x:f>C50*'Strategy Settings'!$B$9</x:f>
        <x:v>0.00025</x:v>
      </x:c>
      <x:c r="E50" s="26" t="n">
        <x:f>B50-D50</x:f>
        <x:v>-0.028644650741884842</x:v>
      </x:c>
      <x:c r="F50" s="26" t="n">
        <x:f>'Return Data'!V60</x:f>
        <x:v>0.07633765452145964</x:v>
      </x:c>
      <x:c r="G50" s="26" t="n">
        <x:f>E50-F50</x:f>
        <x:v>-0.10498230526334448</x:v>
      </x:c>
      <x:c r="H50" s="28" t="n">
        <x:f>H49*(1+E50)</x:f>
        <x:v>1.7850716358527168</x:v>
      </x:c>
      <x:c r="I50" s="28" t="n">
        <x:f>I49*(1+F50)</x:f>
        <x:v>1.4488196773484723</x:v>
      </x:c>
      <x:c r="J50" s="26" t="n">
        <x:f>H50/MAX($H$4:H50)-1</x:f>
        <x:v>-0.038524048751131024</x:v>
      </x:c>
      <x:c r="K50" s="26" t="n">
        <x:f>I50/MAX($I$4:I50)-1</x:f>
        <x:v>0</x:v>
      </x:c>
    </x:row>
    <x:row r="51">
      <x:c r="A51" s="20" t="n">
        <x:f>'Return Data'!A65</x:f>
        <x:v>45565</x:v>
      </x:c>
      <x:c r="B51" s="26" t="n">
        <x:f>(IF(RANK.EQ('Momentum Ranks'!B51,'Momentum Ranks'!$B51:$U51,0)&lt;='Strategy Settings'!$B$7,'Return Data'!B65,0)+IF(RANK.EQ('Momentum Ranks'!C51,'Momentum Ranks'!$B51:$U51,0)&lt;='Strategy Settings'!$B$7,'Return Data'!C65,0)+IF(RANK.EQ('Momentum Ranks'!D51,'Momentum Ranks'!$B51:$U51,0)&lt;='Strategy Settings'!$B$7,'Return Data'!D65,0)+IF(RANK.EQ('Momentum Ranks'!E51,'Momentum Ranks'!$B51:$U51,0)&lt;='Strategy Settings'!$B$7,'Return Data'!E65,0)+IF(RANK.EQ('Momentum Ranks'!F51,'Momentum Ranks'!$B51:$U51,0)&lt;='Strategy Settings'!$B$7,'Return Data'!F65,0)+IF(RANK.EQ('Momentum Ranks'!G51,'Momentum Ranks'!$B51:$U51,0)&lt;='Strategy Settings'!$B$7,'Return Data'!G65,0)+IF(RANK.EQ('Momentum Ranks'!H51,'Momentum Ranks'!$B51:$U51,0)&lt;='Strategy Settings'!$B$7,'Return Data'!H65,0)+IF(RANK.EQ('Momentum Ranks'!I51,'Momentum Ranks'!$B51:$U51,0)&lt;='Strategy Settings'!$B$7,'Return Data'!I65,0)+IF(RANK.EQ('Momentum Ranks'!J51,'Momentum Ranks'!$B51:$U51,0)&lt;='Strategy Settings'!$B$7,'Return Data'!J65,0)+IF(RANK.EQ('Momentum Ranks'!K51,'Momentum Ranks'!$B51:$U51,0)&lt;='Strategy Settings'!$B$7,'Return Data'!K65,0)+IF(RANK.EQ('Momentum Ranks'!L51,'Momentum Ranks'!$B51:$U51,0)&lt;='Strategy Settings'!$B$7,'Return Data'!L65,0)+IF(RANK.EQ('Momentum Ranks'!M51,'Momentum Ranks'!$B51:$U51,0)&lt;='Strategy Settings'!$B$7,'Return Data'!M65,0)+IF(RANK.EQ('Momentum Ranks'!N51,'Momentum Ranks'!$B51:$U51,0)&lt;='Strategy Settings'!$B$7,'Return Data'!N65,0)+IF(RANK.EQ('Momentum Ranks'!O51,'Momentum Ranks'!$B51:$U51,0)&lt;='Strategy Settings'!$B$7,'Return Data'!O65,0)+IF(RANK.EQ('Momentum Ranks'!P51,'Momentum Ranks'!$B51:$U51,0)&lt;='Strategy Settings'!$B$7,'Return Data'!P65,0)+IF(RANK.EQ('Momentum Ranks'!Q51,'Momentum Ranks'!$B51:$U51,0)&lt;='Strategy Settings'!$B$7,'Return Data'!Q65,0)+IF(RANK.EQ('Momentum Ranks'!R51,'Momentum Ranks'!$B51:$U51,0)&lt;='Strategy Settings'!$B$7,'Return Data'!R65,0)+IF(RANK.EQ('Momentum Ranks'!S51,'Momentum Ranks'!$B51:$U51,0)&lt;='Strategy Settings'!$B$7,'Return Data'!S65,0)+IF(RANK.EQ('Momentum Ranks'!T51,'Momentum Ranks'!$B51:$U51,0)&lt;='Strategy Settings'!$B$7,'Return Data'!T65,0)+IF(RANK.EQ('Momentum Ranks'!U51,'Momentum Ranks'!$B51:$U51,0)&lt;='Strategy Settings'!$B$7,'Return Data'!U65,0))/'Strategy Settings'!$B$7</x:f>
        <x:v>-0.05939728871306674</x:v>
      </x:c>
      <x:c r="C51" s="26" t="n">
        <x:f>1-(IF(AND(RANK.EQ('Momentum Ranks'!B51,'Momentum Ranks'!$B51:$U51,0)&lt;='Strategy Settings'!$B$7,RANK.EQ('Momentum Ranks'!B50,'Momentum Ranks'!$B50:$U50,0)&lt;='Strategy Settings'!$B$7),1,0)+IF(AND(RANK.EQ('Momentum Ranks'!C51,'Momentum Ranks'!$B51:$U51,0)&lt;='Strategy Settings'!$B$7,RANK.EQ('Momentum Ranks'!C50,'Momentum Ranks'!$B50:$U50,0)&lt;='Strategy Settings'!$B$7),1,0)+IF(AND(RANK.EQ('Momentum Ranks'!D51,'Momentum Ranks'!$B51:$U51,0)&lt;='Strategy Settings'!$B$7,RANK.EQ('Momentum Ranks'!D50,'Momentum Ranks'!$B50:$U50,0)&lt;='Strategy Settings'!$B$7),1,0)+IF(AND(RANK.EQ('Momentum Ranks'!E51,'Momentum Ranks'!$B51:$U51,0)&lt;='Strategy Settings'!$B$7,RANK.EQ('Momentum Ranks'!E50,'Momentum Ranks'!$B50:$U50,0)&lt;='Strategy Settings'!$B$7),1,0)+IF(AND(RANK.EQ('Momentum Ranks'!F51,'Momentum Ranks'!$B51:$U51,0)&lt;='Strategy Settings'!$B$7,RANK.EQ('Momentum Ranks'!F50,'Momentum Ranks'!$B50:$U50,0)&lt;='Strategy Settings'!$B$7),1,0)+IF(AND(RANK.EQ('Momentum Ranks'!G51,'Momentum Ranks'!$B51:$U51,0)&lt;='Strategy Settings'!$B$7,RANK.EQ('Momentum Ranks'!G50,'Momentum Ranks'!$B50:$U50,0)&lt;='Strategy Settings'!$B$7),1,0)+IF(AND(RANK.EQ('Momentum Ranks'!H51,'Momentum Ranks'!$B51:$U51,0)&lt;='Strategy Settings'!$B$7,RANK.EQ('Momentum Ranks'!H50,'Momentum Ranks'!$B50:$U50,0)&lt;='Strategy Settings'!$B$7),1,0)+IF(AND(RANK.EQ('Momentum Ranks'!I51,'Momentum Ranks'!$B51:$U51,0)&lt;='Strategy Settings'!$B$7,RANK.EQ('Momentum Ranks'!I50,'Momentum Ranks'!$B50:$U50,0)&lt;='Strategy Settings'!$B$7),1,0)+IF(AND(RANK.EQ('Momentum Ranks'!J51,'Momentum Ranks'!$B51:$U51,0)&lt;='Strategy Settings'!$B$7,RANK.EQ('Momentum Ranks'!J50,'Momentum Ranks'!$B50:$U50,0)&lt;='Strategy Settings'!$B$7),1,0)+IF(AND(RANK.EQ('Momentum Ranks'!K51,'Momentum Ranks'!$B51:$U51,0)&lt;='Strategy Settings'!$B$7,RANK.EQ('Momentum Ranks'!K50,'Momentum Ranks'!$B50:$U50,0)&lt;='Strategy Settings'!$B$7),1,0)+IF(AND(RANK.EQ('Momentum Ranks'!L51,'Momentum Ranks'!$B51:$U51,0)&lt;='Strategy Settings'!$B$7,RANK.EQ('Momentum Ranks'!L50,'Momentum Ranks'!$B50:$U50,0)&lt;='Strategy Settings'!$B$7),1,0)+IF(AND(RANK.EQ('Momentum Ranks'!M51,'Momentum Ranks'!$B51:$U51,0)&lt;='Strategy Settings'!$B$7,RANK.EQ('Momentum Ranks'!M50,'Momentum Ranks'!$B50:$U50,0)&lt;='Strategy Settings'!$B$7),1,0)+IF(AND(RANK.EQ('Momentum Ranks'!N51,'Momentum Ranks'!$B51:$U51,0)&lt;='Strategy Settings'!$B$7,RANK.EQ('Momentum Ranks'!N50,'Momentum Ranks'!$B50:$U50,0)&lt;='Strategy Settings'!$B$7),1,0)+IF(AND(RANK.EQ('Momentum Ranks'!O51,'Momentum Ranks'!$B51:$U51,0)&lt;='Strategy Settings'!$B$7,RANK.EQ('Momentum Ranks'!O50,'Momentum Ranks'!$B50:$U50,0)&lt;='Strategy Settings'!$B$7),1,0)+IF(AND(RANK.EQ('Momentum Ranks'!P51,'Momentum Ranks'!$B51:$U51,0)&lt;='Strategy Settings'!$B$7,RANK.EQ('Momentum Ranks'!P50,'Momentum Ranks'!$B50:$U50,0)&lt;='Strategy Settings'!$B$7),1,0)+IF(AND(RANK.EQ('Momentum Ranks'!Q51,'Momentum Ranks'!$B51:$U51,0)&lt;='Strategy Settings'!$B$7,RANK.EQ('Momentum Ranks'!Q50,'Momentum Ranks'!$B50:$U50,0)&lt;='Strategy Settings'!$B$7),1,0)+IF(AND(RANK.EQ('Momentum Ranks'!R51,'Momentum Ranks'!$B51:$U51,0)&lt;='Strategy Settings'!$B$7,RANK.EQ('Momentum Ranks'!R50,'Momentum Ranks'!$B50:$U50,0)&lt;='Strategy Settings'!$B$7),1,0)+IF(AND(RANK.EQ('Momentum Ranks'!S51,'Momentum Ranks'!$B51:$U51,0)&lt;='Strategy Settings'!$B$7,RANK.EQ('Momentum Ranks'!S50,'Momentum Ranks'!$B50:$U50,0)&lt;='Strategy Settings'!$B$7),1,0)+IF(AND(RANK.EQ('Momentum Ranks'!T51,'Momentum Ranks'!$B51:$U51,0)&lt;='Strategy Settings'!$B$7,RANK.EQ('Momentum Ranks'!T50,'Momentum Ranks'!$B50:$U50,0)&lt;='Strategy Settings'!$B$7),1,0)+IF(AND(RANK.EQ('Momentum Ranks'!U51,'Momentum Ranks'!$B51:$U51,0)&lt;='Strategy Settings'!$B$7,RANK.EQ('Momentum Ranks'!U50,'Momentum Ranks'!$B50:$U50,0)&lt;='Strategy Settings'!$B$7),1,0))/'Strategy Settings'!$B$7</x:f>
        <x:v>0.25</x:v>
      </x:c>
      <x:c r="D51" s="26" t="n">
        <x:f>C51*'Strategy Settings'!$B$9</x:f>
        <x:v>0.00025</x:v>
      </x:c>
      <x:c r="E51" s="26" t="n">
        <x:f>B51-D51</x:f>
        <x:v>-0.05964728871306674</x:v>
      </x:c>
      <x:c r="F51" s="26" t="n">
        <x:f>'Return Data'!V61</x:f>
        <x:v>0.03592915420404174</x:v>
      </x:c>
      <x:c r="G51" s="26" t="n">
        <x:f>E51-F51</x:f>
        <x:v>-0.09557644291710848</x:v>
      </x:c>
      <x:c r="H51" s="28" t="n">
        <x:f>H50*(1+E51)</x:f>
        <x:v>1.6785969526155033</x:v>
      </x:c>
      <x:c r="I51" s="28" t="n">
        <x:f>I50*(1+F51)</x:f>
        <x:v>1.5008745429497754</x:v>
      </x:c>
      <x:c r="J51" s="26" t="n">
        <x:f>H51/MAX($H$4:H51)-1</x:f>
        <x:v>-0.09587348240594284</x:v>
      </x:c>
      <x:c r="K51" s="26" t="n">
        <x:f>I51/MAX($I$4:I51)-1</x:f>
        <x:v>0</x:v>
      </x:c>
    </x:row>
    <x:row r="52">
      <x:c r="A52" s="20" t="n">
        <x:f>'Return Data'!A66</x:f>
        <x:v>45595</x:v>
      </x:c>
      <x:c r="B52" s="26" t="n">
        <x:f>(IF(RANK.EQ('Momentum Ranks'!B52,'Momentum Ranks'!$B52:$U52,0)&lt;='Strategy Settings'!$B$7,'Return Data'!B66,0)+IF(RANK.EQ('Momentum Ranks'!C52,'Momentum Ranks'!$B52:$U52,0)&lt;='Strategy Settings'!$B$7,'Return Data'!C66,0)+IF(RANK.EQ('Momentum Ranks'!D52,'Momentum Ranks'!$B52:$U52,0)&lt;='Strategy Settings'!$B$7,'Return Data'!D66,0)+IF(RANK.EQ('Momentum Ranks'!E52,'Momentum Ranks'!$B52:$U52,0)&lt;='Strategy Settings'!$B$7,'Return Data'!E66,0)+IF(RANK.EQ('Momentum Ranks'!F52,'Momentum Ranks'!$B52:$U52,0)&lt;='Strategy Settings'!$B$7,'Return Data'!F66,0)+IF(RANK.EQ('Momentum Ranks'!G52,'Momentum Ranks'!$B52:$U52,0)&lt;='Strategy Settings'!$B$7,'Return Data'!G66,0)+IF(RANK.EQ('Momentum Ranks'!H52,'Momentum Ranks'!$B52:$U52,0)&lt;='Strategy Settings'!$B$7,'Return Data'!H66,0)+IF(RANK.EQ('Momentum Ranks'!I52,'Momentum Ranks'!$B52:$U52,0)&lt;='Strategy Settings'!$B$7,'Return Data'!I66,0)+IF(RANK.EQ('Momentum Ranks'!J52,'Momentum Ranks'!$B52:$U52,0)&lt;='Strategy Settings'!$B$7,'Return Data'!J66,0)+IF(RANK.EQ('Momentum Ranks'!K52,'Momentum Ranks'!$B52:$U52,0)&lt;='Strategy Settings'!$B$7,'Return Data'!K66,0)+IF(RANK.EQ('Momentum Ranks'!L52,'Momentum Ranks'!$B52:$U52,0)&lt;='Strategy Settings'!$B$7,'Return Data'!L66,0)+IF(RANK.EQ('Momentum Ranks'!M52,'Momentum Ranks'!$B52:$U52,0)&lt;='Strategy Settings'!$B$7,'Return Data'!M66,0)+IF(RANK.EQ('Momentum Ranks'!N52,'Momentum Ranks'!$B52:$U52,0)&lt;='Strategy Settings'!$B$7,'Return Data'!N66,0)+IF(RANK.EQ('Momentum Ranks'!O52,'Momentum Ranks'!$B52:$U52,0)&lt;='Strategy Settings'!$B$7,'Return Data'!O66,0)+IF(RANK.EQ('Momentum Ranks'!P52,'Momentum Ranks'!$B52:$U52,0)&lt;='Strategy Settings'!$B$7,'Return Data'!P66,0)+IF(RANK.EQ('Momentum Ranks'!Q52,'Momentum Ranks'!$B52:$U52,0)&lt;='Strategy Settings'!$B$7,'Return Data'!Q66,0)+IF(RANK.EQ('Momentum Ranks'!R52,'Momentum Ranks'!$B52:$U52,0)&lt;='Strategy Settings'!$B$7,'Return Data'!R66,0)+IF(RANK.EQ('Momentum Ranks'!S52,'Momentum Ranks'!$B52:$U52,0)&lt;='Strategy Settings'!$B$7,'Return Data'!S66,0)+IF(RANK.EQ('Momentum Ranks'!T52,'Momentum Ranks'!$B52:$U52,0)&lt;='Strategy Settings'!$B$7,'Return Data'!T66,0)+IF(RANK.EQ('Momentum Ranks'!U52,'Momentum Ranks'!$B52:$U52,0)&lt;='Strategy Settings'!$B$7,'Return Data'!U66,0))/'Strategy Settings'!$B$7</x:f>
        <x:v>-0.042576508436534086</x:v>
      </x:c>
      <x:c r="C52" s="26" t="n">
        <x:f>1-(IF(AND(RANK.EQ('Momentum Ranks'!B52,'Momentum Ranks'!$B52:$U52,0)&lt;='Strategy Settings'!$B$7,RANK.EQ('Momentum Ranks'!B51,'Momentum Ranks'!$B51:$U51,0)&lt;='Strategy Settings'!$B$7),1,0)+IF(AND(RANK.EQ('Momentum Ranks'!C52,'Momentum Ranks'!$B52:$U52,0)&lt;='Strategy Settings'!$B$7,RANK.EQ('Momentum Ranks'!C51,'Momentum Ranks'!$B51:$U51,0)&lt;='Strategy Settings'!$B$7),1,0)+IF(AND(RANK.EQ('Momentum Ranks'!D52,'Momentum Ranks'!$B52:$U52,0)&lt;='Strategy Settings'!$B$7,RANK.EQ('Momentum Ranks'!D51,'Momentum Ranks'!$B51:$U51,0)&lt;='Strategy Settings'!$B$7),1,0)+IF(AND(RANK.EQ('Momentum Ranks'!E52,'Momentum Ranks'!$B52:$U52,0)&lt;='Strategy Settings'!$B$7,RANK.EQ('Momentum Ranks'!E51,'Momentum Ranks'!$B51:$U51,0)&lt;='Strategy Settings'!$B$7),1,0)+IF(AND(RANK.EQ('Momentum Ranks'!F52,'Momentum Ranks'!$B52:$U52,0)&lt;='Strategy Settings'!$B$7,RANK.EQ('Momentum Ranks'!F51,'Momentum Ranks'!$B51:$U51,0)&lt;='Strategy Settings'!$B$7),1,0)+IF(AND(RANK.EQ('Momentum Ranks'!G52,'Momentum Ranks'!$B52:$U52,0)&lt;='Strategy Settings'!$B$7,RANK.EQ('Momentum Ranks'!G51,'Momentum Ranks'!$B51:$U51,0)&lt;='Strategy Settings'!$B$7),1,0)+IF(AND(RANK.EQ('Momentum Ranks'!H52,'Momentum Ranks'!$B52:$U52,0)&lt;='Strategy Settings'!$B$7,RANK.EQ('Momentum Ranks'!H51,'Momentum Ranks'!$B51:$U51,0)&lt;='Strategy Settings'!$B$7),1,0)+IF(AND(RANK.EQ('Momentum Ranks'!I52,'Momentum Ranks'!$B52:$U52,0)&lt;='Strategy Settings'!$B$7,RANK.EQ('Momentum Ranks'!I51,'Momentum Ranks'!$B51:$U51,0)&lt;='Strategy Settings'!$B$7),1,0)+IF(AND(RANK.EQ('Momentum Ranks'!J52,'Momentum Ranks'!$B52:$U52,0)&lt;='Strategy Settings'!$B$7,RANK.EQ('Momentum Ranks'!J51,'Momentum Ranks'!$B51:$U51,0)&lt;='Strategy Settings'!$B$7),1,0)+IF(AND(RANK.EQ('Momentum Ranks'!K52,'Momentum Ranks'!$B52:$U52,0)&lt;='Strategy Settings'!$B$7,RANK.EQ('Momentum Ranks'!K51,'Momentum Ranks'!$B51:$U51,0)&lt;='Strategy Settings'!$B$7),1,0)+IF(AND(RANK.EQ('Momentum Ranks'!L52,'Momentum Ranks'!$B52:$U52,0)&lt;='Strategy Settings'!$B$7,RANK.EQ('Momentum Ranks'!L51,'Momentum Ranks'!$B51:$U51,0)&lt;='Strategy Settings'!$B$7),1,0)+IF(AND(RANK.EQ('Momentum Ranks'!M52,'Momentum Ranks'!$B52:$U52,0)&lt;='Strategy Settings'!$B$7,RANK.EQ('Momentum Ranks'!M51,'Momentum Ranks'!$B51:$U51,0)&lt;='Strategy Settings'!$B$7),1,0)+IF(AND(RANK.EQ('Momentum Ranks'!N52,'Momentum Ranks'!$B52:$U52,0)&lt;='Strategy Settings'!$B$7,RANK.EQ('Momentum Ranks'!N51,'Momentum Ranks'!$B51:$U51,0)&lt;='Strategy Settings'!$B$7),1,0)+IF(AND(RANK.EQ('Momentum Ranks'!O52,'Momentum Ranks'!$B52:$U52,0)&lt;='Strategy Settings'!$B$7,RANK.EQ('Momentum Ranks'!O51,'Momentum Ranks'!$B51:$U51,0)&lt;='Strategy Settings'!$B$7),1,0)+IF(AND(RANK.EQ('Momentum Ranks'!P52,'Momentum Ranks'!$B52:$U52,0)&lt;='Strategy Settings'!$B$7,RANK.EQ('Momentum Ranks'!P51,'Momentum Ranks'!$B51:$U51,0)&lt;='Strategy Settings'!$B$7),1,0)+IF(AND(RANK.EQ('Momentum Ranks'!Q52,'Momentum Ranks'!$B52:$U52,0)&lt;='Strategy Settings'!$B$7,RANK.EQ('Momentum Ranks'!Q51,'Momentum Ranks'!$B51:$U51,0)&lt;='Strategy Settings'!$B$7),1,0)+IF(AND(RANK.EQ('Momentum Ranks'!R52,'Momentum Ranks'!$B52:$U52,0)&lt;='Strategy Settings'!$B$7,RANK.EQ('Momentum Ranks'!R51,'Momentum Ranks'!$B51:$U51,0)&lt;='Strategy Settings'!$B$7),1,0)+IF(AND(RANK.EQ('Momentum Ranks'!S52,'Momentum Ranks'!$B52:$U52,0)&lt;='Strategy Settings'!$B$7,RANK.EQ('Momentum Ranks'!S51,'Momentum Ranks'!$B51:$U51,0)&lt;='Strategy Settings'!$B$7),1,0)+IF(AND(RANK.EQ('Momentum Ranks'!T52,'Momentum Ranks'!$B52:$U52,0)&lt;='Strategy Settings'!$B$7,RANK.EQ('Momentum Ranks'!T51,'Momentum Ranks'!$B51:$U51,0)&lt;='Strategy Settings'!$B$7),1,0)+IF(AND(RANK.EQ('Momentum Ranks'!U52,'Momentum Ranks'!$B52:$U52,0)&lt;='Strategy Settings'!$B$7,RANK.EQ('Momentum Ranks'!U51,'Momentum Ranks'!$B51:$U51,0)&lt;='Strategy Settings'!$B$7),1,0))/'Strategy Settings'!$B$7</x:f>
        <x:v>0.25</x:v>
      </x:c>
      <x:c r="D52" s="26" t="n">
        <x:f>C52*'Strategy Settings'!$B$9</x:f>
        <x:v>0.00025</x:v>
      </x:c>
      <x:c r="E52" s="26" t="n">
        <x:f>B52-D52</x:f>
        <x:v>-0.042826508436534086</x:v>
      </x:c>
      <x:c r="F52" s="26" t="n">
        <x:f>'Return Data'!V62</x:f>
        <x:v>0.052066683717254696</x:v>
      </x:c>
      <x:c r="G52" s="26" t="n">
        <x:f>E52-F52</x:f>
        <x:v>-0.09489319215378877</x:v>
      </x:c>
      <x:c r="H52" s="28" t="n">
        <x:f>H51*(1+E52)</x:f>
        <x:v>1.606708506062775</x:v>
      </x:c>
      <x:c r="I52" s="28" t="n">
        <x:f>I51*(1+F52)</x:f>
        <x:v>1.5790201030768207</x:v>
      </x:c>
      <x:c r="J52" s="26" t="n">
        <x:f>H52/MAX($H$4:H52)-1</x:f>
        <x:v>-0.13459406433937893</x:v>
      </x:c>
      <x:c r="K52" s="26" t="n">
        <x:f>I52/MAX($I$4:I52)-1</x:f>
        <x:v>0</x:v>
      </x:c>
    </x:row>
    <x:row r="53">
      <x:c r="A53" s="20" t="n">
        <x:f>'Return Data'!A67</x:f>
        <x:v>45626</x:v>
      </x:c>
      <x:c r="B53" s="26" t="n">
        <x:f>(IF(RANK.EQ('Momentum Ranks'!B53,'Momentum Ranks'!$B53:$U53,0)&lt;='Strategy Settings'!$B$7,'Return Data'!B67,0)+IF(RANK.EQ('Momentum Ranks'!C53,'Momentum Ranks'!$B53:$U53,0)&lt;='Strategy Settings'!$B$7,'Return Data'!C67,0)+IF(RANK.EQ('Momentum Ranks'!D53,'Momentum Ranks'!$B53:$U53,0)&lt;='Strategy Settings'!$B$7,'Return Data'!D67,0)+IF(RANK.EQ('Momentum Ranks'!E53,'Momentum Ranks'!$B53:$U53,0)&lt;='Strategy Settings'!$B$7,'Return Data'!E67,0)+IF(RANK.EQ('Momentum Ranks'!F53,'Momentum Ranks'!$B53:$U53,0)&lt;='Strategy Settings'!$B$7,'Return Data'!F67,0)+IF(RANK.EQ('Momentum Ranks'!G53,'Momentum Ranks'!$B53:$U53,0)&lt;='Strategy Settings'!$B$7,'Return Data'!G67,0)+IF(RANK.EQ('Momentum Ranks'!H53,'Momentum Ranks'!$B53:$U53,0)&lt;='Strategy Settings'!$B$7,'Return Data'!H67,0)+IF(RANK.EQ('Momentum Ranks'!I53,'Momentum Ranks'!$B53:$U53,0)&lt;='Strategy Settings'!$B$7,'Return Data'!I67,0)+IF(RANK.EQ('Momentum Ranks'!J53,'Momentum Ranks'!$B53:$U53,0)&lt;='Strategy Settings'!$B$7,'Return Data'!J67,0)+IF(RANK.EQ('Momentum Ranks'!K53,'Momentum Ranks'!$B53:$U53,0)&lt;='Strategy Settings'!$B$7,'Return Data'!K67,0)+IF(RANK.EQ('Momentum Ranks'!L53,'Momentum Ranks'!$B53:$U53,0)&lt;='Strategy Settings'!$B$7,'Return Data'!L67,0)+IF(RANK.EQ('Momentum Ranks'!M53,'Momentum Ranks'!$B53:$U53,0)&lt;='Strategy Settings'!$B$7,'Return Data'!M67,0)+IF(RANK.EQ('Momentum Ranks'!N53,'Momentum Ranks'!$B53:$U53,0)&lt;='Strategy Settings'!$B$7,'Return Data'!N67,0)+IF(RANK.EQ('Momentum Ranks'!O53,'Momentum Ranks'!$B53:$U53,0)&lt;='Strategy Settings'!$B$7,'Return Data'!O67,0)+IF(RANK.EQ('Momentum Ranks'!P53,'Momentum Ranks'!$B53:$U53,0)&lt;='Strategy Settings'!$B$7,'Return Data'!P67,0)+IF(RANK.EQ('Momentum Ranks'!Q53,'Momentum Ranks'!$B53:$U53,0)&lt;='Strategy Settings'!$B$7,'Return Data'!Q67,0)+IF(RANK.EQ('Momentum Ranks'!R53,'Momentum Ranks'!$B53:$U53,0)&lt;='Strategy Settings'!$B$7,'Return Data'!R67,0)+IF(RANK.EQ('Momentum Ranks'!S53,'Momentum Ranks'!$B53:$U53,0)&lt;='Strategy Settings'!$B$7,'Return Data'!S67,0)+IF(RANK.EQ('Momentum Ranks'!T53,'Momentum Ranks'!$B53:$U53,0)&lt;='Strategy Settings'!$B$7,'Return Data'!T67,0)+IF(RANK.EQ('Momentum Ranks'!U53,'Momentum Ranks'!$B53:$U53,0)&lt;='Strategy Settings'!$B$7,'Return Data'!U67,0))/'Strategy Settings'!$B$7</x:f>
        <x:v>0.08514990680694168</x:v>
      </x:c>
      <x:c r="C53" s="26" t="n">
        <x:f>1-(IF(AND(RANK.EQ('Momentum Ranks'!B53,'Momentum Ranks'!$B53:$U53,0)&lt;='Strategy Settings'!$B$7,RANK.EQ('Momentum Ranks'!B52,'Momentum Ranks'!$B52:$U52,0)&lt;='Strategy Settings'!$B$7),1,0)+IF(AND(RANK.EQ('Momentum Ranks'!C53,'Momentum Ranks'!$B53:$U53,0)&lt;='Strategy Settings'!$B$7,RANK.EQ('Momentum Ranks'!C52,'Momentum Ranks'!$B52:$U52,0)&lt;='Strategy Settings'!$B$7),1,0)+IF(AND(RANK.EQ('Momentum Ranks'!D53,'Momentum Ranks'!$B53:$U53,0)&lt;='Strategy Settings'!$B$7,RANK.EQ('Momentum Ranks'!D52,'Momentum Ranks'!$B52:$U52,0)&lt;='Strategy Settings'!$B$7),1,0)+IF(AND(RANK.EQ('Momentum Ranks'!E53,'Momentum Ranks'!$B53:$U53,0)&lt;='Strategy Settings'!$B$7,RANK.EQ('Momentum Ranks'!E52,'Momentum Ranks'!$B52:$U52,0)&lt;='Strategy Settings'!$B$7),1,0)+IF(AND(RANK.EQ('Momentum Ranks'!F53,'Momentum Ranks'!$B53:$U53,0)&lt;='Strategy Settings'!$B$7,RANK.EQ('Momentum Ranks'!F52,'Momentum Ranks'!$B52:$U52,0)&lt;='Strategy Settings'!$B$7),1,0)+IF(AND(RANK.EQ('Momentum Ranks'!G53,'Momentum Ranks'!$B53:$U53,0)&lt;='Strategy Settings'!$B$7,RANK.EQ('Momentum Ranks'!G52,'Momentum Ranks'!$B52:$U52,0)&lt;='Strategy Settings'!$B$7),1,0)+IF(AND(RANK.EQ('Momentum Ranks'!H53,'Momentum Ranks'!$B53:$U53,0)&lt;='Strategy Settings'!$B$7,RANK.EQ('Momentum Ranks'!H52,'Momentum Ranks'!$B52:$U52,0)&lt;='Strategy Settings'!$B$7),1,0)+IF(AND(RANK.EQ('Momentum Ranks'!I53,'Momentum Ranks'!$B53:$U53,0)&lt;='Strategy Settings'!$B$7,RANK.EQ('Momentum Ranks'!I52,'Momentum Ranks'!$B52:$U52,0)&lt;='Strategy Settings'!$B$7),1,0)+IF(AND(RANK.EQ('Momentum Ranks'!J53,'Momentum Ranks'!$B53:$U53,0)&lt;='Strategy Settings'!$B$7,RANK.EQ('Momentum Ranks'!J52,'Momentum Ranks'!$B52:$U52,0)&lt;='Strategy Settings'!$B$7),1,0)+IF(AND(RANK.EQ('Momentum Ranks'!K53,'Momentum Ranks'!$B53:$U53,0)&lt;='Strategy Settings'!$B$7,RANK.EQ('Momentum Ranks'!K52,'Momentum Ranks'!$B52:$U52,0)&lt;='Strategy Settings'!$B$7),1,0)+IF(AND(RANK.EQ('Momentum Ranks'!L53,'Momentum Ranks'!$B53:$U53,0)&lt;='Strategy Settings'!$B$7,RANK.EQ('Momentum Ranks'!L52,'Momentum Ranks'!$B52:$U52,0)&lt;='Strategy Settings'!$B$7),1,0)+IF(AND(RANK.EQ('Momentum Ranks'!M53,'Momentum Ranks'!$B53:$U53,0)&lt;='Strategy Settings'!$B$7,RANK.EQ('Momentum Ranks'!M52,'Momentum Ranks'!$B52:$U52,0)&lt;='Strategy Settings'!$B$7),1,0)+IF(AND(RANK.EQ('Momentum Ranks'!N53,'Momentum Ranks'!$B53:$U53,0)&lt;='Strategy Settings'!$B$7,RANK.EQ('Momentum Ranks'!N52,'Momentum Ranks'!$B52:$U52,0)&lt;='Strategy Settings'!$B$7),1,0)+IF(AND(RANK.EQ('Momentum Ranks'!O53,'Momentum Ranks'!$B53:$U53,0)&lt;='Strategy Settings'!$B$7,RANK.EQ('Momentum Ranks'!O52,'Momentum Ranks'!$B52:$U52,0)&lt;='Strategy Settings'!$B$7),1,0)+IF(AND(RANK.EQ('Momentum Ranks'!P53,'Momentum Ranks'!$B53:$U53,0)&lt;='Strategy Settings'!$B$7,RANK.EQ('Momentum Ranks'!P52,'Momentum Ranks'!$B52:$U52,0)&lt;='Strategy Settings'!$B$7),1,0)+IF(AND(RANK.EQ('Momentum Ranks'!Q53,'Momentum Ranks'!$B53:$U53,0)&lt;='Strategy Settings'!$B$7,RANK.EQ('Momentum Ranks'!Q52,'Momentum Ranks'!$B52:$U52,0)&lt;='Strategy Settings'!$B$7),1,0)+IF(AND(RANK.EQ('Momentum Ranks'!R53,'Momentum Ranks'!$B53:$U53,0)&lt;='Strategy Settings'!$B$7,RANK.EQ('Momentum Ranks'!R52,'Momentum Ranks'!$B52:$U52,0)&lt;='Strategy Settings'!$B$7),1,0)+IF(AND(RANK.EQ('Momentum Ranks'!S53,'Momentum Ranks'!$B53:$U53,0)&lt;='Strategy Settings'!$B$7,RANK.EQ('Momentum Ranks'!S52,'Momentum Ranks'!$B52:$U52,0)&lt;='Strategy Settings'!$B$7),1,0)+IF(AND(RANK.EQ('Momentum Ranks'!T53,'Momentum Ranks'!$B53:$U53,0)&lt;='Strategy Settings'!$B$7,RANK.EQ('Momentum Ranks'!T52,'Momentum Ranks'!$B52:$U52,0)&lt;='Strategy Settings'!$B$7),1,0)+IF(AND(RANK.EQ('Momentum Ranks'!U53,'Momentum Ranks'!$B53:$U53,0)&lt;='Strategy Settings'!$B$7,RANK.EQ('Momentum Ranks'!U52,'Momentum Ranks'!$B52:$U52,0)&lt;='Strategy Settings'!$B$7),1,0))/'Strategy Settings'!$B$7</x:f>
        <x:v>0.25</x:v>
      </x:c>
      <x:c r="D53" s="26" t="n">
        <x:f>C53*'Strategy Settings'!$B$9</x:f>
        <x:v>0.00025</x:v>
      </x:c>
      <x:c r="E53" s="26" t="n">
        <x:f>B53-D53</x:f>
        <x:v>0.08489990680694168</x:v>
      </x:c>
      <x:c r="F53" s="26" t="n">
        <x:f>'Return Data'!V63</x:f>
        <x:v>0.007119488830998366</x:v>
      </x:c>
      <x:c r="G53" s="26" t="n">
        <x:f>E53-F53</x:f>
        <x:v>0.07778041797594332</x:v>
      </x:c>
      <x:c r="H53" s="28" t="n">
        <x:f>H52*(1+E53)</x:f>
        <x:v>1.743117908493425</x:v>
      </x:c>
      <x:c r="I53" s="28" t="n">
        <x:f>I52*(1+F53)</x:f>
        <x:v>1.5902619190645981</x:v>
      </x:c>
      <x:c r="J53" s="26" t="n">
        <x:f>H53/MAX($H$4:H53)-1</x:f>
        <x:v>-0.06112118105161812</x:v>
      </x:c>
      <x:c r="K53" s="26" t="n">
        <x:f>I53/MAX($I$4:I53)-1</x:f>
        <x:v>0</x:v>
      </x:c>
    </x:row>
    <x:row r="54">
      <x:c r="A54" s="20" t="n">
        <x:f>'Return Data'!A68</x:f>
        <x:v>45656</x:v>
      </x:c>
      <x:c r="B54" s="26" t="n">
        <x:f>(IF(RANK.EQ('Momentum Ranks'!B54,'Momentum Ranks'!$B54:$U54,0)&lt;='Strategy Settings'!$B$7,'Return Data'!B68,0)+IF(RANK.EQ('Momentum Ranks'!C54,'Momentum Ranks'!$B54:$U54,0)&lt;='Strategy Settings'!$B$7,'Return Data'!C68,0)+IF(RANK.EQ('Momentum Ranks'!D54,'Momentum Ranks'!$B54:$U54,0)&lt;='Strategy Settings'!$B$7,'Return Data'!D68,0)+IF(RANK.EQ('Momentum Ranks'!E54,'Momentum Ranks'!$B54:$U54,0)&lt;='Strategy Settings'!$B$7,'Return Data'!E68,0)+IF(RANK.EQ('Momentum Ranks'!F54,'Momentum Ranks'!$B54:$U54,0)&lt;='Strategy Settings'!$B$7,'Return Data'!F68,0)+IF(RANK.EQ('Momentum Ranks'!G54,'Momentum Ranks'!$B54:$U54,0)&lt;='Strategy Settings'!$B$7,'Return Data'!G68,0)+IF(RANK.EQ('Momentum Ranks'!H54,'Momentum Ranks'!$B54:$U54,0)&lt;='Strategy Settings'!$B$7,'Return Data'!H68,0)+IF(RANK.EQ('Momentum Ranks'!I54,'Momentum Ranks'!$B54:$U54,0)&lt;='Strategy Settings'!$B$7,'Return Data'!I68,0)+IF(RANK.EQ('Momentum Ranks'!J54,'Momentum Ranks'!$B54:$U54,0)&lt;='Strategy Settings'!$B$7,'Return Data'!J68,0)+IF(RANK.EQ('Momentum Ranks'!K54,'Momentum Ranks'!$B54:$U54,0)&lt;='Strategy Settings'!$B$7,'Return Data'!K68,0)+IF(RANK.EQ('Momentum Ranks'!L54,'Momentum Ranks'!$B54:$U54,0)&lt;='Strategy Settings'!$B$7,'Return Data'!L68,0)+IF(RANK.EQ('Momentum Ranks'!M54,'Momentum Ranks'!$B54:$U54,0)&lt;='Strategy Settings'!$B$7,'Return Data'!M68,0)+IF(RANK.EQ('Momentum Ranks'!N54,'Momentum Ranks'!$B54:$U54,0)&lt;='Strategy Settings'!$B$7,'Return Data'!N68,0)+IF(RANK.EQ('Momentum Ranks'!O54,'Momentum Ranks'!$B54:$U54,0)&lt;='Strategy Settings'!$B$7,'Return Data'!O68,0)+IF(RANK.EQ('Momentum Ranks'!P54,'Momentum Ranks'!$B54:$U54,0)&lt;='Strategy Settings'!$B$7,'Return Data'!P68,0)+IF(RANK.EQ('Momentum Ranks'!Q54,'Momentum Ranks'!$B54:$U54,0)&lt;='Strategy Settings'!$B$7,'Return Data'!Q68,0)+IF(RANK.EQ('Momentum Ranks'!R54,'Momentum Ranks'!$B54:$U54,0)&lt;='Strategy Settings'!$B$7,'Return Data'!R68,0)+IF(RANK.EQ('Momentum Ranks'!S54,'Momentum Ranks'!$B54:$U54,0)&lt;='Strategy Settings'!$B$7,'Return Data'!S68,0)+IF(RANK.EQ('Momentum Ranks'!T54,'Momentum Ranks'!$B54:$U54,0)&lt;='Strategy Settings'!$B$7,'Return Data'!T68,0)+IF(RANK.EQ('Momentum Ranks'!U54,'Momentum Ranks'!$B54:$U54,0)&lt;='Strategy Settings'!$B$7,'Return Data'!U68,0))/'Strategy Settings'!$B$7</x:f>
        <x:v>0.08079558686614692</x:v>
      </x:c>
      <x:c r="C54" s="26" t="n">
        <x:f>1-(IF(AND(RANK.EQ('Momentum Ranks'!B54,'Momentum Ranks'!$B54:$U54,0)&lt;='Strategy Settings'!$B$7,RANK.EQ('Momentum Ranks'!B53,'Momentum Ranks'!$B53:$U53,0)&lt;='Strategy Settings'!$B$7),1,0)+IF(AND(RANK.EQ('Momentum Ranks'!C54,'Momentum Ranks'!$B54:$U54,0)&lt;='Strategy Settings'!$B$7,RANK.EQ('Momentum Ranks'!C53,'Momentum Ranks'!$B53:$U53,0)&lt;='Strategy Settings'!$B$7),1,0)+IF(AND(RANK.EQ('Momentum Ranks'!D54,'Momentum Ranks'!$B54:$U54,0)&lt;='Strategy Settings'!$B$7,RANK.EQ('Momentum Ranks'!D53,'Momentum Ranks'!$B53:$U53,0)&lt;='Strategy Settings'!$B$7),1,0)+IF(AND(RANK.EQ('Momentum Ranks'!E54,'Momentum Ranks'!$B54:$U54,0)&lt;='Strategy Settings'!$B$7,RANK.EQ('Momentum Ranks'!E53,'Momentum Ranks'!$B53:$U53,0)&lt;='Strategy Settings'!$B$7),1,0)+IF(AND(RANK.EQ('Momentum Ranks'!F54,'Momentum Ranks'!$B54:$U54,0)&lt;='Strategy Settings'!$B$7,RANK.EQ('Momentum Ranks'!F53,'Momentum Ranks'!$B53:$U53,0)&lt;='Strategy Settings'!$B$7),1,0)+IF(AND(RANK.EQ('Momentum Ranks'!G54,'Momentum Ranks'!$B54:$U54,0)&lt;='Strategy Settings'!$B$7,RANK.EQ('Momentum Ranks'!G53,'Momentum Ranks'!$B53:$U53,0)&lt;='Strategy Settings'!$B$7),1,0)+IF(AND(RANK.EQ('Momentum Ranks'!H54,'Momentum Ranks'!$B54:$U54,0)&lt;='Strategy Settings'!$B$7,RANK.EQ('Momentum Ranks'!H53,'Momentum Ranks'!$B53:$U53,0)&lt;='Strategy Settings'!$B$7),1,0)+IF(AND(RANK.EQ('Momentum Ranks'!I54,'Momentum Ranks'!$B54:$U54,0)&lt;='Strategy Settings'!$B$7,RANK.EQ('Momentum Ranks'!I53,'Momentum Ranks'!$B53:$U53,0)&lt;='Strategy Settings'!$B$7),1,0)+IF(AND(RANK.EQ('Momentum Ranks'!J54,'Momentum Ranks'!$B54:$U54,0)&lt;='Strategy Settings'!$B$7,RANK.EQ('Momentum Ranks'!J53,'Momentum Ranks'!$B53:$U53,0)&lt;='Strategy Settings'!$B$7),1,0)+IF(AND(RANK.EQ('Momentum Ranks'!K54,'Momentum Ranks'!$B54:$U54,0)&lt;='Strategy Settings'!$B$7,RANK.EQ('Momentum Ranks'!K53,'Momentum Ranks'!$B53:$U53,0)&lt;='Strategy Settings'!$B$7),1,0)+IF(AND(RANK.EQ('Momentum Ranks'!L54,'Momentum Ranks'!$B54:$U54,0)&lt;='Strategy Settings'!$B$7,RANK.EQ('Momentum Ranks'!L53,'Momentum Ranks'!$B53:$U53,0)&lt;='Strategy Settings'!$B$7),1,0)+IF(AND(RANK.EQ('Momentum Ranks'!M54,'Momentum Ranks'!$B54:$U54,0)&lt;='Strategy Settings'!$B$7,RANK.EQ('Momentum Ranks'!M53,'Momentum Ranks'!$B53:$U53,0)&lt;='Strategy Settings'!$B$7),1,0)+IF(AND(RANK.EQ('Momentum Ranks'!N54,'Momentum Ranks'!$B54:$U54,0)&lt;='Strategy Settings'!$B$7,RANK.EQ('Momentum Ranks'!N53,'Momentum Ranks'!$B53:$U53,0)&lt;='Strategy Settings'!$B$7),1,0)+IF(AND(RANK.EQ('Momentum Ranks'!O54,'Momentum Ranks'!$B54:$U54,0)&lt;='Strategy Settings'!$B$7,RANK.EQ('Momentum Ranks'!O53,'Momentum Ranks'!$B53:$U53,0)&lt;='Strategy Settings'!$B$7),1,0)+IF(AND(RANK.EQ('Momentum Ranks'!P54,'Momentum Ranks'!$B54:$U54,0)&lt;='Strategy Settings'!$B$7,RANK.EQ('Momentum Ranks'!P53,'Momentum Ranks'!$B53:$U53,0)&lt;='Strategy Settings'!$B$7),1,0)+IF(AND(RANK.EQ('Momentum Ranks'!Q54,'Momentum Ranks'!$B54:$U54,0)&lt;='Strategy Settings'!$B$7,RANK.EQ('Momentum Ranks'!Q53,'Momentum Ranks'!$B53:$U53,0)&lt;='Strategy Settings'!$B$7),1,0)+IF(AND(RANK.EQ('Momentum Ranks'!R54,'Momentum Ranks'!$B54:$U54,0)&lt;='Strategy Settings'!$B$7,RANK.EQ('Momentum Ranks'!R53,'Momentum Ranks'!$B53:$U53,0)&lt;='Strategy Settings'!$B$7),1,0)+IF(AND(RANK.EQ('Momentum Ranks'!S54,'Momentum Ranks'!$B54:$U54,0)&lt;='Strategy Settings'!$B$7,RANK.EQ('Momentum Ranks'!S53,'Momentum Ranks'!$B53:$U53,0)&lt;='Strategy Settings'!$B$7),1,0)+IF(AND(RANK.EQ('Momentum Ranks'!T54,'Momentum Ranks'!$B54:$U54,0)&lt;='Strategy Settings'!$B$7,RANK.EQ('Momentum Ranks'!T53,'Momentum Ranks'!$B53:$U53,0)&lt;='Strategy Settings'!$B$7),1,0)+IF(AND(RANK.EQ('Momentum Ranks'!U54,'Momentum Ranks'!$B54:$U54,0)&lt;='Strategy Settings'!$B$7,RANK.EQ('Momentum Ranks'!U53,'Momentum Ranks'!$B53:$U53,0)&lt;='Strategy Settings'!$B$7),1,0))/'Strategy Settings'!$B$7</x:f>
        <x:v>0.25</x:v>
      </x:c>
      <x:c r="D54" s="26" t="n">
        <x:f>C54*'Strategy Settings'!$B$9</x:f>
        <x:v>0.00025</x:v>
      </x:c>
      <x:c r="E54" s="26" t="n">
        <x:f>B54-D54</x:f>
        <x:v>0.08054558686614692</x:v>
      </x:c>
      <x:c r="F54" s="26" t="n">
        <x:f>'Return Data'!V64</x:f>
        <x:v>-0.011597838626480882</x:v>
      </x:c>
      <x:c r="G54" s="26" t="n">
        <x:f>E54-F54</x:f>
        <x:v>0.0921434254926278</x:v>
      </x:c>
      <x:c r="H54" s="28" t="n">
        <x:f>H53*(1+E54)</x:f>
        <x:v>1.8835183634099184</x:v>
      </x:c>
      <x:c r="I54" s="28" t="n">
        <x:f>I53*(1+F54)</x:f>
        <x:v>1.571818317953449</x:v>
      </x:c>
      <x:c r="J54" s="26" t="n">
        <x:f>H54/MAX($H$4:H54)-1</x:f>
        <x:v>0</x:v>
      </x:c>
      <x:c r="K54" s="26" t="n">
        <x:f>I54/MAX($I$4:I54)-1</x:f>
        <x:v>-0.011597838626480894</x:v>
      </x:c>
    </x:row>
    <x:row r="55">
      <x:c r="A55" s="20" t="n">
        <x:f>'Return Data'!A69</x:f>
        <x:v>45687</x:v>
      </x:c>
      <x:c r="B55" s="26" t="n">
        <x:f>(IF(RANK.EQ('Momentum Ranks'!B55,'Momentum Ranks'!$B55:$U55,0)&lt;='Strategy Settings'!$B$7,'Return Data'!B69,0)+IF(RANK.EQ('Momentum Ranks'!C55,'Momentum Ranks'!$B55:$U55,0)&lt;='Strategy Settings'!$B$7,'Return Data'!C69,0)+IF(RANK.EQ('Momentum Ranks'!D55,'Momentum Ranks'!$B55:$U55,0)&lt;='Strategy Settings'!$B$7,'Return Data'!D69,0)+IF(RANK.EQ('Momentum Ranks'!E55,'Momentum Ranks'!$B55:$U55,0)&lt;='Strategy Settings'!$B$7,'Return Data'!E69,0)+IF(RANK.EQ('Momentum Ranks'!F55,'Momentum Ranks'!$B55:$U55,0)&lt;='Strategy Settings'!$B$7,'Return Data'!F69,0)+IF(RANK.EQ('Momentum Ranks'!G55,'Momentum Ranks'!$B55:$U55,0)&lt;='Strategy Settings'!$B$7,'Return Data'!G69,0)+IF(RANK.EQ('Momentum Ranks'!H55,'Momentum Ranks'!$B55:$U55,0)&lt;='Strategy Settings'!$B$7,'Return Data'!H69,0)+IF(RANK.EQ('Momentum Ranks'!I55,'Momentum Ranks'!$B55:$U55,0)&lt;='Strategy Settings'!$B$7,'Return Data'!I69,0)+IF(RANK.EQ('Momentum Ranks'!J55,'Momentum Ranks'!$B55:$U55,0)&lt;='Strategy Settings'!$B$7,'Return Data'!J69,0)+IF(RANK.EQ('Momentum Ranks'!K55,'Momentum Ranks'!$B55:$U55,0)&lt;='Strategy Settings'!$B$7,'Return Data'!K69,0)+IF(RANK.EQ('Momentum Ranks'!L55,'Momentum Ranks'!$B55:$U55,0)&lt;='Strategy Settings'!$B$7,'Return Data'!L69,0)+IF(RANK.EQ('Momentum Ranks'!M55,'Momentum Ranks'!$B55:$U55,0)&lt;='Strategy Settings'!$B$7,'Return Data'!M69,0)+IF(RANK.EQ('Momentum Ranks'!N55,'Momentum Ranks'!$B55:$U55,0)&lt;='Strategy Settings'!$B$7,'Return Data'!N69,0)+IF(RANK.EQ('Momentum Ranks'!O55,'Momentum Ranks'!$B55:$U55,0)&lt;='Strategy Settings'!$B$7,'Return Data'!O69,0)+IF(RANK.EQ('Momentum Ranks'!P55,'Momentum Ranks'!$B55:$U55,0)&lt;='Strategy Settings'!$B$7,'Return Data'!P69,0)+IF(RANK.EQ('Momentum Ranks'!Q55,'Momentum Ranks'!$B55:$U55,0)&lt;='Strategy Settings'!$B$7,'Return Data'!Q69,0)+IF(RANK.EQ('Momentum Ranks'!R55,'Momentum Ranks'!$B55:$U55,0)&lt;='Strategy Settings'!$B$7,'Return Data'!R69,0)+IF(RANK.EQ('Momentum Ranks'!S55,'Momentum Ranks'!$B55:$U55,0)&lt;='Strategy Settings'!$B$7,'Return Data'!S69,0)+IF(RANK.EQ('Momentum Ranks'!T55,'Momentum Ranks'!$B55:$U55,0)&lt;='Strategy Settings'!$B$7,'Return Data'!T69,0)+IF(RANK.EQ('Momentum Ranks'!U55,'Momentum Ranks'!$B55:$U55,0)&lt;='Strategy Settings'!$B$7,'Return Data'!U69,0))/'Strategy Settings'!$B$7</x:f>
        <x:v>0.0034123901940107722</x:v>
      </x:c>
      <x:c r="C55" s="26" t="n">
        <x:f>1-(IF(AND(RANK.EQ('Momentum Ranks'!B55,'Momentum Ranks'!$B55:$U55,0)&lt;='Strategy Settings'!$B$7,RANK.EQ('Momentum Ranks'!B54,'Momentum Ranks'!$B54:$U54,0)&lt;='Strategy Settings'!$B$7),1,0)+IF(AND(RANK.EQ('Momentum Ranks'!C55,'Momentum Ranks'!$B55:$U55,0)&lt;='Strategy Settings'!$B$7,RANK.EQ('Momentum Ranks'!C54,'Momentum Ranks'!$B54:$U54,0)&lt;='Strategy Settings'!$B$7),1,0)+IF(AND(RANK.EQ('Momentum Ranks'!D55,'Momentum Ranks'!$B55:$U55,0)&lt;='Strategy Settings'!$B$7,RANK.EQ('Momentum Ranks'!D54,'Momentum Ranks'!$B54:$U54,0)&lt;='Strategy Settings'!$B$7),1,0)+IF(AND(RANK.EQ('Momentum Ranks'!E55,'Momentum Ranks'!$B55:$U55,0)&lt;='Strategy Settings'!$B$7,RANK.EQ('Momentum Ranks'!E54,'Momentum Ranks'!$B54:$U54,0)&lt;='Strategy Settings'!$B$7),1,0)+IF(AND(RANK.EQ('Momentum Ranks'!F55,'Momentum Ranks'!$B55:$U55,0)&lt;='Strategy Settings'!$B$7,RANK.EQ('Momentum Ranks'!F54,'Momentum Ranks'!$B54:$U54,0)&lt;='Strategy Settings'!$B$7),1,0)+IF(AND(RANK.EQ('Momentum Ranks'!G55,'Momentum Ranks'!$B55:$U55,0)&lt;='Strategy Settings'!$B$7,RANK.EQ('Momentum Ranks'!G54,'Momentum Ranks'!$B54:$U54,0)&lt;='Strategy Settings'!$B$7),1,0)+IF(AND(RANK.EQ('Momentum Ranks'!H55,'Momentum Ranks'!$B55:$U55,0)&lt;='Strategy Settings'!$B$7,RANK.EQ('Momentum Ranks'!H54,'Momentum Ranks'!$B54:$U54,0)&lt;='Strategy Settings'!$B$7),1,0)+IF(AND(RANK.EQ('Momentum Ranks'!I55,'Momentum Ranks'!$B55:$U55,0)&lt;='Strategy Settings'!$B$7,RANK.EQ('Momentum Ranks'!I54,'Momentum Ranks'!$B54:$U54,0)&lt;='Strategy Settings'!$B$7),1,0)+IF(AND(RANK.EQ('Momentum Ranks'!J55,'Momentum Ranks'!$B55:$U55,0)&lt;='Strategy Settings'!$B$7,RANK.EQ('Momentum Ranks'!J54,'Momentum Ranks'!$B54:$U54,0)&lt;='Strategy Settings'!$B$7),1,0)+IF(AND(RANK.EQ('Momentum Ranks'!K55,'Momentum Ranks'!$B55:$U55,0)&lt;='Strategy Settings'!$B$7,RANK.EQ('Momentum Ranks'!K54,'Momentum Ranks'!$B54:$U54,0)&lt;='Strategy Settings'!$B$7),1,0)+IF(AND(RANK.EQ('Momentum Ranks'!L55,'Momentum Ranks'!$B55:$U55,0)&lt;='Strategy Settings'!$B$7,RANK.EQ('Momentum Ranks'!L54,'Momentum Ranks'!$B54:$U54,0)&lt;='Strategy Settings'!$B$7),1,0)+IF(AND(RANK.EQ('Momentum Ranks'!M55,'Momentum Ranks'!$B55:$U55,0)&lt;='Strategy Settings'!$B$7,RANK.EQ('Momentum Ranks'!M54,'Momentum Ranks'!$B54:$U54,0)&lt;='Strategy Settings'!$B$7),1,0)+IF(AND(RANK.EQ('Momentum Ranks'!N55,'Momentum Ranks'!$B55:$U55,0)&lt;='Strategy Settings'!$B$7,RANK.EQ('Momentum Ranks'!N54,'Momentum Ranks'!$B54:$U54,0)&lt;='Strategy Settings'!$B$7),1,0)+IF(AND(RANK.EQ('Momentum Ranks'!O55,'Momentum Ranks'!$B55:$U55,0)&lt;='Strategy Settings'!$B$7,RANK.EQ('Momentum Ranks'!O54,'Momentum Ranks'!$B54:$U54,0)&lt;='Strategy Settings'!$B$7),1,0)+IF(AND(RANK.EQ('Momentum Ranks'!P55,'Momentum Ranks'!$B55:$U55,0)&lt;='Strategy Settings'!$B$7,RANK.EQ('Momentum Ranks'!P54,'Momentum Ranks'!$B54:$U54,0)&lt;='Strategy Settings'!$B$7),1,0)+IF(AND(RANK.EQ('Momentum Ranks'!Q55,'Momentum Ranks'!$B55:$U55,0)&lt;='Strategy Settings'!$B$7,RANK.EQ('Momentum Ranks'!Q54,'Momentum Ranks'!$B54:$U54,0)&lt;='Strategy Settings'!$B$7),1,0)+IF(AND(RANK.EQ('Momentum Ranks'!R55,'Momentum Ranks'!$B55:$U55,0)&lt;='Strategy Settings'!$B$7,RANK.EQ('Momentum Ranks'!R54,'Momentum Ranks'!$B54:$U54,0)&lt;='Strategy Settings'!$B$7),1,0)+IF(AND(RANK.EQ('Momentum Ranks'!S55,'Momentum Ranks'!$B55:$U55,0)&lt;='Strategy Settings'!$B$7,RANK.EQ('Momentum Ranks'!S54,'Momentum Ranks'!$B54:$U54,0)&lt;='Strategy Settings'!$B$7),1,0)+IF(AND(RANK.EQ('Momentum Ranks'!T55,'Momentum Ranks'!$B55:$U55,0)&lt;='Strategy Settings'!$B$7,RANK.EQ('Momentum Ranks'!T54,'Momentum Ranks'!$B54:$U54,0)&lt;='Strategy Settings'!$B$7),1,0)+IF(AND(RANK.EQ('Momentum Ranks'!U55,'Momentum Ranks'!$B55:$U55,0)&lt;='Strategy Settings'!$B$7,RANK.EQ('Momentum Ranks'!U54,'Momentum Ranks'!$B54:$U54,0)&lt;='Strategy Settings'!$B$7),1,0))/'Strategy Settings'!$B$7</x:f>
        <x:v>0.5</x:v>
      </x:c>
      <x:c r="D55" s="26" t="n">
        <x:f>C55*'Strategy Settings'!$B$9</x:f>
        <x:v>0.0005</x:v>
      </x:c>
      <x:c r="E55" s="26" t="n">
        <x:f>B55-D55</x:f>
        <x:v>0.0029123901940107722</x:v>
      </x:c>
      <x:c r="F55" s="26" t="n">
        <x:f>'Return Data'!V65</x:f>
        <x:v>-0.05382909558681906</x:v>
      </x:c>
      <x:c r="G55" s="26" t="n">
        <x:f>E55-F55</x:f>
        <x:v>0.05674148578082983</x:v>
      </x:c>
      <x:c r="H55" s="28" t="n">
        <x:f>H54*(1+E55)</x:f>
        <x:v>1.8890039038217525</x:v>
      </x:c>
      <x:c r="I55" s="28" t="n">
        <x:f>I54*(1+F55)</x:f>
        <x:v>1.4872087594712198</x:v>
      </x:c>
      <x:c r="J55" s="26" t="n">
        <x:f>H55/MAX($H$4:H55)-1</x:f>
        <x:v>0</x:v>
      </x:c>
      <x:c r="K55" s="26" t="n">
        <x:f>I55/MAX($I$4:I55)-1</x:f>
        <x:v>-0.06480263304927458</x:v>
      </x:c>
    </x:row>
    <x:row r="56">
      <x:c r="A56" s="20" t="n">
        <x:f>'Return Data'!A70</x:f>
        <x:v>45716</x:v>
      </x:c>
      <x:c r="B56" s="26" t="n">
        <x:f>(IF(RANK.EQ('Momentum Ranks'!B56,'Momentum Ranks'!$B56:$U56,0)&lt;='Strategy Settings'!$B$7,'Return Data'!B70,0)+IF(RANK.EQ('Momentum Ranks'!C56,'Momentum Ranks'!$B56:$U56,0)&lt;='Strategy Settings'!$B$7,'Return Data'!C70,0)+IF(RANK.EQ('Momentum Ranks'!D56,'Momentum Ranks'!$B56:$U56,0)&lt;='Strategy Settings'!$B$7,'Return Data'!D70,0)+IF(RANK.EQ('Momentum Ranks'!E56,'Momentum Ranks'!$B56:$U56,0)&lt;='Strategy Settings'!$B$7,'Return Data'!E70,0)+IF(RANK.EQ('Momentum Ranks'!F56,'Momentum Ranks'!$B56:$U56,0)&lt;='Strategy Settings'!$B$7,'Return Data'!F70,0)+IF(RANK.EQ('Momentum Ranks'!G56,'Momentum Ranks'!$B56:$U56,0)&lt;='Strategy Settings'!$B$7,'Return Data'!G70,0)+IF(RANK.EQ('Momentum Ranks'!H56,'Momentum Ranks'!$B56:$U56,0)&lt;='Strategy Settings'!$B$7,'Return Data'!H70,0)+IF(RANK.EQ('Momentum Ranks'!I56,'Momentum Ranks'!$B56:$U56,0)&lt;='Strategy Settings'!$B$7,'Return Data'!I70,0)+IF(RANK.EQ('Momentum Ranks'!J56,'Momentum Ranks'!$B56:$U56,0)&lt;='Strategy Settings'!$B$7,'Return Data'!J70,0)+IF(RANK.EQ('Momentum Ranks'!K56,'Momentum Ranks'!$B56:$U56,0)&lt;='Strategy Settings'!$B$7,'Return Data'!K70,0)+IF(RANK.EQ('Momentum Ranks'!L56,'Momentum Ranks'!$B56:$U56,0)&lt;='Strategy Settings'!$B$7,'Return Data'!L70,0)+IF(RANK.EQ('Momentum Ranks'!M56,'Momentum Ranks'!$B56:$U56,0)&lt;='Strategy Settings'!$B$7,'Return Data'!M70,0)+IF(RANK.EQ('Momentum Ranks'!N56,'Momentum Ranks'!$B56:$U56,0)&lt;='Strategy Settings'!$B$7,'Return Data'!N70,0)+IF(RANK.EQ('Momentum Ranks'!O56,'Momentum Ranks'!$B56:$U56,0)&lt;='Strategy Settings'!$B$7,'Return Data'!O70,0)+IF(RANK.EQ('Momentum Ranks'!P56,'Momentum Ranks'!$B56:$U56,0)&lt;='Strategy Settings'!$B$7,'Return Data'!P70,0)+IF(RANK.EQ('Momentum Ranks'!Q56,'Momentum Ranks'!$B56:$U56,0)&lt;='Strategy Settings'!$B$7,'Return Data'!Q70,0)+IF(RANK.EQ('Momentum Ranks'!R56,'Momentum Ranks'!$B56:$U56,0)&lt;='Strategy Settings'!$B$7,'Return Data'!R70,0)+IF(RANK.EQ('Momentum Ranks'!S56,'Momentum Ranks'!$B56:$U56,0)&lt;='Strategy Settings'!$B$7,'Return Data'!S70,0)+IF(RANK.EQ('Momentum Ranks'!T56,'Momentum Ranks'!$B56:$U56,0)&lt;='Strategy Settings'!$B$7,'Return Data'!T70,0)+IF(RANK.EQ('Momentum Ranks'!U56,'Momentum Ranks'!$B56:$U56,0)&lt;='Strategy Settings'!$B$7,'Return Data'!U70,0))/'Strategy Settings'!$B$7</x:f>
        <x:v>0.022893493717089694</x:v>
      </x:c>
      <x:c r="C56" s="26" t="n">
        <x:f>1-(IF(AND(RANK.EQ('Momentum Ranks'!B56,'Momentum Ranks'!$B56:$U56,0)&lt;='Strategy Settings'!$B$7,RANK.EQ('Momentum Ranks'!B55,'Momentum Ranks'!$B55:$U55,0)&lt;='Strategy Settings'!$B$7),1,0)+IF(AND(RANK.EQ('Momentum Ranks'!C56,'Momentum Ranks'!$B56:$U56,0)&lt;='Strategy Settings'!$B$7,RANK.EQ('Momentum Ranks'!C55,'Momentum Ranks'!$B55:$U55,0)&lt;='Strategy Settings'!$B$7),1,0)+IF(AND(RANK.EQ('Momentum Ranks'!D56,'Momentum Ranks'!$B56:$U56,0)&lt;='Strategy Settings'!$B$7,RANK.EQ('Momentum Ranks'!D55,'Momentum Ranks'!$B55:$U55,0)&lt;='Strategy Settings'!$B$7),1,0)+IF(AND(RANK.EQ('Momentum Ranks'!E56,'Momentum Ranks'!$B56:$U56,0)&lt;='Strategy Settings'!$B$7,RANK.EQ('Momentum Ranks'!E55,'Momentum Ranks'!$B55:$U55,0)&lt;='Strategy Settings'!$B$7),1,0)+IF(AND(RANK.EQ('Momentum Ranks'!F56,'Momentum Ranks'!$B56:$U56,0)&lt;='Strategy Settings'!$B$7,RANK.EQ('Momentum Ranks'!F55,'Momentum Ranks'!$B55:$U55,0)&lt;='Strategy Settings'!$B$7),1,0)+IF(AND(RANK.EQ('Momentum Ranks'!G56,'Momentum Ranks'!$B56:$U56,0)&lt;='Strategy Settings'!$B$7,RANK.EQ('Momentum Ranks'!G55,'Momentum Ranks'!$B55:$U55,0)&lt;='Strategy Settings'!$B$7),1,0)+IF(AND(RANK.EQ('Momentum Ranks'!H56,'Momentum Ranks'!$B56:$U56,0)&lt;='Strategy Settings'!$B$7,RANK.EQ('Momentum Ranks'!H55,'Momentum Ranks'!$B55:$U55,0)&lt;='Strategy Settings'!$B$7),1,0)+IF(AND(RANK.EQ('Momentum Ranks'!I56,'Momentum Ranks'!$B56:$U56,0)&lt;='Strategy Settings'!$B$7,RANK.EQ('Momentum Ranks'!I55,'Momentum Ranks'!$B55:$U55,0)&lt;='Strategy Settings'!$B$7),1,0)+IF(AND(RANK.EQ('Momentum Ranks'!J56,'Momentum Ranks'!$B56:$U56,0)&lt;='Strategy Settings'!$B$7,RANK.EQ('Momentum Ranks'!J55,'Momentum Ranks'!$B55:$U55,0)&lt;='Strategy Settings'!$B$7),1,0)+IF(AND(RANK.EQ('Momentum Ranks'!K56,'Momentum Ranks'!$B56:$U56,0)&lt;='Strategy Settings'!$B$7,RANK.EQ('Momentum Ranks'!K55,'Momentum Ranks'!$B55:$U55,0)&lt;='Strategy Settings'!$B$7),1,0)+IF(AND(RANK.EQ('Momentum Ranks'!L56,'Momentum Ranks'!$B56:$U56,0)&lt;='Strategy Settings'!$B$7,RANK.EQ('Momentum Ranks'!L55,'Momentum Ranks'!$B55:$U55,0)&lt;='Strategy Settings'!$B$7),1,0)+IF(AND(RANK.EQ('Momentum Ranks'!M56,'Momentum Ranks'!$B56:$U56,0)&lt;='Strategy Settings'!$B$7,RANK.EQ('Momentum Ranks'!M55,'Momentum Ranks'!$B55:$U55,0)&lt;='Strategy Settings'!$B$7),1,0)+IF(AND(RANK.EQ('Momentum Ranks'!N56,'Momentum Ranks'!$B56:$U56,0)&lt;='Strategy Settings'!$B$7,RANK.EQ('Momentum Ranks'!N55,'Momentum Ranks'!$B55:$U55,0)&lt;='Strategy Settings'!$B$7),1,0)+IF(AND(RANK.EQ('Momentum Ranks'!O56,'Momentum Ranks'!$B56:$U56,0)&lt;='Strategy Settings'!$B$7,RANK.EQ('Momentum Ranks'!O55,'Momentum Ranks'!$B55:$U55,0)&lt;='Strategy Settings'!$B$7),1,0)+IF(AND(RANK.EQ('Momentum Ranks'!P56,'Momentum Ranks'!$B56:$U56,0)&lt;='Strategy Settings'!$B$7,RANK.EQ('Momentum Ranks'!P55,'Momentum Ranks'!$B55:$U55,0)&lt;='Strategy Settings'!$B$7),1,0)+IF(AND(RANK.EQ('Momentum Ranks'!Q56,'Momentum Ranks'!$B56:$U56,0)&lt;='Strategy Settings'!$B$7,RANK.EQ('Momentum Ranks'!Q55,'Momentum Ranks'!$B55:$U55,0)&lt;='Strategy Settings'!$B$7),1,0)+IF(AND(RANK.EQ('Momentum Ranks'!R56,'Momentum Ranks'!$B56:$U56,0)&lt;='Strategy Settings'!$B$7,RANK.EQ('Momentum Ranks'!R55,'Momentum Ranks'!$B55:$U55,0)&lt;='Strategy Settings'!$B$7),1,0)+IF(AND(RANK.EQ('Momentum Ranks'!S56,'Momentum Ranks'!$B56:$U56,0)&lt;='Strategy Settings'!$B$7,RANK.EQ('Momentum Ranks'!S55,'Momentum Ranks'!$B55:$U55,0)&lt;='Strategy Settings'!$B$7),1,0)+IF(AND(RANK.EQ('Momentum Ranks'!T56,'Momentum Ranks'!$B56:$U56,0)&lt;='Strategy Settings'!$B$7,RANK.EQ('Momentum Ranks'!T55,'Momentum Ranks'!$B55:$U55,0)&lt;='Strategy Settings'!$B$7),1,0)+IF(AND(RANK.EQ('Momentum Ranks'!U56,'Momentum Ranks'!$B56:$U56,0)&lt;='Strategy Settings'!$B$7,RANK.EQ('Momentum Ranks'!U55,'Momentum Ranks'!$B55:$U55,0)&lt;='Strategy Settings'!$B$7),1,0))/'Strategy Settings'!$B$7</x:f>
        <x:v>0.25</x:v>
      </x:c>
      <x:c r="D56" s="26" t="n">
        <x:f>C56*'Strategy Settings'!$B$9</x:f>
        <x:v>0.00025</x:v>
      </x:c>
      <x:c r="E56" s="26" t="n">
        <x:f>B56-D56</x:f>
        <x:v>0.022643493717089694</x:v>
      </x:c>
      <x:c r="F56" s="26" t="n">
        <x:f>'Return Data'!V66</x:f>
        <x:v>-0.05110949569515116</x:v>
      </x:c>
      <x:c r="G56" s="26" t="n">
        <x:f>E56-F56</x:f>
        <x:v>0.07375298941224084</x:v>
      </x:c>
      <x:c r="H56" s="28" t="n">
        <x:f>H55*(1+E56)</x:f>
        <x:v>1.9317775518494982</x:v>
      </x:c>
      <x:c r="I56" s="28" t="n">
        <x:f>I55*(1+F56)</x:f>
        <x:v>1.4111982697812344</x:v>
      </x:c>
      <x:c r="J56" s="26" t="n">
        <x:f>H56/MAX($H$4:H56)-1</x:f>
        <x:v>0</x:v>
      </x:c>
      <x:c r="K56" s="26" t="n">
        <x:f>I56/MAX($I$4:I56)-1</x:f>
        <x:v>-0.11260009884955935</x:v>
      </x:c>
    </x:row>
    <x:row r="57">
      <x:c r="A57" s="20" t="n">
        <x:f>'Return Data'!A71</x:f>
        <x:v>45746</x:v>
      </x:c>
      <x:c r="B57" s="26" t="n">
        <x:f>(IF(RANK.EQ('Momentum Ranks'!B57,'Momentum Ranks'!$B57:$U57,0)&lt;='Strategy Settings'!$B$7,'Return Data'!B71,0)+IF(RANK.EQ('Momentum Ranks'!C57,'Momentum Ranks'!$B57:$U57,0)&lt;='Strategy Settings'!$B$7,'Return Data'!C71,0)+IF(RANK.EQ('Momentum Ranks'!D57,'Momentum Ranks'!$B57:$U57,0)&lt;='Strategy Settings'!$B$7,'Return Data'!D71,0)+IF(RANK.EQ('Momentum Ranks'!E57,'Momentum Ranks'!$B57:$U57,0)&lt;='Strategy Settings'!$B$7,'Return Data'!E71,0)+IF(RANK.EQ('Momentum Ranks'!F57,'Momentum Ranks'!$B57:$U57,0)&lt;='Strategy Settings'!$B$7,'Return Data'!F71,0)+IF(RANK.EQ('Momentum Ranks'!G57,'Momentum Ranks'!$B57:$U57,0)&lt;='Strategy Settings'!$B$7,'Return Data'!G71,0)+IF(RANK.EQ('Momentum Ranks'!H57,'Momentum Ranks'!$B57:$U57,0)&lt;='Strategy Settings'!$B$7,'Return Data'!H71,0)+IF(RANK.EQ('Momentum Ranks'!I57,'Momentum Ranks'!$B57:$U57,0)&lt;='Strategy Settings'!$B$7,'Return Data'!I71,0)+IF(RANK.EQ('Momentum Ranks'!J57,'Momentum Ranks'!$B57:$U57,0)&lt;='Strategy Settings'!$B$7,'Return Data'!J71,0)+IF(RANK.EQ('Momentum Ranks'!K57,'Momentum Ranks'!$B57:$U57,0)&lt;='Strategy Settings'!$B$7,'Return Data'!K71,0)+IF(RANK.EQ('Momentum Ranks'!L57,'Momentum Ranks'!$B57:$U57,0)&lt;='Strategy Settings'!$B$7,'Return Data'!L71,0)+IF(RANK.EQ('Momentum Ranks'!M57,'Momentum Ranks'!$B57:$U57,0)&lt;='Strategy Settings'!$B$7,'Return Data'!M71,0)+IF(RANK.EQ('Momentum Ranks'!N57,'Momentum Ranks'!$B57:$U57,0)&lt;='Strategy Settings'!$B$7,'Return Data'!N71,0)+IF(RANK.EQ('Momentum Ranks'!O57,'Momentum Ranks'!$B57:$U57,0)&lt;='Strategy Settings'!$B$7,'Return Data'!O71,0)+IF(RANK.EQ('Momentum Ranks'!P57,'Momentum Ranks'!$B57:$U57,0)&lt;='Strategy Settings'!$B$7,'Return Data'!P71,0)+IF(RANK.EQ('Momentum Ranks'!Q57,'Momentum Ranks'!$B57:$U57,0)&lt;='Strategy Settings'!$B$7,'Return Data'!Q71,0)+IF(RANK.EQ('Momentum Ranks'!R57,'Momentum Ranks'!$B57:$U57,0)&lt;='Strategy Settings'!$B$7,'Return Data'!R71,0)+IF(RANK.EQ('Momentum Ranks'!S57,'Momentum Ranks'!$B57:$U57,0)&lt;='Strategy Settings'!$B$7,'Return Data'!S71,0)+IF(RANK.EQ('Momentum Ranks'!T57,'Momentum Ranks'!$B57:$U57,0)&lt;='Strategy Settings'!$B$7,'Return Data'!T71,0)+IF(RANK.EQ('Momentum Ranks'!U57,'Momentum Ranks'!$B57:$U57,0)&lt;='Strategy Settings'!$B$7,'Return Data'!U71,0))/'Strategy Settings'!$B$7</x:f>
        <x:v>-0.057652051535341635</x:v>
      </x:c>
      <x:c r="C57" s="26" t="n">
        <x:f>1-(IF(AND(RANK.EQ('Momentum Ranks'!B57,'Momentum Ranks'!$B57:$U57,0)&lt;='Strategy Settings'!$B$7,RANK.EQ('Momentum Ranks'!B56,'Momentum Ranks'!$B56:$U56,0)&lt;='Strategy Settings'!$B$7),1,0)+IF(AND(RANK.EQ('Momentum Ranks'!C57,'Momentum Ranks'!$B57:$U57,0)&lt;='Strategy Settings'!$B$7,RANK.EQ('Momentum Ranks'!C56,'Momentum Ranks'!$B56:$U56,0)&lt;='Strategy Settings'!$B$7),1,0)+IF(AND(RANK.EQ('Momentum Ranks'!D57,'Momentum Ranks'!$B57:$U57,0)&lt;='Strategy Settings'!$B$7,RANK.EQ('Momentum Ranks'!D56,'Momentum Ranks'!$B56:$U56,0)&lt;='Strategy Settings'!$B$7),1,0)+IF(AND(RANK.EQ('Momentum Ranks'!E57,'Momentum Ranks'!$B57:$U57,0)&lt;='Strategy Settings'!$B$7,RANK.EQ('Momentum Ranks'!E56,'Momentum Ranks'!$B56:$U56,0)&lt;='Strategy Settings'!$B$7),1,0)+IF(AND(RANK.EQ('Momentum Ranks'!F57,'Momentum Ranks'!$B57:$U57,0)&lt;='Strategy Settings'!$B$7,RANK.EQ('Momentum Ranks'!F56,'Momentum Ranks'!$B56:$U56,0)&lt;='Strategy Settings'!$B$7),1,0)+IF(AND(RANK.EQ('Momentum Ranks'!G57,'Momentum Ranks'!$B57:$U57,0)&lt;='Strategy Settings'!$B$7,RANK.EQ('Momentum Ranks'!G56,'Momentum Ranks'!$B56:$U56,0)&lt;='Strategy Settings'!$B$7),1,0)+IF(AND(RANK.EQ('Momentum Ranks'!H57,'Momentum Ranks'!$B57:$U57,0)&lt;='Strategy Settings'!$B$7,RANK.EQ('Momentum Ranks'!H56,'Momentum Ranks'!$B56:$U56,0)&lt;='Strategy Settings'!$B$7),1,0)+IF(AND(RANK.EQ('Momentum Ranks'!I57,'Momentum Ranks'!$B57:$U57,0)&lt;='Strategy Settings'!$B$7,RANK.EQ('Momentum Ranks'!I56,'Momentum Ranks'!$B56:$U56,0)&lt;='Strategy Settings'!$B$7),1,0)+IF(AND(RANK.EQ('Momentum Ranks'!J57,'Momentum Ranks'!$B57:$U57,0)&lt;='Strategy Settings'!$B$7,RANK.EQ('Momentum Ranks'!J56,'Momentum Ranks'!$B56:$U56,0)&lt;='Strategy Settings'!$B$7),1,0)+IF(AND(RANK.EQ('Momentum Ranks'!K57,'Momentum Ranks'!$B57:$U57,0)&lt;='Strategy Settings'!$B$7,RANK.EQ('Momentum Ranks'!K56,'Momentum Ranks'!$B56:$U56,0)&lt;='Strategy Settings'!$B$7),1,0)+IF(AND(RANK.EQ('Momentum Ranks'!L57,'Momentum Ranks'!$B57:$U57,0)&lt;='Strategy Settings'!$B$7,RANK.EQ('Momentum Ranks'!L56,'Momentum Ranks'!$B56:$U56,0)&lt;='Strategy Settings'!$B$7),1,0)+IF(AND(RANK.EQ('Momentum Ranks'!M57,'Momentum Ranks'!$B57:$U57,0)&lt;='Strategy Settings'!$B$7,RANK.EQ('Momentum Ranks'!M56,'Momentum Ranks'!$B56:$U56,0)&lt;='Strategy Settings'!$B$7),1,0)+IF(AND(RANK.EQ('Momentum Ranks'!N57,'Momentum Ranks'!$B57:$U57,0)&lt;='Strategy Settings'!$B$7,RANK.EQ('Momentum Ranks'!N56,'Momentum Ranks'!$B56:$U56,0)&lt;='Strategy Settings'!$B$7),1,0)+IF(AND(RANK.EQ('Momentum Ranks'!O57,'Momentum Ranks'!$B57:$U57,0)&lt;='Strategy Settings'!$B$7,RANK.EQ('Momentum Ranks'!O56,'Momentum Ranks'!$B56:$U56,0)&lt;='Strategy Settings'!$B$7),1,0)+IF(AND(RANK.EQ('Momentum Ranks'!P57,'Momentum Ranks'!$B57:$U57,0)&lt;='Strategy Settings'!$B$7,RANK.EQ('Momentum Ranks'!P56,'Momentum Ranks'!$B56:$U56,0)&lt;='Strategy Settings'!$B$7),1,0)+IF(AND(RANK.EQ('Momentum Ranks'!Q57,'Momentum Ranks'!$B57:$U57,0)&lt;='Strategy Settings'!$B$7,RANK.EQ('Momentum Ranks'!Q56,'Momentum Ranks'!$B56:$U56,0)&lt;='Strategy Settings'!$B$7),1,0)+IF(AND(RANK.EQ('Momentum Ranks'!R57,'Momentum Ranks'!$B57:$U57,0)&lt;='Strategy Settings'!$B$7,RANK.EQ('Momentum Ranks'!R56,'Momentum Ranks'!$B56:$U56,0)&lt;='Strategy Settings'!$B$7),1,0)+IF(AND(RANK.EQ('Momentum Ranks'!S57,'Momentum Ranks'!$B57:$U57,0)&lt;='Strategy Settings'!$B$7,RANK.EQ('Momentum Ranks'!S56,'Momentum Ranks'!$B56:$U56,0)&lt;='Strategy Settings'!$B$7),1,0)+IF(AND(RANK.EQ('Momentum Ranks'!T57,'Momentum Ranks'!$B57:$U57,0)&lt;='Strategy Settings'!$B$7,RANK.EQ('Momentum Ranks'!T56,'Momentum Ranks'!$B56:$U56,0)&lt;='Strategy Settings'!$B$7),1,0)+IF(AND(RANK.EQ('Momentum Ranks'!U57,'Momentum Ranks'!$B57:$U57,0)&lt;='Strategy Settings'!$B$7,RANK.EQ('Momentum Ranks'!U56,'Momentum Ranks'!$B56:$U56,0)&lt;='Strategy Settings'!$B$7),1,0))/'Strategy Settings'!$B$7</x:f>
        <x:v>0.5</x:v>
      </x:c>
      <x:c r="D57" s="26" t="n">
        <x:f>C57*'Strategy Settings'!$B$9</x:f>
        <x:v>0.0005</x:v>
      </x:c>
      <x:c r="E57" s="26" t="n">
        <x:f>B57-D57</x:f>
        <x:v>-0.058152051535341635</x:v>
      </x:c>
      <x:c r="F57" s="26" t="n">
        <x:f>'Return Data'!V67</x:f>
        <x:v>0.03955757613635891</x:v>
      </x:c>
      <x:c r="G57" s="26" t="n">
        <x:f>E57-F57</x:f>
        <x:v>-0.09770962767170055</x:v>
      </x:c>
      <x:c r="H57" s="28" t="n">
        <x:f>H56*(1+E57)</x:f>
        <x:v>1.81944072409953</x:v>
      </x:c>
      <x:c r="I57" s="28" t="n">
        <x:f>I56*(1+F57)</x:f>
        <x:v>1.4670218527816035</x:v>
      </x:c>
      <x:c r="J57" s="26" t="n">
        <x:f>H57/MAX($H$4:H57)-1</x:f>
        <x:v>-0.05815205153534164</x:v>
      </x:c>
      <x:c r="K57" s="26" t="n">
        <x:f>I57/MAX($I$4:I57)-1</x:f>
        <x:v>-0.07749670969640354</x:v>
      </x:c>
    </x:row>
    <x:row r="58">
      <x:c r="A58" s="20" t="n">
        <x:f>'Return Data'!A72</x:f>
        <x:v>45777</x:v>
      </x:c>
      <x:c r="B58" s="26" t="n">
        <x:f>(IF(RANK.EQ('Momentum Ranks'!B58,'Momentum Ranks'!$B58:$U58,0)&lt;='Strategy Settings'!$B$7,'Return Data'!B72,0)+IF(RANK.EQ('Momentum Ranks'!C58,'Momentum Ranks'!$B58:$U58,0)&lt;='Strategy Settings'!$B$7,'Return Data'!C72,0)+IF(RANK.EQ('Momentum Ranks'!D58,'Momentum Ranks'!$B58:$U58,0)&lt;='Strategy Settings'!$B$7,'Return Data'!D72,0)+IF(RANK.EQ('Momentum Ranks'!E58,'Momentum Ranks'!$B58:$U58,0)&lt;='Strategy Settings'!$B$7,'Return Data'!E72,0)+IF(RANK.EQ('Momentum Ranks'!F58,'Momentum Ranks'!$B58:$U58,0)&lt;='Strategy Settings'!$B$7,'Return Data'!F72,0)+IF(RANK.EQ('Momentum Ranks'!G58,'Momentum Ranks'!$B58:$U58,0)&lt;='Strategy Settings'!$B$7,'Return Data'!G72,0)+IF(RANK.EQ('Momentum Ranks'!H58,'Momentum Ranks'!$B58:$U58,0)&lt;='Strategy Settings'!$B$7,'Return Data'!H72,0)+IF(RANK.EQ('Momentum Ranks'!I58,'Momentum Ranks'!$B58:$U58,0)&lt;='Strategy Settings'!$B$7,'Return Data'!I72,0)+IF(RANK.EQ('Momentum Ranks'!J58,'Momentum Ranks'!$B58:$U58,0)&lt;='Strategy Settings'!$B$7,'Return Data'!J72,0)+IF(RANK.EQ('Momentum Ranks'!K58,'Momentum Ranks'!$B58:$U58,0)&lt;='Strategy Settings'!$B$7,'Return Data'!K72,0)+IF(RANK.EQ('Momentum Ranks'!L58,'Momentum Ranks'!$B58:$U58,0)&lt;='Strategy Settings'!$B$7,'Return Data'!L72,0)+IF(RANK.EQ('Momentum Ranks'!M58,'Momentum Ranks'!$B58:$U58,0)&lt;='Strategy Settings'!$B$7,'Return Data'!M72,0)+IF(RANK.EQ('Momentum Ranks'!N58,'Momentum Ranks'!$B58:$U58,0)&lt;='Strategy Settings'!$B$7,'Return Data'!N72,0)+IF(RANK.EQ('Momentum Ranks'!O58,'Momentum Ranks'!$B58:$U58,0)&lt;='Strategy Settings'!$B$7,'Return Data'!O72,0)+IF(RANK.EQ('Momentum Ranks'!P58,'Momentum Ranks'!$B58:$U58,0)&lt;='Strategy Settings'!$B$7,'Return Data'!P72,0)+IF(RANK.EQ('Momentum Ranks'!Q58,'Momentum Ranks'!$B58:$U58,0)&lt;='Strategy Settings'!$B$7,'Return Data'!Q72,0)+IF(RANK.EQ('Momentum Ranks'!R58,'Momentum Ranks'!$B58:$U58,0)&lt;='Strategy Settings'!$B$7,'Return Data'!R72,0)+IF(RANK.EQ('Momentum Ranks'!S58,'Momentum Ranks'!$B58:$U58,0)&lt;='Strategy Settings'!$B$7,'Return Data'!S72,0)+IF(RANK.EQ('Momentum Ranks'!T58,'Momentum Ranks'!$B58:$U58,0)&lt;='Strategy Settings'!$B$7,'Return Data'!T72,0)+IF(RANK.EQ('Momentum Ranks'!U58,'Momentum Ranks'!$B58:$U58,0)&lt;='Strategy Settings'!$B$7,'Return Data'!U72,0))/'Strategy Settings'!$B$7</x:f>
        <x:v>-0.10421652702726222</x:v>
      </x:c>
      <x:c r="C58" s="26" t="n">
        <x:f>1-(IF(AND(RANK.EQ('Momentum Ranks'!B58,'Momentum Ranks'!$B58:$U58,0)&lt;='Strategy Settings'!$B$7,RANK.EQ('Momentum Ranks'!B57,'Momentum Ranks'!$B57:$U57,0)&lt;='Strategy Settings'!$B$7),1,0)+IF(AND(RANK.EQ('Momentum Ranks'!C58,'Momentum Ranks'!$B58:$U58,0)&lt;='Strategy Settings'!$B$7,RANK.EQ('Momentum Ranks'!C57,'Momentum Ranks'!$B57:$U57,0)&lt;='Strategy Settings'!$B$7),1,0)+IF(AND(RANK.EQ('Momentum Ranks'!D58,'Momentum Ranks'!$B58:$U58,0)&lt;='Strategy Settings'!$B$7,RANK.EQ('Momentum Ranks'!D57,'Momentum Ranks'!$B57:$U57,0)&lt;='Strategy Settings'!$B$7),1,0)+IF(AND(RANK.EQ('Momentum Ranks'!E58,'Momentum Ranks'!$B58:$U58,0)&lt;='Strategy Settings'!$B$7,RANK.EQ('Momentum Ranks'!E57,'Momentum Ranks'!$B57:$U57,0)&lt;='Strategy Settings'!$B$7),1,0)+IF(AND(RANK.EQ('Momentum Ranks'!F58,'Momentum Ranks'!$B58:$U58,0)&lt;='Strategy Settings'!$B$7,RANK.EQ('Momentum Ranks'!F57,'Momentum Ranks'!$B57:$U57,0)&lt;='Strategy Settings'!$B$7),1,0)+IF(AND(RANK.EQ('Momentum Ranks'!G58,'Momentum Ranks'!$B58:$U58,0)&lt;='Strategy Settings'!$B$7,RANK.EQ('Momentum Ranks'!G57,'Momentum Ranks'!$B57:$U57,0)&lt;='Strategy Settings'!$B$7),1,0)+IF(AND(RANK.EQ('Momentum Ranks'!H58,'Momentum Ranks'!$B58:$U58,0)&lt;='Strategy Settings'!$B$7,RANK.EQ('Momentum Ranks'!H57,'Momentum Ranks'!$B57:$U57,0)&lt;='Strategy Settings'!$B$7),1,0)+IF(AND(RANK.EQ('Momentum Ranks'!I58,'Momentum Ranks'!$B58:$U58,0)&lt;='Strategy Settings'!$B$7,RANK.EQ('Momentum Ranks'!I57,'Momentum Ranks'!$B57:$U57,0)&lt;='Strategy Settings'!$B$7),1,0)+IF(AND(RANK.EQ('Momentum Ranks'!J58,'Momentum Ranks'!$B58:$U58,0)&lt;='Strategy Settings'!$B$7,RANK.EQ('Momentum Ranks'!J57,'Momentum Ranks'!$B57:$U57,0)&lt;='Strategy Settings'!$B$7),1,0)+IF(AND(RANK.EQ('Momentum Ranks'!K58,'Momentum Ranks'!$B58:$U58,0)&lt;='Strategy Settings'!$B$7,RANK.EQ('Momentum Ranks'!K57,'Momentum Ranks'!$B57:$U57,0)&lt;='Strategy Settings'!$B$7),1,0)+IF(AND(RANK.EQ('Momentum Ranks'!L58,'Momentum Ranks'!$B58:$U58,0)&lt;='Strategy Settings'!$B$7,RANK.EQ('Momentum Ranks'!L57,'Momentum Ranks'!$B57:$U57,0)&lt;='Strategy Settings'!$B$7),1,0)+IF(AND(RANK.EQ('Momentum Ranks'!M58,'Momentum Ranks'!$B58:$U58,0)&lt;='Strategy Settings'!$B$7,RANK.EQ('Momentum Ranks'!M57,'Momentum Ranks'!$B57:$U57,0)&lt;='Strategy Settings'!$B$7),1,0)+IF(AND(RANK.EQ('Momentum Ranks'!N58,'Momentum Ranks'!$B58:$U58,0)&lt;='Strategy Settings'!$B$7,RANK.EQ('Momentum Ranks'!N57,'Momentum Ranks'!$B57:$U57,0)&lt;='Strategy Settings'!$B$7),1,0)+IF(AND(RANK.EQ('Momentum Ranks'!O58,'Momentum Ranks'!$B58:$U58,0)&lt;='Strategy Settings'!$B$7,RANK.EQ('Momentum Ranks'!O57,'Momentum Ranks'!$B57:$U57,0)&lt;='Strategy Settings'!$B$7),1,0)+IF(AND(RANK.EQ('Momentum Ranks'!P58,'Momentum Ranks'!$B58:$U58,0)&lt;='Strategy Settings'!$B$7,RANK.EQ('Momentum Ranks'!P57,'Momentum Ranks'!$B57:$U57,0)&lt;='Strategy Settings'!$B$7),1,0)+IF(AND(RANK.EQ('Momentum Ranks'!Q58,'Momentum Ranks'!$B58:$U58,0)&lt;='Strategy Settings'!$B$7,RANK.EQ('Momentum Ranks'!Q57,'Momentum Ranks'!$B57:$U57,0)&lt;='Strategy Settings'!$B$7),1,0)+IF(AND(RANK.EQ('Momentum Ranks'!R58,'Momentum Ranks'!$B58:$U58,0)&lt;='Strategy Settings'!$B$7,RANK.EQ('Momentum Ranks'!R57,'Momentum Ranks'!$B57:$U57,0)&lt;='Strategy Settings'!$B$7),1,0)+IF(AND(RANK.EQ('Momentum Ranks'!S58,'Momentum Ranks'!$B58:$U58,0)&lt;='Strategy Settings'!$B$7,RANK.EQ('Momentum Ranks'!S57,'Momentum Ranks'!$B57:$U57,0)&lt;='Strategy Settings'!$B$7),1,0)+IF(AND(RANK.EQ('Momentum Ranks'!T58,'Momentum Ranks'!$B58:$U58,0)&lt;='Strategy Settings'!$B$7,RANK.EQ('Momentum Ranks'!T57,'Momentum Ranks'!$B57:$U57,0)&lt;='Strategy Settings'!$B$7),1,0)+IF(AND(RANK.EQ('Momentum Ranks'!U58,'Momentum Ranks'!$B58:$U58,0)&lt;='Strategy Settings'!$B$7,RANK.EQ('Momentum Ranks'!U57,'Momentum Ranks'!$B57:$U57,0)&lt;='Strategy Settings'!$B$7),1,0))/'Strategy Settings'!$B$7</x:f>
        <x:v>0.25</x:v>
      </x:c>
      <x:c r="D58" s="26" t="n">
        <x:f>C58*'Strategy Settings'!$B$9</x:f>
        <x:v>0.00025</x:v>
      </x:c>
      <x:c r="E58" s="26" t="n">
        <x:f>B58-D58</x:f>
        <x:v>-0.10446652702726222</x:v>
      </x:c>
      <x:c r="F58" s="26" t="n">
        <x:f>'Return Data'!V68</x:f>
        <x:v>0.033240915500724263</x:v>
      </x:c>
      <x:c r="G58" s="26" t="n">
        <x:f>E58-F58</x:f>
        <x:v>-0.1377074425279865</x:v>
      </x:c>
      <x:c r="H58" s="28" t="n">
        <x:f>H57*(1+E58)</x:f>
        <x:v>1.629370070520885</x:v>
      </x:c>
      <x:c r="I58" s="28" t="n">
        <x:f>I57*(1+F58)</x:f>
        <x:v>1.5157870022276327</x:v>
      </x:c>
      <x:c r="J58" s="26" t="n">
        <x:f>H58/MAX($H$4:H58)-1</x:f>
        <x:v>-0.15654363569919638</x:v>
      </x:c>
      <x:c r="K58" s="26" t="n">
        <x:f>I58/MAX($I$4:I58)-1</x:f>
        <x:v>-0.046831855774281506</x:v>
      </x:c>
    </x:row>
    <x:row r="59">
      <x:c r="A59" s="20" t="n">
        <x:f>'Return Data'!A73</x:f>
        <x:v>45807</x:v>
      </x:c>
      <x:c r="B59" s="26" t="n">
        <x:f>(IF(RANK.EQ('Momentum Ranks'!B59,'Momentum Ranks'!$B59:$U59,0)&lt;='Strategy Settings'!$B$7,'Return Data'!B73,0)+IF(RANK.EQ('Momentum Ranks'!C59,'Momentum Ranks'!$B59:$U59,0)&lt;='Strategy Settings'!$B$7,'Return Data'!C73,0)+IF(RANK.EQ('Momentum Ranks'!D59,'Momentum Ranks'!$B59:$U59,0)&lt;='Strategy Settings'!$B$7,'Return Data'!D73,0)+IF(RANK.EQ('Momentum Ranks'!E59,'Momentum Ranks'!$B59:$U59,0)&lt;='Strategy Settings'!$B$7,'Return Data'!E73,0)+IF(RANK.EQ('Momentum Ranks'!F59,'Momentum Ranks'!$B59:$U59,0)&lt;='Strategy Settings'!$B$7,'Return Data'!F73,0)+IF(RANK.EQ('Momentum Ranks'!G59,'Momentum Ranks'!$B59:$U59,0)&lt;='Strategy Settings'!$B$7,'Return Data'!G73,0)+IF(RANK.EQ('Momentum Ranks'!H59,'Momentum Ranks'!$B59:$U59,0)&lt;='Strategy Settings'!$B$7,'Return Data'!H73,0)+IF(RANK.EQ('Momentum Ranks'!I59,'Momentum Ranks'!$B59:$U59,0)&lt;='Strategy Settings'!$B$7,'Return Data'!I73,0)+IF(RANK.EQ('Momentum Ranks'!J59,'Momentum Ranks'!$B59:$U59,0)&lt;='Strategy Settings'!$B$7,'Return Data'!J73,0)+IF(RANK.EQ('Momentum Ranks'!K59,'Momentum Ranks'!$B59:$U59,0)&lt;='Strategy Settings'!$B$7,'Return Data'!K73,0)+IF(RANK.EQ('Momentum Ranks'!L59,'Momentum Ranks'!$B59:$U59,0)&lt;='Strategy Settings'!$B$7,'Return Data'!L73,0)+IF(RANK.EQ('Momentum Ranks'!M59,'Momentum Ranks'!$B59:$U59,0)&lt;='Strategy Settings'!$B$7,'Return Data'!M73,0)+IF(RANK.EQ('Momentum Ranks'!N59,'Momentum Ranks'!$B59:$U59,0)&lt;='Strategy Settings'!$B$7,'Return Data'!N73,0)+IF(RANK.EQ('Momentum Ranks'!O59,'Momentum Ranks'!$B59:$U59,0)&lt;='Strategy Settings'!$B$7,'Return Data'!O73,0)+IF(RANK.EQ('Momentum Ranks'!P59,'Momentum Ranks'!$B59:$U59,0)&lt;='Strategy Settings'!$B$7,'Return Data'!P73,0)+IF(RANK.EQ('Momentum Ranks'!Q59,'Momentum Ranks'!$B59:$U59,0)&lt;='Strategy Settings'!$B$7,'Return Data'!Q73,0)+IF(RANK.EQ('Momentum Ranks'!R59,'Momentum Ranks'!$B59:$U59,0)&lt;='Strategy Settings'!$B$7,'Return Data'!R73,0)+IF(RANK.EQ('Momentum Ranks'!S59,'Momentum Ranks'!$B59:$U59,0)&lt;='Strategy Settings'!$B$7,'Return Data'!S73,0)+IF(RANK.EQ('Momentum Ranks'!T59,'Momentum Ranks'!$B59:$U59,0)&lt;='Strategy Settings'!$B$7,'Return Data'!T73,0)+IF(RANK.EQ('Momentum Ranks'!U59,'Momentum Ranks'!$B59:$U59,0)&lt;='Strategy Settings'!$B$7,'Return Data'!U73,0))/'Strategy Settings'!$B$7</x:f>
        <x:v>0.0477585357801813</x:v>
      </x:c>
      <x:c r="C59" s="26" t="n">
        <x:f>1-(IF(AND(RANK.EQ('Momentum Ranks'!B59,'Momentum Ranks'!$B59:$U59,0)&lt;='Strategy Settings'!$B$7,RANK.EQ('Momentum Ranks'!B58,'Momentum Ranks'!$B58:$U58,0)&lt;='Strategy Settings'!$B$7),1,0)+IF(AND(RANK.EQ('Momentum Ranks'!C59,'Momentum Ranks'!$B59:$U59,0)&lt;='Strategy Settings'!$B$7,RANK.EQ('Momentum Ranks'!C58,'Momentum Ranks'!$B58:$U58,0)&lt;='Strategy Settings'!$B$7),1,0)+IF(AND(RANK.EQ('Momentum Ranks'!D59,'Momentum Ranks'!$B59:$U59,0)&lt;='Strategy Settings'!$B$7,RANK.EQ('Momentum Ranks'!D58,'Momentum Ranks'!$B58:$U58,0)&lt;='Strategy Settings'!$B$7),1,0)+IF(AND(RANK.EQ('Momentum Ranks'!E59,'Momentum Ranks'!$B59:$U59,0)&lt;='Strategy Settings'!$B$7,RANK.EQ('Momentum Ranks'!E58,'Momentum Ranks'!$B58:$U58,0)&lt;='Strategy Settings'!$B$7),1,0)+IF(AND(RANK.EQ('Momentum Ranks'!F59,'Momentum Ranks'!$B59:$U59,0)&lt;='Strategy Settings'!$B$7,RANK.EQ('Momentum Ranks'!F58,'Momentum Ranks'!$B58:$U58,0)&lt;='Strategy Settings'!$B$7),1,0)+IF(AND(RANK.EQ('Momentum Ranks'!G59,'Momentum Ranks'!$B59:$U59,0)&lt;='Strategy Settings'!$B$7,RANK.EQ('Momentum Ranks'!G58,'Momentum Ranks'!$B58:$U58,0)&lt;='Strategy Settings'!$B$7),1,0)+IF(AND(RANK.EQ('Momentum Ranks'!H59,'Momentum Ranks'!$B59:$U59,0)&lt;='Strategy Settings'!$B$7,RANK.EQ('Momentum Ranks'!H58,'Momentum Ranks'!$B58:$U58,0)&lt;='Strategy Settings'!$B$7),1,0)+IF(AND(RANK.EQ('Momentum Ranks'!I59,'Momentum Ranks'!$B59:$U59,0)&lt;='Strategy Settings'!$B$7,RANK.EQ('Momentum Ranks'!I58,'Momentum Ranks'!$B58:$U58,0)&lt;='Strategy Settings'!$B$7),1,0)+IF(AND(RANK.EQ('Momentum Ranks'!J59,'Momentum Ranks'!$B59:$U59,0)&lt;='Strategy Settings'!$B$7,RANK.EQ('Momentum Ranks'!J58,'Momentum Ranks'!$B58:$U58,0)&lt;='Strategy Settings'!$B$7),1,0)+IF(AND(RANK.EQ('Momentum Ranks'!K59,'Momentum Ranks'!$B59:$U59,0)&lt;='Strategy Settings'!$B$7,RANK.EQ('Momentum Ranks'!K58,'Momentum Ranks'!$B58:$U58,0)&lt;='Strategy Settings'!$B$7),1,0)+IF(AND(RANK.EQ('Momentum Ranks'!L59,'Momentum Ranks'!$B59:$U59,0)&lt;='Strategy Settings'!$B$7,RANK.EQ('Momentum Ranks'!L58,'Momentum Ranks'!$B58:$U58,0)&lt;='Strategy Settings'!$B$7),1,0)+IF(AND(RANK.EQ('Momentum Ranks'!M59,'Momentum Ranks'!$B59:$U59,0)&lt;='Strategy Settings'!$B$7,RANK.EQ('Momentum Ranks'!M58,'Momentum Ranks'!$B58:$U58,0)&lt;='Strategy Settings'!$B$7),1,0)+IF(AND(RANK.EQ('Momentum Ranks'!N59,'Momentum Ranks'!$B59:$U59,0)&lt;='Strategy Settings'!$B$7,RANK.EQ('Momentum Ranks'!N58,'Momentum Ranks'!$B58:$U58,0)&lt;='Strategy Settings'!$B$7),1,0)+IF(AND(RANK.EQ('Momentum Ranks'!O59,'Momentum Ranks'!$B59:$U59,0)&lt;='Strategy Settings'!$B$7,RANK.EQ('Momentum Ranks'!O58,'Momentum Ranks'!$B58:$U58,0)&lt;='Strategy Settings'!$B$7),1,0)+IF(AND(RANK.EQ('Momentum Ranks'!P59,'Momentum Ranks'!$B59:$U59,0)&lt;='Strategy Settings'!$B$7,RANK.EQ('Momentum Ranks'!P58,'Momentum Ranks'!$B58:$U58,0)&lt;='Strategy Settings'!$B$7),1,0)+IF(AND(RANK.EQ('Momentum Ranks'!Q59,'Momentum Ranks'!$B59:$U59,0)&lt;='Strategy Settings'!$B$7,RANK.EQ('Momentum Ranks'!Q58,'Momentum Ranks'!$B58:$U58,0)&lt;='Strategy Settings'!$B$7),1,0)+IF(AND(RANK.EQ('Momentum Ranks'!R59,'Momentum Ranks'!$B59:$U59,0)&lt;='Strategy Settings'!$B$7,RANK.EQ('Momentum Ranks'!R58,'Momentum Ranks'!$B58:$U58,0)&lt;='Strategy Settings'!$B$7),1,0)+IF(AND(RANK.EQ('Momentum Ranks'!S59,'Momentum Ranks'!$B59:$U59,0)&lt;='Strategy Settings'!$B$7,RANK.EQ('Momentum Ranks'!S58,'Momentum Ranks'!$B58:$U58,0)&lt;='Strategy Settings'!$B$7),1,0)+IF(AND(RANK.EQ('Momentum Ranks'!T59,'Momentum Ranks'!$B59:$U59,0)&lt;='Strategy Settings'!$B$7,RANK.EQ('Momentum Ranks'!T58,'Momentum Ranks'!$B58:$U58,0)&lt;='Strategy Settings'!$B$7),1,0)+IF(AND(RANK.EQ('Momentum Ranks'!U59,'Momentum Ranks'!$B59:$U59,0)&lt;='Strategy Settings'!$B$7,RANK.EQ('Momentum Ranks'!U58,'Momentum Ranks'!$B58:$U58,0)&lt;='Strategy Settings'!$B$7),1,0))/'Strategy Settings'!$B$7</x:f>
        <x:v>0.75</x:v>
      </x:c>
      <x:c r="D59" s="26" t="n">
        <x:f>C59*'Strategy Settings'!$B$9</x:f>
        <x:v>0.00075</x:v>
      </x:c>
      <x:c r="E59" s="26" t="n">
        <x:f>B59-D59</x:f>
        <x:v>0.0470085357801813</x:v>
      </x:c>
      <x:c r="F59" s="26" t="n">
        <x:f>'Return Data'!V69</x:f>
        <x:v>-0.02730475426257723</x:v>
      </x:c>
      <x:c r="G59" s="26" t="n">
        <x:f>E59-F59</x:f>
        <x:v>0.07431329004275852</x:v>
      </x:c>
      <x:c r="H59" s="28" t="n">
        <x:f>H58*(1+E59)</x:f>
        <x:v>1.7059643717801225</x:v>
      </x:c>
      <x:c r="I59" s="28" t="n">
        <x:f>I58*(1+F59)</x:f>
        <x:v>1.4743988106173986</x:v>
      </x:c>
      <x:c r="J59" s="26" t="n">
        <x:f>H59/MAX($H$4:H59)-1</x:f>
        <x:v>-0.11689398701894038</x:v>
      </x:c>
      <x:c r="K59" s="26" t="n">
        <x:f>I59/MAX($I$4:I59)-1</x:f>
        <x:v>-0.07285787772328156</x:v>
      </x:c>
    </x:row>
    <x:row r="60">
      <x:c r="A60" s="20" t="n">
        <x:f>'Return Data'!A74</x:f>
        <x:v>45838</x:v>
      </x:c>
      <x:c r="B60" s="26" t="n">
        <x:f>(IF(RANK.EQ('Momentum Ranks'!B60,'Momentum Ranks'!$B60:$U60,0)&lt;='Strategy Settings'!$B$7,'Return Data'!B74,0)+IF(RANK.EQ('Momentum Ranks'!C60,'Momentum Ranks'!$B60:$U60,0)&lt;='Strategy Settings'!$B$7,'Return Data'!C74,0)+IF(RANK.EQ('Momentum Ranks'!D60,'Momentum Ranks'!$B60:$U60,0)&lt;='Strategy Settings'!$B$7,'Return Data'!D74,0)+IF(RANK.EQ('Momentum Ranks'!E60,'Momentum Ranks'!$B60:$U60,0)&lt;='Strategy Settings'!$B$7,'Return Data'!E74,0)+IF(RANK.EQ('Momentum Ranks'!F60,'Momentum Ranks'!$B60:$U60,0)&lt;='Strategy Settings'!$B$7,'Return Data'!F74,0)+IF(RANK.EQ('Momentum Ranks'!G60,'Momentum Ranks'!$B60:$U60,0)&lt;='Strategy Settings'!$B$7,'Return Data'!G74,0)+IF(RANK.EQ('Momentum Ranks'!H60,'Momentum Ranks'!$B60:$U60,0)&lt;='Strategy Settings'!$B$7,'Return Data'!H74,0)+IF(RANK.EQ('Momentum Ranks'!I60,'Momentum Ranks'!$B60:$U60,0)&lt;='Strategy Settings'!$B$7,'Return Data'!I74,0)+IF(RANK.EQ('Momentum Ranks'!J60,'Momentum Ranks'!$B60:$U60,0)&lt;='Strategy Settings'!$B$7,'Return Data'!J74,0)+IF(RANK.EQ('Momentum Ranks'!K60,'Momentum Ranks'!$B60:$U60,0)&lt;='Strategy Settings'!$B$7,'Return Data'!K74,0)+IF(RANK.EQ('Momentum Ranks'!L60,'Momentum Ranks'!$B60:$U60,0)&lt;='Strategy Settings'!$B$7,'Return Data'!L74,0)+IF(RANK.EQ('Momentum Ranks'!M60,'Momentum Ranks'!$B60:$U60,0)&lt;='Strategy Settings'!$B$7,'Return Data'!M74,0)+IF(RANK.EQ('Momentum Ranks'!N60,'Momentum Ranks'!$B60:$U60,0)&lt;='Strategy Settings'!$B$7,'Return Data'!N74,0)+IF(RANK.EQ('Momentum Ranks'!O60,'Momentum Ranks'!$B60:$U60,0)&lt;='Strategy Settings'!$B$7,'Return Data'!O74,0)+IF(RANK.EQ('Momentum Ranks'!P60,'Momentum Ranks'!$B60:$U60,0)&lt;='Strategy Settings'!$B$7,'Return Data'!P74,0)+IF(RANK.EQ('Momentum Ranks'!Q60,'Momentum Ranks'!$B60:$U60,0)&lt;='Strategy Settings'!$B$7,'Return Data'!Q74,0)+IF(RANK.EQ('Momentum Ranks'!R60,'Momentum Ranks'!$B60:$U60,0)&lt;='Strategy Settings'!$B$7,'Return Data'!R74,0)+IF(RANK.EQ('Momentum Ranks'!S60,'Momentum Ranks'!$B60:$U60,0)&lt;='Strategy Settings'!$B$7,'Return Data'!S74,0)+IF(RANK.EQ('Momentum Ranks'!T60,'Momentum Ranks'!$B60:$U60,0)&lt;='Strategy Settings'!$B$7,'Return Data'!T74,0)+IF(RANK.EQ('Momentum Ranks'!U60,'Momentum Ranks'!$B60:$U60,0)&lt;='Strategy Settings'!$B$7,'Return Data'!U74,0))/'Strategy Settings'!$B$7</x:f>
        <x:v>-0.07340252111854469</x:v>
      </x:c>
      <x:c r="C60" s="26" t="n">
        <x:f>1-(IF(AND(RANK.EQ('Momentum Ranks'!B60,'Momentum Ranks'!$B60:$U60,0)&lt;='Strategy Settings'!$B$7,RANK.EQ('Momentum Ranks'!B59,'Momentum Ranks'!$B59:$U59,0)&lt;='Strategy Settings'!$B$7),1,0)+IF(AND(RANK.EQ('Momentum Ranks'!C60,'Momentum Ranks'!$B60:$U60,0)&lt;='Strategy Settings'!$B$7,RANK.EQ('Momentum Ranks'!C59,'Momentum Ranks'!$B59:$U59,0)&lt;='Strategy Settings'!$B$7),1,0)+IF(AND(RANK.EQ('Momentum Ranks'!D60,'Momentum Ranks'!$B60:$U60,0)&lt;='Strategy Settings'!$B$7,RANK.EQ('Momentum Ranks'!D59,'Momentum Ranks'!$B59:$U59,0)&lt;='Strategy Settings'!$B$7),1,0)+IF(AND(RANK.EQ('Momentum Ranks'!E60,'Momentum Ranks'!$B60:$U60,0)&lt;='Strategy Settings'!$B$7,RANK.EQ('Momentum Ranks'!E59,'Momentum Ranks'!$B59:$U59,0)&lt;='Strategy Settings'!$B$7),1,0)+IF(AND(RANK.EQ('Momentum Ranks'!F60,'Momentum Ranks'!$B60:$U60,0)&lt;='Strategy Settings'!$B$7,RANK.EQ('Momentum Ranks'!F59,'Momentum Ranks'!$B59:$U59,0)&lt;='Strategy Settings'!$B$7),1,0)+IF(AND(RANK.EQ('Momentum Ranks'!G60,'Momentum Ranks'!$B60:$U60,0)&lt;='Strategy Settings'!$B$7,RANK.EQ('Momentum Ranks'!G59,'Momentum Ranks'!$B59:$U59,0)&lt;='Strategy Settings'!$B$7),1,0)+IF(AND(RANK.EQ('Momentum Ranks'!H60,'Momentum Ranks'!$B60:$U60,0)&lt;='Strategy Settings'!$B$7,RANK.EQ('Momentum Ranks'!H59,'Momentum Ranks'!$B59:$U59,0)&lt;='Strategy Settings'!$B$7),1,0)+IF(AND(RANK.EQ('Momentum Ranks'!I60,'Momentum Ranks'!$B60:$U60,0)&lt;='Strategy Settings'!$B$7,RANK.EQ('Momentum Ranks'!I59,'Momentum Ranks'!$B59:$U59,0)&lt;='Strategy Settings'!$B$7),1,0)+IF(AND(RANK.EQ('Momentum Ranks'!J60,'Momentum Ranks'!$B60:$U60,0)&lt;='Strategy Settings'!$B$7,RANK.EQ('Momentum Ranks'!J59,'Momentum Ranks'!$B59:$U59,0)&lt;='Strategy Settings'!$B$7),1,0)+IF(AND(RANK.EQ('Momentum Ranks'!K60,'Momentum Ranks'!$B60:$U60,0)&lt;='Strategy Settings'!$B$7,RANK.EQ('Momentum Ranks'!K59,'Momentum Ranks'!$B59:$U59,0)&lt;='Strategy Settings'!$B$7),1,0)+IF(AND(RANK.EQ('Momentum Ranks'!L60,'Momentum Ranks'!$B60:$U60,0)&lt;='Strategy Settings'!$B$7,RANK.EQ('Momentum Ranks'!L59,'Momentum Ranks'!$B59:$U59,0)&lt;='Strategy Settings'!$B$7),1,0)+IF(AND(RANK.EQ('Momentum Ranks'!M60,'Momentum Ranks'!$B60:$U60,0)&lt;='Strategy Settings'!$B$7,RANK.EQ('Momentum Ranks'!M59,'Momentum Ranks'!$B59:$U59,0)&lt;='Strategy Settings'!$B$7),1,0)+IF(AND(RANK.EQ('Momentum Ranks'!N60,'Momentum Ranks'!$B60:$U60,0)&lt;='Strategy Settings'!$B$7,RANK.EQ('Momentum Ranks'!N59,'Momentum Ranks'!$B59:$U59,0)&lt;='Strategy Settings'!$B$7),1,0)+IF(AND(RANK.EQ('Momentum Ranks'!O60,'Momentum Ranks'!$B60:$U60,0)&lt;='Strategy Settings'!$B$7,RANK.EQ('Momentum Ranks'!O59,'Momentum Ranks'!$B59:$U59,0)&lt;='Strategy Settings'!$B$7),1,0)+IF(AND(RANK.EQ('Momentum Ranks'!P60,'Momentum Ranks'!$B60:$U60,0)&lt;='Strategy Settings'!$B$7,RANK.EQ('Momentum Ranks'!P59,'Momentum Ranks'!$B59:$U59,0)&lt;='Strategy Settings'!$B$7),1,0)+IF(AND(RANK.EQ('Momentum Ranks'!Q60,'Momentum Ranks'!$B60:$U60,0)&lt;='Strategy Settings'!$B$7,RANK.EQ('Momentum Ranks'!Q59,'Momentum Ranks'!$B59:$U59,0)&lt;='Strategy Settings'!$B$7),1,0)+IF(AND(RANK.EQ('Momentum Ranks'!R60,'Momentum Ranks'!$B60:$U60,0)&lt;='Strategy Settings'!$B$7,RANK.EQ('Momentum Ranks'!R59,'Momentum Ranks'!$B59:$U59,0)&lt;='Strategy Settings'!$B$7),1,0)+IF(AND(RANK.EQ('Momentum Ranks'!S60,'Momentum Ranks'!$B60:$U60,0)&lt;='Strategy Settings'!$B$7,RANK.EQ('Momentum Ranks'!S59,'Momentum Ranks'!$B59:$U59,0)&lt;='Strategy Settings'!$B$7),1,0)+IF(AND(RANK.EQ('Momentum Ranks'!T60,'Momentum Ranks'!$B60:$U60,0)&lt;='Strategy Settings'!$B$7,RANK.EQ('Momentum Ranks'!T59,'Momentum Ranks'!$B59:$U59,0)&lt;='Strategy Settings'!$B$7),1,0)+IF(AND(RANK.EQ('Momentum Ranks'!U60,'Momentum Ranks'!$B60:$U60,0)&lt;='Strategy Settings'!$B$7,RANK.EQ('Momentum Ranks'!U59,'Momentum Ranks'!$B59:$U59,0)&lt;='Strategy Settings'!$B$7),1,0))/'Strategy Settings'!$B$7</x:f>
        <x:v>0</x:v>
      </x:c>
      <x:c r="D60" s="26" t="n">
        <x:f>C60*'Strategy Settings'!$B$9</x:f>
        <x:v>0</x:v>
      </x:c>
      <x:c r="E60" s="26" t="n">
        <x:f>B60-D60</x:f>
        <x:v>-0.07340252111854469</x:v>
      </x:c>
      <x:c r="F60" s="26" t="n">
        <x:f>'Return Data'!V70</x:f>
        <x:v>0.04229708159054493</x:v>
      </x:c>
      <x:c r="G60" s="26" t="n">
        <x:f>E60-F60</x:f>
        <x:v>-0.11569960270908962</x:v>
      </x:c>
      <x:c r="H60" s="28" t="n">
        <x:f>H59*(1+E60)</x:f>
        <x:v>1.580742285953047</x:v>
      </x:c>
      <x:c r="I60" s="28" t="n">
        <x:f>I59*(1+F60)</x:f>
        <x:v>1.5367615774070853</x:v>
      </x:c>
      <x:c r="J60" s="26" t="n">
        <x:f>H60/MAX($H$4:H60)-1</x:f>
        <x:v>-0.18171619478669643</x:v>
      </x:c>
      <x:c r="K60" s="26" t="n">
        <x:f>I60/MAX($I$4:I60)-1</x:f>
        <x:v>-0.033642471731312074</x:v>
      </x:c>
    </x:row>
    <x:row r="61">
      <x:c r="A61" s="20" t="n">
        <x:f>'Return Data'!A75</x:f>
        <x:v>45868</x:v>
      </x:c>
      <x:c r="B61" s="26" t="n">
        <x:f>(IF(RANK.EQ('Momentum Ranks'!B61,'Momentum Ranks'!$B61:$U61,0)&lt;='Strategy Settings'!$B$7,'Return Data'!B75,0)+IF(RANK.EQ('Momentum Ranks'!C61,'Momentum Ranks'!$B61:$U61,0)&lt;='Strategy Settings'!$B$7,'Return Data'!C75,0)+IF(RANK.EQ('Momentum Ranks'!D61,'Momentum Ranks'!$B61:$U61,0)&lt;='Strategy Settings'!$B$7,'Return Data'!D75,0)+IF(RANK.EQ('Momentum Ranks'!E61,'Momentum Ranks'!$B61:$U61,0)&lt;='Strategy Settings'!$B$7,'Return Data'!E75,0)+IF(RANK.EQ('Momentum Ranks'!F61,'Momentum Ranks'!$B61:$U61,0)&lt;='Strategy Settings'!$B$7,'Return Data'!F75,0)+IF(RANK.EQ('Momentum Ranks'!G61,'Momentum Ranks'!$B61:$U61,0)&lt;='Strategy Settings'!$B$7,'Return Data'!G75,0)+IF(RANK.EQ('Momentum Ranks'!H61,'Momentum Ranks'!$B61:$U61,0)&lt;='Strategy Settings'!$B$7,'Return Data'!H75,0)+IF(RANK.EQ('Momentum Ranks'!I61,'Momentum Ranks'!$B61:$U61,0)&lt;='Strategy Settings'!$B$7,'Return Data'!I75,0)+IF(RANK.EQ('Momentum Ranks'!J61,'Momentum Ranks'!$B61:$U61,0)&lt;='Strategy Settings'!$B$7,'Return Data'!J75,0)+IF(RANK.EQ('Momentum Ranks'!K61,'Momentum Ranks'!$B61:$U61,0)&lt;='Strategy Settings'!$B$7,'Return Data'!K75,0)+IF(RANK.EQ('Momentum Ranks'!L61,'Momentum Ranks'!$B61:$U61,0)&lt;='Strategy Settings'!$B$7,'Return Data'!L75,0)+IF(RANK.EQ('Momentum Ranks'!M61,'Momentum Ranks'!$B61:$U61,0)&lt;='Strategy Settings'!$B$7,'Return Data'!M75,0)+IF(RANK.EQ('Momentum Ranks'!N61,'Momentum Ranks'!$B61:$U61,0)&lt;='Strategy Settings'!$B$7,'Return Data'!N75,0)+IF(RANK.EQ('Momentum Ranks'!O61,'Momentum Ranks'!$B61:$U61,0)&lt;='Strategy Settings'!$B$7,'Return Data'!O75,0)+IF(RANK.EQ('Momentum Ranks'!P61,'Momentum Ranks'!$B61:$U61,0)&lt;='Strategy Settings'!$B$7,'Return Data'!P75,0)+IF(RANK.EQ('Momentum Ranks'!Q61,'Momentum Ranks'!$B61:$U61,0)&lt;='Strategy Settings'!$B$7,'Return Data'!Q75,0)+IF(RANK.EQ('Momentum Ranks'!R61,'Momentum Ranks'!$B61:$U61,0)&lt;='Strategy Settings'!$B$7,'Return Data'!R75,0)+IF(RANK.EQ('Momentum Ranks'!S61,'Momentum Ranks'!$B61:$U61,0)&lt;='Strategy Settings'!$B$7,'Return Data'!S75,0)+IF(RANK.EQ('Momentum Ranks'!T61,'Momentum Ranks'!$B61:$U61,0)&lt;='Strategy Settings'!$B$7,'Return Data'!T75,0)+IF(RANK.EQ('Momentum Ranks'!U61,'Momentum Ranks'!$B61:$U61,0)&lt;='Strategy Settings'!$B$7,'Return Data'!U75,0))/'Strategy Settings'!$B$7</x:f>
        <x:v>0.10039732103909647</x:v>
      </x:c>
      <x:c r="C61" s="26" t="n">
        <x:f>1-(IF(AND(RANK.EQ('Momentum Ranks'!B61,'Momentum Ranks'!$B61:$U61,0)&lt;='Strategy Settings'!$B$7,RANK.EQ('Momentum Ranks'!B60,'Momentum Ranks'!$B60:$U60,0)&lt;='Strategy Settings'!$B$7),1,0)+IF(AND(RANK.EQ('Momentum Ranks'!C61,'Momentum Ranks'!$B61:$U61,0)&lt;='Strategy Settings'!$B$7,RANK.EQ('Momentum Ranks'!C60,'Momentum Ranks'!$B60:$U60,0)&lt;='Strategy Settings'!$B$7),1,0)+IF(AND(RANK.EQ('Momentum Ranks'!D61,'Momentum Ranks'!$B61:$U61,0)&lt;='Strategy Settings'!$B$7,RANK.EQ('Momentum Ranks'!D60,'Momentum Ranks'!$B60:$U60,0)&lt;='Strategy Settings'!$B$7),1,0)+IF(AND(RANK.EQ('Momentum Ranks'!E61,'Momentum Ranks'!$B61:$U61,0)&lt;='Strategy Settings'!$B$7,RANK.EQ('Momentum Ranks'!E60,'Momentum Ranks'!$B60:$U60,0)&lt;='Strategy Settings'!$B$7),1,0)+IF(AND(RANK.EQ('Momentum Ranks'!F61,'Momentum Ranks'!$B61:$U61,0)&lt;='Strategy Settings'!$B$7,RANK.EQ('Momentum Ranks'!F60,'Momentum Ranks'!$B60:$U60,0)&lt;='Strategy Settings'!$B$7),1,0)+IF(AND(RANK.EQ('Momentum Ranks'!G61,'Momentum Ranks'!$B61:$U61,0)&lt;='Strategy Settings'!$B$7,RANK.EQ('Momentum Ranks'!G60,'Momentum Ranks'!$B60:$U60,0)&lt;='Strategy Settings'!$B$7),1,0)+IF(AND(RANK.EQ('Momentum Ranks'!H61,'Momentum Ranks'!$B61:$U61,0)&lt;='Strategy Settings'!$B$7,RANK.EQ('Momentum Ranks'!H60,'Momentum Ranks'!$B60:$U60,0)&lt;='Strategy Settings'!$B$7),1,0)+IF(AND(RANK.EQ('Momentum Ranks'!I61,'Momentum Ranks'!$B61:$U61,0)&lt;='Strategy Settings'!$B$7,RANK.EQ('Momentum Ranks'!I60,'Momentum Ranks'!$B60:$U60,0)&lt;='Strategy Settings'!$B$7),1,0)+IF(AND(RANK.EQ('Momentum Ranks'!J61,'Momentum Ranks'!$B61:$U61,0)&lt;='Strategy Settings'!$B$7,RANK.EQ('Momentum Ranks'!J60,'Momentum Ranks'!$B60:$U60,0)&lt;='Strategy Settings'!$B$7),1,0)+IF(AND(RANK.EQ('Momentum Ranks'!K61,'Momentum Ranks'!$B61:$U61,0)&lt;='Strategy Settings'!$B$7,RANK.EQ('Momentum Ranks'!K60,'Momentum Ranks'!$B60:$U60,0)&lt;='Strategy Settings'!$B$7),1,0)+IF(AND(RANK.EQ('Momentum Ranks'!L61,'Momentum Ranks'!$B61:$U61,0)&lt;='Strategy Settings'!$B$7,RANK.EQ('Momentum Ranks'!L60,'Momentum Ranks'!$B60:$U60,0)&lt;='Strategy Settings'!$B$7),1,0)+IF(AND(RANK.EQ('Momentum Ranks'!M61,'Momentum Ranks'!$B61:$U61,0)&lt;='Strategy Settings'!$B$7,RANK.EQ('Momentum Ranks'!M60,'Momentum Ranks'!$B60:$U60,0)&lt;='Strategy Settings'!$B$7),1,0)+IF(AND(RANK.EQ('Momentum Ranks'!N61,'Momentum Ranks'!$B61:$U61,0)&lt;='Strategy Settings'!$B$7,RANK.EQ('Momentum Ranks'!N60,'Momentum Ranks'!$B60:$U60,0)&lt;='Strategy Settings'!$B$7),1,0)+IF(AND(RANK.EQ('Momentum Ranks'!O61,'Momentum Ranks'!$B61:$U61,0)&lt;='Strategy Settings'!$B$7,RANK.EQ('Momentum Ranks'!O60,'Momentum Ranks'!$B60:$U60,0)&lt;='Strategy Settings'!$B$7),1,0)+IF(AND(RANK.EQ('Momentum Ranks'!P61,'Momentum Ranks'!$B61:$U61,0)&lt;='Strategy Settings'!$B$7,RANK.EQ('Momentum Ranks'!P60,'Momentum Ranks'!$B60:$U60,0)&lt;='Strategy Settings'!$B$7),1,0)+IF(AND(RANK.EQ('Momentum Ranks'!Q61,'Momentum Ranks'!$B61:$U61,0)&lt;='Strategy Settings'!$B$7,RANK.EQ('Momentum Ranks'!Q60,'Momentum Ranks'!$B60:$U60,0)&lt;='Strategy Settings'!$B$7),1,0)+IF(AND(RANK.EQ('Momentum Ranks'!R61,'Momentum Ranks'!$B61:$U61,0)&lt;='Strategy Settings'!$B$7,RANK.EQ('Momentum Ranks'!R60,'Momentum Ranks'!$B60:$U60,0)&lt;='Strategy Settings'!$B$7),1,0)+IF(AND(RANK.EQ('Momentum Ranks'!S61,'Momentum Ranks'!$B61:$U61,0)&lt;='Strategy Settings'!$B$7,RANK.EQ('Momentum Ranks'!S60,'Momentum Ranks'!$B60:$U60,0)&lt;='Strategy Settings'!$B$7),1,0)+IF(AND(RANK.EQ('Momentum Ranks'!T61,'Momentum Ranks'!$B61:$U61,0)&lt;='Strategy Settings'!$B$7,RANK.EQ('Momentum Ranks'!T60,'Momentum Ranks'!$B60:$U60,0)&lt;='Strategy Settings'!$B$7),1,0)+IF(AND(RANK.EQ('Momentum Ranks'!U61,'Momentum Ranks'!$B61:$U61,0)&lt;='Strategy Settings'!$B$7,RANK.EQ('Momentum Ranks'!U60,'Momentum Ranks'!$B60:$U60,0)&lt;='Strategy Settings'!$B$7),1,0))/'Strategy Settings'!$B$7</x:f>
        <x:v>0.25</x:v>
      </x:c>
      <x:c r="D61" s="26" t="n">
        <x:f>C61*'Strategy Settings'!$B$9</x:f>
        <x:v>0.00025</x:v>
      </x:c>
      <x:c r="E61" s="26" t="n">
        <x:f>B61-D61</x:f>
        <x:v>0.10014732103909647</x:v>
      </x:c>
      <x:c r="F61" s="26" t="n">
        <x:f>'Return Data'!V71</x:f>
        <x:v>-0.02594101892160976</x:v>
      </x:c>
      <x:c r="G61" s="26" t="n">
        <x:f>E61-F61</x:f>
        <x:v>0.12608833996070623</x:v>
      </x:c>
      <x:c r="H61" s="28" t="n">
        <x:f>H60*(1+E61)</x:f>
        <x:v>1.739049391144462</x:v>
      </x:c>
      <x:c r="I61" s="28" t="n">
        <x:f>I60*(1+F61)</x:f>
        <x:v>1.4968964162495653</x:v>
      </x:c>
      <x:c r="J61" s="26" t="n">
        <x:f>H61/MAX($H$4:H61)-1</x:f>
        <x:v>-0.09976726384490642</x:v>
      </x:c>
      <x:c r="K61" s="26" t="n">
        <x:f>I61/MAX($I$4:I61)-1</x:f>
        <x:v>-0.05871077065717012</x:v>
      </x:c>
    </x:row>
    <x:row r="62">
      <x:c r="A62" s="20" t="n">
        <x:f>'Return Data'!A76</x:f>
        <x:v>45899</x:v>
      </x:c>
      <x:c r="B62" s="26" t="n">
        <x:f>(IF(RANK.EQ('Momentum Ranks'!B62,'Momentum Ranks'!$B62:$U62,0)&lt;='Strategy Settings'!$B$7,'Return Data'!B76,0)+IF(RANK.EQ('Momentum Ranks'!C62,'Momentum Ranks'!$B62:$U62,0)&lt;='Strategy Settings'!$B$7,'Return Data'!C76,0)+IF(RANK.EQ('Momentum Ranks'!D62,'Momentum Ranks'!$B62:$U62,0)&lt;='Strategy Settings'!$B$7,'Return Data'!D76,0)+IF(RANK.EQ('Momentum Ranks'!E62,'Momentum Ranks'!$B62:$U62,0)&lt;='Strategy Settings'!$B$7,'Return Data'!E76,0)+IF(RANK.EQ('Momentum Ranks'!F62,'Momentum Ranks'!$B62:$U62,0)&lt;='Strategy Settings'!$B$7,'Return Data'!F76,0)+IF(RANK.EQ('Momentum Ranks'!G62,'Momentum Ranks'!$B62:$U62,0)&lt;='Strategy Settings'!$B$7,'Return Data'!G76,0)+IF(RANK.EQ('Momentum Ranks'!H62,'Momentum Ranks'!$B62:$U62,0)&lt;='Strategy Settings'!$B$7,'Return Data'!H76,0)+IF(RANK.EQ('Momentum Ranks'!I62,'Momentum Ranks'!$B62:$U62,0)&lt;='Strategy Settings'!$B$7,'Return Data'!I76,0)+IF(RANK.EQ('Momentum Ranks'!J62,'Momentum Ranks'!$B62:$U62,0)&lt;='Strategy Settings'!$B$7,'Return Data'!J76,0)+IF(RANK.EQ('Momentum Ranks'!K62,'Momentum Ranks'!$B62:$U62,0)&lt;='Strategy Settings'!$B$7,'Return Data'!K76,0)+IF(RANK.EQ('Momentum Ranks'!L62,'Momentum Ranks'!$B62:$U62,0)&lt;='Strategy Settings'!$B$7,'Return Data'!L76,0)+IF(RANK.EQ('Momentum Ranks'!M62,'Momentum Ranks'!$B62:$U62,0)&lt;='Strategy Settings'!$B$7,'Return Data'!M76,0)+IF(RANK.EQ('Momentum Ranks'!N62,'Momentum Ranks'!$B62:$U62,0)&lt;='Strategy Settings'!$B$7,'Return Data'!N76,0)+IF(RANK.EQ('Momentum Ranks'!O62,'Momentum Ranks'!$B62:$U62,0)&lt;='Strategy Settings'!$B$7,'Return Data'!O76,0)+IF(RANK.EQ('Momentum Ranks'!P62,'Momentum Ranks'!$B62:$U62,0)&lt;='Strategy Settings'!$B$7,'Return Data'!P76,0)+IF(RANK.EQ('Momentum Ranks'!Q62,'Momentum Ranks'!$B62:$U62,0)&lt;='Strategy Settings'!$B$7,'Return Data'!Q76,0)+IF(RANK.EQ('Momentum Ranks'!R62,'Momentum Ranks'!$B62:$U62,0)&lt;='Strategy Settings'!$B$7,'Return Data'!R76,0)+IF(RANK.EQ('Momentum Ranks'!S62,'Momentum Ranks'!$B62:$U62,0)&lt;='Strategy Settings'!$B$7,'Return Data'!S76,0)+IF(RANK.EQ('Momentum Ranks'!T62,'Momentum Ranks'!$B62:$U62,0)&lt;='Strategy Settings'!$B$7,'Return Data'!T76,0)+IF(RANK.EQ('Momentum Ranks'!U62,'Momentum Ranks'!$B62:$U62,0)&lt;='Strategy Settings'!$B$7,'Return Data'!U76,0))/'Strategy Settings'!$B$7</x:f>
        <x:v>-0.028818829301289237</x:v>
      </x:c>
      <x:c r="C62" s="26" t="n">
        <x:f>1-(IF(AND(RANK.EQ('Momentum Ranks'!B62,'Momentum Ranks'!$B62:$U62,0)&lt;='Strategy Settings'!$B$7,RANK.EQ('Momentum Ranks'!B61,'Momentum Ranks'!$B61:$U61,0)&lt;='Strategy Settings'!$B$7),1,0)+IF(AND(RANK.EQ('Momentum Ranks'!C62,'Momentum Ranks'!$B62:$U62,0)&lt;='Strategy Settings'!$B$7,RANK.EQ('Momentum Ranks'!C61,'Momentum Ranks'!$B61:$U61,0)&lt;='Strategy Settings'!$B$7),1,0)+IF(AND(RANK.EQ('Momentum Ranks'!D62,'Momentum Ranks'!$B62:$U62,0)&lt;='Strategy Settings'!$B$7,RANK.EQ('Momentum Ranks'!D61,'Momentum Ranks'!$B61:$U61,0)&lt;='Strategy Settings'!$B$7),1,0)+IF(AND(RANK.EQ('Momentum Ranks'!E62,'Momentum Ranks'!$B62:$U62,0)&lt;='Strategy Settings'!$B$7,RANK.EQ('Momentum Ranks'!E61,'Momentum Ranks'!$B61:$U61,0)&lt;='Strategy Settings'!$B$7),1,0)+IF(AND(RANK.EQ('Momentum Ranks'!F62,'Momentum Ranks'!$B62:$U62,0)&lt;='Strategy Settings'!$B$7,RANK.EQ('Momentum Ranks'!F61,'Momentum Ranks'!$B61:$U61,0)&lt;='Strategy Settings'!$B$7),1,0)+IF(AND(RANK.EQ('Momentum Ranks'!G62,'Momentum Ranks'!$B62:$U62,0)&lt;='Strategy Settings'!$B$7,RANK.EQ('Momentum Ranks'!G61,'Momentum Ranks'!$B61:$U61,0)&lt;='Strategy Settings'!$B$7),1,0)+IF(AND(RANK.EQ('Momentum Ranks'!H62,'Momentum Ranks'!$B62:$U62,0)&lt;='Strategy Settings'!$B$7,RANK.EQ('Momentum Ranks'!H61,'Momentum Ranks'!$B61:$U61,0)&lt;='Strategy Settings'!$B$7),1,0)+IF(AND(RANK.EQ('Momentum Ranks'!I62,'Momentum Ranks'!$B62:$U62,0)&lt;='Strategy Settings'!$B$7,RANK.EQ('Momentum Ranks'!I61,'Momentum Ranks'!$B61:$U61,0)&lt;='Strategy Settings'!$B$7),1,0)+IF(AND(RANK.EQ('Momentum Ranks'!J62,'Momentum Ranks'!$B62:$U62,0)&lt;='Strategy Settings'!$B$7,RANK.EQ('Momentum Ranks'!J61,'Momentum Ranks'!$B61:$U61,0)&lt;='Strategy Settings'!$B$7),1,0)+IF(AND(RANK.EQ('Momentum Ranks'!K62,'Momentum Ranks'!$B62:$U62,0)&lt;='Strategy Settings'!$B$7,RANK.EQ('Momentum Ranks'!K61,'Momentum Ranks'!$B61:$U61,0)&lt;='Strategy Settings'!$B$7),1,0)+IF(AND(RANK.EQ('Momentum Ranks'!L62,'Momentum Ranks'!$B62:$U62,0)&lt;='Strategy Settings'!$B$7,RANK.EQ('Momentum Ranks'!L61,'Momentum Ranks'!$B61:$U61,0)&lt;='Strategy Settings'!$B$7),1,0)+IF(AND(RANK.EQ('Momentum Ranks'!M62,'Momentum Ranks'!$B62:$U62,0)&lt;='Strategy Settings'!$B$7,RANK.EQ('Momentum Ranks'!M61,'Momentum Ranks'!$B61:$U61,0)&lt;='Strategy Settings'!$B$7),1,0)+IF(AND(RANK.EQ('Momentum Ranks'!N62,'Momentum Ranks'!$B62:$U62,0)&lt;='Strategy Settings'!$B$7,RANK.EQ('Momentum Ranks'!N61,'Momentum Ranks'!$B61:$U61,0)&lt;='Strategy Settings'!$B$7),1,0)+IF(AND(RANK.EQ('Momentum Ranks'!O62,'Momentum Ranks'!$B62:$U62,0)&lt;='Strategy Settings'!$B$7,RANK.EQ('Momentum Ranks'!O61,'Momentum Ranks'!$B61:$U61,0)&lt;='Strategy Settings'!$B$7),1,0)+IF(AND(RANK.EQ('Momentum Ranks'!P62,'Momentum Ranks'!$B62:$U62,0)&lt;='Strategy Settings'!$B$7,RANK.EQ('Momentum Ranks'!P61,'Momentum Ranks'!$B61:$U61,0)&lt;='Strategy Settings'!$B$7),1,0)+IF(AND(RANK.EQ('Momentum Ranks'!Q62,'Momentum Ranks'!$B62:$U62,0)&lt;='Strategy Settings'!$B$7,RANK.EQ('Momentum Ranks'!Q61,'Momentum Ranks'!$B61:$U61,0)&lt;='Strategy Settings'!$B$7),1,0)+IF(AND(RANK.EQ('Momentum Ranks'!R62,'Momentum Ranks'!$B62:$U62,0)&lt;='Strategy Settings'!$B$7,RANK.EQ('Momentum Ranks'!R61,'Momentum Ranks'!$B61:$U61,0)&lt;='Strategy Settings'!$B$7),1,0)+IF(AND(RANK.EQ('Momentum Ranks'!S62,'Momentum Ranks'!$B62:$U62,0)&lt;='Strategy Settings'!$B$7,RANK.EQ('Momentum Ranks'!S61,'Momentum Ranks'!$B61:$U61,0)&lt;='Strategy Settings'!$B$7),1,0)+IF(AND(RANK.EQ('Momentum Ranks'!T62,'Momentum Ranks'!$B62:$U62,0)&lt;='Strategy Settings'!$B$7,RANK.EQ('Momentum Ranks'!T61,'Momentum Ranks'!$B61:$U61,0)&lt;='Strategy Settings'!$B$7),1,0)+IF(AND(RANK.EQ('Momentum Ranks'!U62,'Momentum Ranks'!$B62:$U62,0)&lt;='Strategy Settings'!$B$7,RANK.EQ('Momentum Ranks'!U61,'Momentum Ranks'!$B61:$U61,0)&lt;='Strategy Settings'!$B$7),1,0))/'Strategy Settings'!$B$7</x:f>
        <x:v>0</x:v>
      </x:c>
      <x:c r="D62" s="26" t="n">
        <x:f>C62*'Strategy Settings'!$B$9</x:f>
        <x:v>0</x:v>
      </x:c>
      <x:c r="E62" s="26" t="n">
        <x:f>B62-D62</x:f>
        <x:v>-0.028818829301289237</x:v>
      </x:c>
      <x:c r="F62" s="26" t="n">
        <x:f>'Return Data'!V72</x:f>
        <x:v>-0.07667399558389192</x:v>
      </x:c>
      <x:c r="G62" s="26" t="n">
        <x:f>E62-F62</x:f>
        <x:v>0.04785516628260268</x:v>
      </x:c>
      <x:c r="H62" s="28" t="n">
        <x:f>H61*(1+E62)</x:f>
        <x:v>1.6889320235945589</x:v>
      </x:c>
      <x:c r="I62" s="28" t="n">
        <x:f>I61*(1+F62)</x:f>
        <x:v>1.3821233870405025</x:v>
      </x:c>
      <x:c r="J62" s="26" t="n">
        <x:f>H62/MAX($H$4:H62)-1</x:f>
        <x:v>-0.1257109173995925</x:v>
      </x:c>
      <x:c r="K62" s="26" t="n">
        <x:f>I62/MAX($I$4:I62)-1</x:f>
        <x:v>-0.1308831768709673</x:v>
      </x:c>
    </x:row>
    <x:row r="63">
      <x:c r="A63" s="20" t="n">
        <x:f>'Return Data'!A77</x:f>
        <x:v>45930</x:v>
      </x:c>
      <x:c r="B63" s="26" t="n">
        <x:f>(IF(RANK.EQ('Momentum Ranks'!B63,'Momentum Ranks'!$B63:$U63,0)&lt;='Strategy Settings'!$B$7,'Return Data'!B77,0)+IF(RANK.EQ('Momentum Ranks'!C63,'Momentum Ranks'!$B63:$U63,0)&lt;='Strategy Settings'!$B$7,'Return Data'!C77,0)+IF(RANK.EQ('Momentum Ranks'!D63,'Momentum Ranks'!$B63:$U63,0)&lt;='Strategy Settings'!$B$7,'Return Data'!D77,0)+IF(RANK.EQ('Momentum Ranks'!E63,'Momentum Ranks'!$B63:$U63,0)&lt;='Strategy Settings'!$B$7,'Return Data'!E77,0)+IF(RANK.EQ('Momentum Ranks'!F63,'Momentum Ranks'!$B63:$U63,0)&lt;='Strategy Settings'!$B$7,'Return Data'!F77,0)+IF(RANK.EQ('Momentum Ranks'!G63,'Momentum Ranks'!$B63:$U63,0)&lt;='Strategy Settings'!$B$7,'Return Data'!G77,0)+IF(RANK.EQ('Momentum Ranks'!H63,'Momentum Ranks'!$B63:$U63,0)&lt;='Strategy Settings'!$B$7,'Return Data'!H77,0)+IF(RANK.EQ('Momentum Ranks'!I63,'Momentum Ranks'!$B63:$U63,0)&lt;='Strategy Settings'!$B$7,'Return Data'!I77,0)+IF(RANK.EQ('Momentum Ranks'!J63,'Momentum Ranks'!$B63:$U63,0)&lt;='Strategy Settings'!$B$7,'Return Data'!J77,0)+IF(RANK.EQ('Momentum Ranks'!K63,'Momentum Ranks'!$B63:$U63,0)&lt;='Strategy Settings'!$B$7,'Return Data'!K77,0)+IF(RANK.EQ('Momentum Ranks'!L63,'Momentum Ranks'!$B63:$U63,0)&lt;='Strategy Settings'!$B$7,'Return Data'!L77,0)+IF(RANK.EQ('Momentum Ranks'!M63,'Momentum Ranks'!$B63:$U63,0)&lt;='Strategy Settings'!$B$7,'Return Data'!M77,0)+IF(RANK.EQ('Momentum Ranks'!N63,'Momentum Ranks'!$B63:$U63,0)&lt;='Strategy Settings'!$B$7,'Return Data'!N77,0)+IF(RANK.EQ('Momentum Ranks'!O63,'Momentum Ranks'!$B63:$U63,0)&lt;='Strategy Settings'!$B$7,'Return Data'!O77,0)+IF(RANK.EQ('Momentum Ranks'!P63,'Momentum Ranks'!$B63:$U63,0)&lt;='Strategy Settings'!$B$7,'Return Data'!P77,0)+IF(RANK.EQ('Momentum Ranks'!Q63,'Momentum Ranks'!$B63:$U63,0)&lt;='Strategy Settings'!$B$7,'Return Data'!Q77,0)+IF(RANK.EQ('Momentum Ranks'!R63,'Momentum Ranks'!$B63:$U63,0)&lt;='Strategy Settings'!$B$7,'Return Data'!R77,0)+IF(RANK.EQ('Momentum Ranks'!S63,'Momentum Ranks'!$B63:$U63,0)&lt;='Strategy Settings'!$B$7,'Return Data'!S77,0)+IF(RANK.EQ('Momentum Ranks'!T63,'Momentum Ranks'!$B63:$U63,0)&lt;='Strategy Settings'!$B$7,'Return Data'!T77,0)+IF(RANK.EQ('Momentum Ranks'!U63,'Momentum Ranks'!$B63:$U63,0)&lt;='Strategy Settings'!$B$7,'Return Data'!U77,0))/'Strategy Settings'!$B$7</x:f>
        <x:v>0.025483205795048834</x:v>
      </x:c>
      <x:c r="C63" s="26" t="n">
        <x:f>1-(IF(AND(RANK.EQ('Momentum Ranks'!B63,'Momentum Ranks'!$B63:$U63,0)&lt;='Strategy Settings'!$B$7,RANK.EQ('Momentum Ranks'!B62,'Momentum Ranks'!$B62:$U62,0)&lt;='Strategy Settings'!$B$7),1,0)+IF(AND(RANK.EQ('Momentum Ranks'!C63,'Momentum Ranks'!$B63:$U63,0)&lt;='Strategy Settings'!$B$7,RANK.EQ('Momentum Ranks'!C62,'Momentum Ranks'!$B62:$U62,0)&lt;='Strategy Settings'!$B$7),1,0)+IF(AND(RANK.EQ('Momentum Ranks'!D63,'Momentum Ranks'!$B63:$U63,0)&lt;='Strategy Settings'!$B$7,RANK.EQ('Momentum Ranks'!D62,'Momentum Ranks'!$B62:$U62,0)&lt;='Strategy Settings'!$B$7),1,0)+IF(AND(RANK.EQ('Momentum Ranks'!E63,'Momentum Ranks'!$B63:$U63,0)&lt;='Strategy Settings'!$B$7,RANK.EQ('Momentum Ranks'!E62,'Momentum Ranks'!$B62:$U62,0)&lt;='Strategy Settings'!$B$7),1,0)+IF(AND(RANK.EQ('Momentum Ranks'!F63,'Momentum Ranks'!$B63:$U63,0)&lt;='Strategy Settings'!$B$7,RANK.EQ('Momentum Ranks'!F62,'Momentum Ranks'!$B62:$U62,0)&lt;='Strategy Settings'!$B$7),1,0)+IF(AND(RANK.EQ('Momentum Ranks'!G63,'Momentum Ranks'!$B63:$U63,0)&lt;='Strategy Settings'!$B$7,RANK.EQ('Momentum Ranks'!G62,'Momentum Ranks'!$B62:$U62,0)&lt;='Strategy Settings'!$B$7),1,0)+IF(AND(RANK.EQ('Momentum Ranks'!H63,'Momentum Ranks'!$B63:$U63,0)&lt;='Strategy Settings'!$B$7,RANK.EQ('Momentum Ranks'!H62,'Momentum Ranks'!$B62:$U62,0)&lt;='Strategy Settings'!$B$7),1,0)+IF(AND(RANK.EQ('Momentum Ranks'!I63,'Momentum Ranks'!$B63:$U63,0)&lt;='Strategy Settings'!$B$7,RANK.EQ('Momentum Ranks'!I62,'Momentum Ranks'!$B62:$U62,0)&lt;='Strategy Settings'!$B$7),1,0)+IF(AND(RANK.EQ('Momentum Ranks'!J63,'Momentum Ranks'!$B63:$U63,0)&lt;='Strategy Settings'!$B$7,RANK.EQ('Momentum Ranks'!J62,'Momentum Ranks'!$B62:$U62,0)&lt;='Strategy Settings'!$B$7),1,0)+IF(AND(RANK.EQ('Momentum Ranks'!K63,'Momentum Ranks'!$B63:$U63,0)&lt;='Strategy Settings'!$B$7,RANK.EQ('Momentum Ranks'!K62,'Momentum Ranks'!$B62:$U62,0)&lt;='Strategy Settings'!$B$7),1,0)+IF(AND(RANK.EQ('Momentum Ranks'!L63,'Momentum Ranks'!$B63:$U63,0)&lt;='Strategy Settings'!$B$7,RANK.EQ('Momentum Ranks'!L62,'Momentum Ranks'!$B62:$U62,0)&lt;='Strategy Settings'!$B$7),1,0)+IF(AND(RANK.EQ('Momentum Ranks'!M63,'Momentum Ranks'!$B63:$U63,0)&lt;='Strategy Settings'!$B$7,RANK.EQ('Momentum Ranks'!M62,'Momentum Ranks'!$B62:$U62,0)&lt;='Strategy Settings'!$B$7),1,0)+IF(AND(RANK.EQ('Momentum Ranks'!N63,'Momentum Ranks'!$B63:$U63,0)&lt;='Strategy Settings'!$B$7,RANK.EQ('Momentum Ranks'!N62,'Momentum Ranks'!$B62:$U62,0)&lt;='Strategy Settings'!$B$7),1,0)+IF(AND(RANK.EQ('Momentum Ranks'!O63,'Momentum Ranks'!$B63:$U63,0)&lt;='Strategy Settings'!$B$7,RANK.EQ('Momentum Ranks'!O62,'Momentum Ranks'!$B62:$U62,0)&lt;='Strategy Settings'!$B$7),1,0)+IF(AND(RANK.EQ('Momentum Ranks'!P63,'Momentum Ranks'!$B63:$U63,0)&lt;='Strategy Settings'!$B$7,RANK.EQ('Momentum Ranks'!P62,'Momentum Ranks'!$B62:$U62,0)&lt;='Strategy Settings'!$B$7),1,0)+IF(AND(RANK.EQ('Momentum Ranks'!Q63,'Momentum Ranks'!$B63:$U63,0)&lt;='Strategy Settings'!$B$7,RANK.EQ('Momentum Ranks'!Q62,'Momentum Ranks'!$B62:$U62,0)&lt;='Strategy Settings'!$B$7),1,0)+IF(AND(RANK.EQ('Momentum Ranks'!R63,'Momentum Ranks'!$B63:$U63,0)&lt;='Strategy Settings'!$B$7,RANK.EQ('Momentum Ranks'!R62,'Momentum Ranks'!$B62:$U62,0)&lt;='Strategy Settings'!$B$7),1,0)+IF(AND(RANK.EQ('Momentum Ranks'!S63,'Momentum Ranks'!$B63:$U63,0)&lt;='Strategy Settings'!$B$7,RANK.EQ('Momentum Ranks'!S62,'Momentum Ranks'!$B62:$U62,0)&lt;='Strategy Settings'!$B$7),1,0)+IF(AND(RANK.EQ('Momentum Ranks'!T63,'Momentum Ranks'!$B63:$U63,0)&lt;='Strategy Settings'!$B$7,RANK.EQ('Momentum Ranks'!T62,'Momentum Ranks'!$B62:$U62,0)&lt;='Strategy Settings'!$B$7),1,0)+IF(AND(RANK.EQ('Momentum Ranks'!U63,'Momentum Ranks'!$B63:$U63,0)&lt;='Strategy Settings'!$B$7,RANK.EQ('Momentum Ranks'!U62,'Momentum Ranks'!$B62:$U62,0)&lt;='Strategy Settings'!$B$7),1,0))/'Strategy Settings'!$B$7</x:f>
        <x:v>0.25</x:v>
      </x:c>
      <x:c r="D63" s="26" t="n">
        <x:f>C63*'Strategy Settings'!$B$9</x:f>
        <x:v>0.00025</x:v>
      </x:c>
      <x:c r="E63" s="26" t="n">
        <x:f>B63-D63</x:f>
        <x:v>0.025233205795048834</x:v>
      </x:c>
      <x:c r="F63" s="26" t="n">
        <x:f>'Return Data'!V73</x:f>
        <x:v>-0.0109808081734338</x:v>
      </x:c>
      <x:c r="G63" s="26" t="n">
        <x:f>E63-F63</x:f>
        <x:v>0.03621401396848263</x:v>
      </x:c>
      <x:c r="H63" s="28" t="n">
        <x:f>H62*(1+E63)</x:f>
        <x:v>1.7315491929197686</x:v>
      </x:c>
      <x:c r="I63" s="28" t="n">
        <x:f>I62*(1+F63)</x:f>
        <x:v>1.366946555255394</x:v>
      </x:c>
      <x:c r="J63" s="26" t="n">
        <x:f>H63/MAX($H$4:H63)-1</x:f>
        <x:v>-0.10364980105397203</x:v>
      </x:c>
      <x:c r="K63" s="26" t="n">
        <x:f>I63/MAX($I$4:I63)-1</x:f>
        <x:v>-0.1404267819860514</x:v>
      </x:c>
    </x:row>
    <x:row r="64">
      <x:c r="A64" s="20" t="n">
        <x:f>'Return Data'!A78</x:f>
        <x:v>45960</x:v>
      </x:c>
      <x:c r="B64" s="26" t="n">
        <x:f>(IF(RANK.EQ('Momentum Ranks'!B64,'Momentum Ranks'!$B64:$U64,0)&lt;='Strategy Settings'!$B$7,'Return Data'!B78,0)+IF(RANK.EQ('Momentum Ranks'!C64,'Momentum Ranks'!$B64:$U64,0)&lt;='Strategy Settings'!$B$7,'Return Data'!C78,0)+IF(RANK.EQ('Momentum Ranks'!D64,'Momentum Ranks'!$B64:$U64,0)&lt;='Strategy Settings'!$B$7,'Return Data'!D78,0)+IF(RANK.EQ('Momentum Ranks'!E64,'Momentum Ranks'!$B64:$U64,0)&lt;='Strategy Settings'!$B$7,'Return Data'!E78,0)+IF(RANK.EQ('Momentum Ranks'!F64,'Momentum Ranks'!$B64:$U64,0)&lt;='Strategy Settings'!$B$7,'Return Data'!F78,0)+IF(RANK.EQ('Momentum Ranks'!G64,'Momentum Ranks'!$B64:$U64,0)&lt;='Strategy Settings'!$B$7,'Return Data'!G78,0)+IF(RANK.EQ('Momentum Ranks'!H64,'Momentum Ranks'!$B64:$U64,0)&lt;='Strategy Settings'!$B$7,'Return Data'!H78,0)+IF(RANK.EQ('Momentum Ranks'!I64,'Momentum Ranks'!$B64:$U64,0)&lt;='Strategy Settings'!$B$7,'Return Data'!I78,0)+IF(RANK.EQ('Momentum Ranks'!J64,'Momentum Ranks'!$B64:$U64,0)&lt;='Strategy Settings'!$B$7,'Return Data'!J78,0)+IF(RANK.EQ('Momentum Ranks'!K64,'Momentum Ranks'!$B64:$U64,0)&lt;='Strategy Settings'!$B$7,'Return Data'!K78,0)+IF(RANK.EQ('Momentum Ranks'!L64,'Momentum Ranks'!$B64:$U64,0)&lt;='Strategy Settings'!$B$7,'Return Data'!L78,0)+IF(RANK.EQ('Momentum Ranks'!M64,'Momentum Ranks'!$B64:$U64,0)&lt;='Strategy Settings'!$B$7,'Return Data'!M78,0)+IF(RANK.EQ('Momentum Ranks'!N64,'Momentum Ranks'!$B64:$U64,0)&lt;='Strategy Settings'!$B$7,'Return Data'!N78,0)+IF(RANK.EQ('Momentum Ranks'!O64,'Momentum Ranks'!$B64:$U64,0)&lt;='Strategy Settings'!$B$7,'Return Data'!O78,0)+IF(RANK.EQ('Momentum Ranks'!P64,'Momentum Ranks'!$B64:$U64,0)&lt;='Strategy Settings'!$B$7,'Return Data'!P78,0)+IF(RANK.EQ('Momentum Ranks'!Q64,'Momentum Ranks'!$B64:$U64,0)&lt;='Strategy Settings'!$B$7,'Return Data'!Q78,0)+IF(RANK.EQ('Momentum Ranks'!R64,'Momentum Ranks'!$B64:$U64,0)&lt;='Strategy Settings'!$B$7,'Return Data'!R78,0)+IF(RANK.EQ('Momentum Ranks'!S64,'Momentum Ranks'!$B64:$U64,0)&lt;='Strategy Settings'!$B$7,'Return Data'!S78,0)+IF(RANK.EQ('Momentum Ranks'!T64,'Momentum Ranks'!$B64:$U64,0)&lt;='Strategy Settings'!$B$7,'Return Data'!T78,0)+IF(RANK.EQ('Momentum Ranks'!U64,'Momentum Ranks'!$B64:$U64,0)&lt;='Strategy Settings'!$B$7,'Return Data'!U78,0))/'Strategy Settings'!$B$7</x:f>
        <x:v>-0.03638352325393532</x:v>
      </x:c>
      <x:c r="C64" s="26" t="n">
        <x:f>1-(IF(AND(RANK.EQ('Momentum Ranks'!B64,'Momentum Ranks'!$B64:$U64,0)&lt;='Strategy Settings'!$B$7,RANK.EQ('Momentum Ranks'!B63,'Momentum Ranks'!$B63:$U63,0)&lt;='Strategy Settings'!$B$7),1,0)+IF(AND(RANK.EQ('Momentum Ranks'!C64,'Momentum Ranks'!$B64:$U64,0)&lt;='Strategy Settings'!$B$7,RANK.EQ('Momentum Ranks'!C63,'Momentum Ranks'!$B63:$U63,0)&lt;='Strategy Settings'!$B$7),1,0)+IF(AND(RANK.EQ('Momentum Ranks'!D64,'Momentum Ranks'!$B64:$U64,0)&lt;='Strategy Settings'!$B$7,RANK.EQ('Momentum Ranks'!D63,'Momentum Ranks'!$B63:$U63,0)&lt;='Strategy Settings'!$B$7),1,0)+IF(AND(RANK.EQ('Momentum Ranks'!E64,'Momentum Ranks'!$B64:$U64,0)&lt;='Strategy Settings'!$B$7,RANK.EQ('Momentum Ranks'!E63,'Momentum Ranks'!$B63:$U63,0)&lt;='Strategy Settings'!$B$7),1,0)+IF(AND(RANK.EQ('Momentum Ranks'!F64,'Momentum Ranks'!$B64:$U64,0)&lt;='Strategy Settings'!$B$7,RANK.EQ('Momentum Ranks'!F63,'Momentum Ranks'!$B63:$U63,0)&lt;='Strategy Settings'!$B$7),1,0)+IF(AND(RANK.EQ('Momentum Ranks'!G64,'Momentum Ranks'!$B64:$U64,0)&lt;='Strategy Settings'!$B$7,RANK.EQ('Momentum Ranks'!G63,'Momentum Ranks'!$B63:$U63,0)&lt;='Strategy Settings'!$B$7),1,0)+IF(AND(RANK.EQ('Momentum Ranks'!H64,'Momentum Ranks'!$B64:$U64,0)&lt;='Strategy Settings'!$B$7,RANK.EQ('Momentum Ranks'!H63,'Momentum Ranks'!$B63:$U63,0)&lt;='Strategy Settings'!$B$7),1,0)+IF(AND(RANK.EQ('Momentum Ranks'!I64,'Momentum Ranks'!$B64:$U64,0)&lt;='Strategy Settings'!$B$7,RANK.EQ('Momentum Ranks'!I63,'Momentum Ranks'!$B63:$U63,0)&lt;='Strategy Settings'!$B$7),1,0)+IF(AND(RANK.EQ('Momentum Ranks'!J64,'Momentum Ranks'!$B64:$U64,0)&lt;='Strategy Settings'!$B$7,RANK.EQ('Momentum Ranks'!J63,'Momentum Ranks'!$B63:$U63,0)&lt;='Strategy Settings'!$B$7),1,0)+IF(AND(RANK.EQ('Momentum Ranks'!K64,'Momentum Ranks'!$B64:$U64,0)&lt;='Strategy Settings'!$B$7,RANK.EQ('Momentum Ranks'!K63,'Momentum Ranks'!$B63:$U63,0)&lt;='Strategy Settings'!$B$7),1,0)+IF(AND(RANK.EQ('Momentum Ranks'!L64,'Momentum Ranks'!$B64:$U64,0)&lt;='Strategy Settings'!$B$7,RANK.EQ('Momentum Ranks'!L63,'Momentum Ranks'!$B63:$U63,0)&lt;='Strategy Settings'!$B$7),1,0)+IF(AND(RANK.EQ('Momentum Ranks'!M64,'Momentum Ranks'!$B64:$U64,0)&lt;='Strategy Settings'!$B$7,RANK.EQ('Momentum Ranks'!M63,'Momentum Ranks'!$B63:$U63,0)&lt;='Strategy Settings'!$B$7),1,0)+IF(AND(RANK.EQ('Momentum Ranks'!N64,'Momentum Ranks'!$B64:$U64,0)&lt;='Strategy Settings'!$B$7,RANK.EQ('Momentum Ranks'!N63,'Momentum Ranks'!$B63:$U63,0)&lt;='Strategy Settings'!$B$7),1,0)+IF(AND(RANK.EQ('Momentum Ranks'!O64,'Momentum Ranks'!$B64:$U64,0)&lt;='Strategy Settings'!$B$7,RANK.EQ('Momentum Ranks'!O63,'Momentum Ranks'!$B63:$U63,0)&lt;='Strategy Settings'!$B$7),1,0)+IF(AND(RANK.EQ('Momentum Ranks'!P64,'Momentum Ranks'!$B64:$U64,0)&lt;='Strategy Settings'!$B$7,RANK.EQ('Momentum Ranks'!P63,'Momentum Ranks'!$B63:$U63,0)&lt;='Strategy Settings'!$B$7),1,0)+IF(AND(RANK.EQ('Momentum Ranks'!Q64,'Momentum Ranks'!$B64:$U64,0)&lt;='Strategy Settings'!$B$7,RANK.EQ('Momentum Ranks'!Q63,'Momentum Ranks'!$B63:$U63,0)&lt;='Strategy Settings'!$B$7),1,0)+IF(AND(RANK.EQ('Momentum Ranks'!R64,'Momentum Ranks'!$B64:$U64,0)&lt;='Strategy Settings'!$B$7,RANK.EQ('Momentum Ranks'!R63,'Momentum Ranks'!$B63:$U63,0)&lt;='Strategy Settings'!$B$7),1,0)+IF(AND(RANK.EQ('Momentum Ranks'!S64,'Momentum Ranks'!$B64:$U64,0)&lt;='Strategy Settings'!$B$7,RANK.EQ('Momentum Ranks'!S63,'Momentum Ranks'!$B63:$U63,0)&lt;='Strategy Settings'!$B$7),1,0)+IF(AND(RANK.EQ('Momentum Ranks'!T64,'Momentum Ranks'!$B64:$U64,0)&lt;='Strategy Settings'!$B$7,RANK.EQ('Momentum Ranks'!T63,'Momentum Ranks'!$B63:$U63,0)&lt;='Strategy Settings'!$B$7),1,0)+IF(AND(RANK.EQ('Momentum Ranks'!U64,'Momentum Ranks'!$B64:$U64,0)&lt;='Strategy Settings'!$B$7,RANK.EQ('Momentum Ranks'!U63,'Momentum Ranks'!$B63:$U63,0)&lt;='Strategy Settings'!$B$7),1,0))/'Strategy Settings'!$B$7</x:f>
        <x:v>0</x:v>
      </x:c>
      <x:c r="D64" s="26" t="n">
        <x:f>C64*'Strategy Settings'!$B$9</x:f>
        <x:v>0</x:v>
      </x:c>
      <x:c r="E64" s="26" t="n">
        <x:f>B64-D64</x:f>
        <x:v>-0.03638352325393532</x:v>
      </x:c>
      <x:c r="F64" s="26" t="n">
        <x:f>'Return Data'!V74</x:f>
        <x:v>-0.042748880054786935</x:v>
      </x:c>
      <x:c r="G64" s="26" t="n">
        <x:f>E64-F64</x:f>
        <x:v>0.006365356800851617</x:v>
      </x:c>
      <x:c r="H64" s="28" t="n">
        <x:f>H63*(1+E64)</x:f>
        <x:v>1.6685493325938392</x:v>
      </x:c>
      <x:c r="I64" s="28" t="n">
        <x:f>I63*(1+F64)</x:f>
        <x:v>1.308511120923477</x:v>
      </x:c>
      <x:c r="J64" s="26" t="n">
        <x:f>H64/MAX($H$4:H64)-1</x:f>
        <x:v>-0.13626217936099438</x:v>
      </x:c>
      <x:c r="K64" s="26" t="n">
        <x:f>I64/MAX($I$4:I64)-1</x:f>
        <x:v>-0.177172574381237</x:v>
      </x:c>
    </x:row>
    <x:row r="65">
      <x:c r="A65" s="20" t="n">
        <x:f>'Return Data'!A79</x:f>
        <x:v>45991</x:v>
      </x:c>
      <x:c r="B65" s="26" t="n">
        <x:f>(IF(RANK.EQ('Momentum Ranks'!B65,'Momentum Ranks'!$B65:$U65,0)&lt;='Strategy Settings'!$B$7,'Return Data'!B79,0)+IF(RANK.EQ('Momentum Ranks'!C65,'Momentum Ranks'!$B65:$U65,0)&lt;='Strategy Settings'!$B$7,'Return Data'!C79,0)+IF(RANK.EQ('Momentum Ranks'!D65,'Momentum Ranks'!$B65:$U65,0)&lt;='Strategy Settings'!$B$7,'Return Data'!D79,0)+IF(RANK.EQ('Momentum Ranks'!E65,'Momentum Ranks'!$B65:$U65,0)&lt;='Strategy Settings'!$B$7,'Return Data'!E79,0)+IF(RANK.EQ('Momentum Ranks'!F65,'Momentum Ranks'!$B65:$U65,0)&lt;='Strategy Settings'!$B$7,'Return Data'!F79,0)+IF(RANK.EQ('Momentum Ranks'!G65,'Momentum Ranks'!$B65:$U65,0)&lt;='Strategy Settings'!$B$7,'Return Data'!G79,0)+IF(RANK.EQ('Momentum Ranks'!H65,'Momentum Ranks'!$B65:$U65,0)&lt;='Strategy Settings'!$B$7,'Return Data'!H79,0)+IF(RANK.EQ('Momentum Ranks'!I65,'Momentum Ranks'!$B65:$U65,0)&lt;='Strategy Settings'!$B$7,'Return Data'!I79,0)+IF(RANK.EQ('Momentum Ranks'!J65,'Momentum Ranks'!$B65:$U65,0)&lt;='Strategy Settings'!$B$7,'Return Data'!J79,0)+IF(RANK.EQ('Momentum Ranks'!K65,'Momentum Ranks'!$B65:$U65,0)&lt;='Strategy Settings'!$B$7,'Return Data'!K79,0)+IF(RANK.EQ('Momentum Ranks'!L65,'Momentum Ranks'!$B65:$U65,0)&lt;='Strategy Settings'!$B$7,'Return Data'!L79,0)+IF(RANK.EQ('Momentum Ranks'!M65,'Momentum Ranks'!$B65:$U65,0)&lt;='Strategy Settings'!$B$7,'Return Data'!M79,0)+IF(RANK.EQ('Momentum Ranks'!N65,'Momentum Ranks'!$B65:$U65,0)&lt;='Strategy Settings'!$B$7,'Return Data'!N79,0)+IF(RANK.EQ('Momentum Ranks'!O65,'Momentum Ranks'!$B65:$U65,0)&lt;='Strategy Settings'!$B$7,'Return Data'!O79,0)+IF(RANK.EQ('Momentum Ranks'!P65,'Momentum Ranks'!$B65:$U65,0)&lt;='Strategy Settings'!$B$7,'Return Data'!P79,0)+IF(RANK.EQ('Momentum Ranks'!Q65,'Momentum Ranks'!$B65:$U65,0)&lt;='Strategy Settings'!$B$7,'Return Data'!Q79,0)+IF(RANK.EQ('Momentum Ranks'!R65,'Momentum Ranks'!$B65:$U65,0)&lt;='Strategy Settings'!$B$7,'Return Data'!R79,0)+IF(RANK.EQ('Momentum Ranks'!S65,'Momentum Ranks'!$B65:$U65,0)&lt;='Strategy Settings'!$B$7,'Return Data'!S79,0)+IF(RANK.EQ('Momentum Ranks'!T65,'Momentum Ranks'!$B65:$U65,0)&lt;='Strategy Settings'!$B$7,'Return Data'!T79,0)+IF(RANK.EQ('Momentum Ranks'!U65,'Momentum Ranks'!$B65:$U65,0)&lt;='Strategy Settings'!$B$7,'Return Data'!U79,0))/'Strategy Settings'!$B$7</x:f>
        <x:v>0.02752540519909668</x:v>
      </x:c>
      <x:c r="C65" s="26" t="n">
        <x:f>1-(IF(AND(RANK.EQ('Momentum Ranks'!B65,'Momentum Ranks'!$B65:$U65,0)&lt;='Strategy Settings'!$B$7,RANK.EQ('Momentum Ranks'!B64,'Momentum Ranks'!$B64:$U64,0)&lt;='Strategy Settings'!$B$7),1,0)+IF(AND(RANK.EQ('Momentum Ranks'!C65,'Momentum Ranks'!$B65:$U65,0)&lt;='Strategy Settings'!$B$7,RANK.EQ('Momentum Ranks'!C64,'Momentum Ranks'!$B64:$U64,0)&lt;='Strategy Settings'!$B$7),1,0)+IF(AND(RANK.EQ('Momentum Ranks'!D65,'Momentum Ranks'!$B65:$U65,0)&lt;='Strategy Settings'!$B$7,RANK.EQ('Momentum Ranks'!D64,'Momentum Ranks'!$B64:$U64,0)&lt;='Strategy Settings'!$B$7),1,0)+IF(AND(RANK.EQ('Momentum Ranks'!E65,'Momentum Ranks'!$B65:$U65,0)&lt;='Strategy Settings'!$B$7,RANK.EQ('Momentum Ranks'!E64,'Momentum Ranks'!$B64:$U64,0)&lt;='Strategy Settings'!$B$7),1,0)+IF(AND(RANK.EQ('Momentum Ranks'!F65,'Momentum Ranks'!$B65:$U65,0)&lt;='Strategy Settings'!$B$7,RANK.EQ('Momentum Ranks'!F64,'Momentum Ranks'!$B64:$U64,0)&lt;='Strategy Settings'!$B$7),1,0)+IF(AND(RANK.EQ('Momentum Ranks'!G65,'Momentum Ranks'!$B65:$U65,0)&lt;='Strategy Settings'!$B$7,RANK.EQ('Momentum Ranks'!G64,'Momentum Ranks'!$B64:$U64,0)&lt;='Strategy Settings'!$B$7),1,0)+IF(AND(RANK.EQ('Momentum Ranks'!H65,'Momentum Ranks'!$B65:$U65,0)&lt;='Strategy Settings'!$B$7,RANK.EQ('Momentum Ranks'!H64,'Momentum Ranks'!$B64:$U64,0)&lt;='Strategy Settings'!$B$7),1,0)+IF(AND(RANK.EQ('Momentum Ranks'!I65,'Momentum Ranks'!$B65:$U65,0)&lt;='Strategy Settings'!$B$7,RANK.EQ('Momentum Ranks'!I64,'Momentum Ranks'!$B64:$U64,0)&lt;='Strategy Settings'!$B$7),1,0)+IF(AND(RANK.EQ('Momentum Ranks'!J65,'Momentum Ranks'!$B65:$U65,0)&lt;='Strategy Settings'!$B$7,RANK.EQ('Momentum Ranks'!J64,'Momentum Ranks'!$B64:$U64,0)&lt;='Strategy Settings'!$B$7),1,0)+IF(AND(RANK.EQ('Momentum Ranks'!K65,'Momentum Ranks'!$B65:$U65,0)&lt;='Strategy Settings'!$B$7,RANK.EQ('Momentum Ranks'!K64,'Momentum Ranks'!$B64:$U64,0)&lt;='Strategy Settings'!$B$7),1,0)+IF(AND(RANK.EQ('Momentum Ranks'!L65,'Momentum Ranks'!$B65:$U65,0)&lt;='Strategy Settings'!$B$7,RANK.EQ('Momentum Ranks'!L64,'Momentum Ranks'!$B64:$U64,0)&lt;='Strategy Settings'!$B$7),1,0)+IF(AND(RANK.EQ('Momentum Ranks'!M65,'Momentum Ranks'!$B65:$U65,0)&lt;='Strategy Settings'!$B$7,RANK.EQ('Momentum Ranks'!M64,'Momentum Ranks'!$B64:$U64,0)&lt;='Strategy Settings'!$B$7),1,0)+IF(AND(RANK.EQ('Momentum Ranks'!N65,'Momentum Ranks'!$B65:$U65,0)&lt;='Strategy Settings'!$B$7,RANK.EQ('Momentum Ranks'!N64,'Momentum Ranks'!$B64:$U64,0)&lt;='Strategy Settings'!$B$7),1,0)+IF(AND(RANK.EQ('Momentum Ranks'!O65,'Momentum Ranks'!$B65:$U65,0)&lt;='Strategy Settings'!$B$7,RANK.EQ('Momentum Ranks'!O64,'Momentum Ranks'!$B64:$U64,0)&lt;='Strategy Settings'!$B$7),1,0)+IF(AND(RANK.EQ('Momentum Ranks'!P65,'Momentum Ranks'!$B65:$U65,0)&lt;='Strategy Settings'!$B$7,RANK.EQ('Momentum Ranks'!P64,'Momentum Ranks'!$B64:$U64,0)&lt;='Strategy Settings'!$B$7),1,0)+IF(AND(RANK.EQ('Momentum Ranks'!Q65,'Momentum Ranks'!$B65:$U65,0)&lt;='Strategy Settings'!$B$7,RANK.EQ('Momentum Ranks'!Q64,'Momentum Ranks'!$B64:$U64,0)&lt;='Strategy Settings'!$B$7),1,0)+IF(AND(RANK.EQ('Momentum Ranks'!R65,'Momentum Ranks'!$B65:$U65,0)&lt;='Strategy Settings'!$B$7,RANK.EQ('Momentum Ranks'!R64,'Momentum Ranks'!$B64:$U64,0)&lt;='Strategy Settings'!$B$7),1,0)+IF(AND(RANK.EQ('Momentum Ranks'!S65,'Momentum Ranks'!$B65:$U65,0)&lt;='Strategy Settings'!$B$7,RANK.EQ('Momentum Ranks'!S64,'Momentum Ranks'!$B64:$U64,0)&lt;='Strategy Settings'!$B$7),1,0)+IF(AND(RANK.EQ('Momentum Ranks'!T65,'Momentum Ranks'!$B65:$U65,0)&lt;='Strategy Settings'!$B$7,RANK.EQ('Momentum Ranks'!T64,'Momentum Ranks'!$B64:$U64,0)&lt;='Strategy Settings'!$B$7),1,0)+IF(AND(RANK.EQ('Momentum Ranks'!U65,'Momentum Ranks'!$B65:$U65,0)&lt;='Strategy Settings'!$B$7,RANK.EQ('Momentum Ranks'!U64,'Momentum Ranks'!$B64:$U64,0)&lt;='Strategy Settings'!$B$7),1,0))/'Strategy Settings'!$B$7</x:f>
        <x:v>0</x:v>
      </x:c>
      <x:c r="D65" s="26" t="n">
        <x:f>C65*'Strategy Settings'!$B$9</x:f>
        <x:v>0</x:v>
      </x:c>
      <x:c r="E65" s="26" t="n">
        <x:f>B65-D65</x:f>
        <x:v>0.02752540519909668</x:v>
      </x:c>
      <x:c r="F65" s="26" t="n">
        <x:f>'Return Data'!V75</x:f>
        <x:v>0.04491109843207535</x:v>
      </x:c>
      <x:c r="G65" s="26" t="n">
        <x:f>E65-F65</x:f>
        <x:v>-0.017385693232978672</x:v>
      </x:c>
      <x:c r="H65" s="28" t="n">
        <x:f>H64*(1+E65)</x:f>
        <x:v>1.7144768290681671</x:v>
      </x:c>
      <x:c r="I65" s="28" t="n">
        <x:f>I64*(1+F65)</x:f>
        <x:v>1.3672777926747364</x:v>
      </x:c>
      <x:c r="J65" s="26" t="n">
        <x:f>H65/MAX($H$4:H65)-1</x:f>
        <x:v>-0.112487445862121</x:v>
      </x:c>
      <x:c r="K65" s="26" t="n">
        <x:f>I65/MAX($I$4:I65)-1</x:f>
        <x:v>-0.1402184908766616</x:v>
      </x:c>
    </x:row>
    <x:row r="66">
      <x:c r="A66" s="20" t="n">
        <x:f>'Return Data'!A80</x:f>
        <x:v>46021</x:v>
      </x:c>
      <x:c r="B66" s="26" t="n">
        <x:f>(IF(RANK.EQ('Momentum Ranks'!B66,'Momentum Ranks'!$B66:$U66,0)&lt;='Strategy Settings'!$B$7,'Return Data'!B80,0)+IF(RANK.EQ('Momentum Ranks'!C66,'Momentum Ranks'!$B66:$U66,0)&lt;='Strategy Settings'!$B$7,'Return Data'!C80,0)+IF(RANK.EQ('Momentum Ranks'!D66,'Momentum Ranks'!$B66:$U66,0)&lt;='Strategy Settings'!$B$7,'Return Data'!D80,0)+IF(RANK.EQ('Momentum Ranks'!E66,'Momentum Ranks'!$B66:$U66,0)&lt;='Strategy Settings'!$B$7,'Return Data'!E80,0)+IF(RANK.EQ('Momentum Ranks'!F66,'Momentum Ranks'!$B66:$U66,0)&lt;='Strategy Settings'!$B$7,'Return Data'!F80,0)+IF(RANK.EQ('Momentum Ranks'!G66,'Momentum Ranks'!$B66:$U66,0)&lt;='Strategy Settings'!$B$7,'Return Data'!G80,0)+IF(RANK.EQ('Momentum Ranks'!H66,'Momentum Ranks'!$B66:$U66,0)&lt;='Strategy Settings'!$B$7,'Return Data'!H80,0)+IF(RANK.EQ('Momentum Ranks'!I66,'Momentum Ranks'!$B66:$U66,0)&lt;='Strategy Settings'!$B$7,'Return Data'!I80,0)+IF(RANK.EQ('Momentum Ranks'!J66,'Momentum Ranks'!$B66:$U66,0)&lt;='Strategy Settings'!$B$7,'Return Data'!J80,0)+IF(RANK.EQ('Momentum Ranks'!K66,'Momentum Ranks'!$B66:$U66,0)&lt;='Strategy Settings'!$B$7,'Return Data'!K80,0)+IF(RANK.EQ('Momentum Ranks'!L66,'Momentum Ranks'!$B66:$U66,0)&lt;='Strategy Settings'!$B$7,'Return Data'!L80,0)+IF(RANK.EQ('Momentum Ranks'!M66,'Momentum Ranks'!$B66:$U66,0)&lt;='Strategy Settings'!$B$7,'Return Data'!M80,0)+IF(RANK.EQ('Momentum Ranks'!N66,'Momentum Ranks'!$B66:$U66,0)&lt;='Strategy Settings'!$B$7,'Return Data'!N80,0)+IF(RANK.EQ('Momentum Ranks'!O66,'Momentum Ranks'!$B66:$U66,0)&lt;='Strategy Settings'!$B$7,'Return Data'!O80,0)+IF(RANK.EQ('Momentum Ranks'!P66,'Momentum Ranks'!$B66:$U66,0)&lt;='Strategy Settings'!$B$7,'Return Data'!P80,0)+IF(RANK.EQ('Momentum Ranks'!Q66,'Momentum Ranks'!$B66:$U66,0)&lt;='Strategy Settings'!$B$7,'Return Data'!Q80,0)+IF(RANK.EQ('Momentum Ranks'!R66,'Momentum Ranks'!$B66:$U66,0)&lt;='Strategy Settings'!$B$7,'Return Data'!R80,0)+IF(RANK.EQ('Momentum Ranks'!S66,'Momentum Ranks'!$B66:$U66,0)&lt;='Strategy Settings'!$B$7,'Return Data'!S80,0)+IF(RANK.EQ('Momentum Ranks'!T66,'Momentum Ranks'!$B66:$U66,0)&lt;='Strategy Settings'!$B$7,'Return Data'!T80,0)+IF(RANK.EQ('Momentum Ranks'!U66,'Momentum Ranks'!$B66:$U66,0)&lt;='Strategy Settings'!$B$7,'Return Data'!U80,0))/'Strategy Settings'!$B$7</x:f>
        <x:v>-0.07631157466535156</x:v>
      </x:c>
      <x:c r="C66" s="26" t="n">
        <x:f>1-(IF(AND(RANK.EQ('Momentum Ranks'!B66,'Momentum Ranks'!$B66:$U66,0)&lt;='Strategy Settings'!$B$7,RANK.EQ('Momentum Ranks'!B65,'Momentum Ranks'!$B65:$U65,0)&lt;='Strategy Settings'!$B$7),1,0)+IF(AND(RANK.EQ('Momentum Ranks'!C66,'Momentum Ranks'!$B66:$U66,0)&lt;='Strategy Settings'!$B$7,RANK.EQ('Momentum Ranks'!C65,'Momentum Ranks'!$B65:$U65,0)&lt;='Strategy Settings'!$B$7),1,0)+IF(AND(RANK.EQ('Momentum Ranks'!D66,'Momentum Ranks'!$B66:$U66,0)&lt;='Strategy Settings'!$B$7,RANK.EQ('Momentum Ranks'!D65,'Momentum Ranks'!$B65:$U65,0)&lt;='Strategy Settings'!$B$7),1,0)+IF(AND(RANK.EQ('Momentum Ranks'!E66,'Momentum Ranks'!$B66:$U66,0)&lt;='Strategy Settings'!$B$7,RANK.EQ('Momentum Ranks'!E65,'Momentum Ranks'!$B65:$U65,0)&lt;='Strategy Settings'!$B$7),1,0)+IF(AND(RANK.EQ('Momentum Ranks'!F66,'Momentum Ranks'!$B66:$U66,0)&lt;='Strategy Settings'!$B$7,RANK.EQ('Momentum Ranks'!F65,'Momentum Ranks'!$B65:$U65,0)&lt;='Strategy Settings'!$B$7),1,0)+IF(AND(RANK.EQ('Momentum Ranks'!G66,'Momentum Ranks'!$B66:$U66,0)&lt;='Strategy Settings'!$B$7,RANK.EQ('Momentum Ranks'!G65,'Momentum Ranks'!$B65:$U65,0)&lt;='Strategy Settings'!$B$7),1,0)+IF(AND(RANK.EQ('Momentum Ranks'!H66,'Momentum Ranks'!$B66:$U66,0)&lt;='Strategy Settings'!$B$7,RANK.EQ('Momentum Ranks'!H65,'Momentum Ranks'!$B65:$U65,0)&lt;='Strategy Settings'!$B$7),1,0)+IF(AND(RANK.EQ('Momentum Ranks'!I66,'Momentum Ranks'!$B66:$U66,0)&lt;='Strategy Settings'!$B$7,RANK.EQ('Momentum Ranks'!I65,'Momentum Ranks'!$B65:$U65,0)&lt;='Strategy Settings'!$B$7),1,0)+IF(AND(RANK.EQ('Momentum Ranks'!J66,'Momentum Ranks'!$B66:$U66,0)&lt;='Strategy Settings'!$B$7,RANK.EQ('Momentum Ranks'!J65,'Momentum Ranks'!$B65:$U65,0)&lt;='Strategy Settings'!$B$7),1,0)+IF(AND(RANK.EQ('Momentum Ranks'!K66,'Momentum Ranks'!$B66:$U66,0)&lt;='Strategy Settings'!$B$7,RANK.EQ('Momentum Ranks'!K65,'Momentum Ranks'!$B65:$U65,0)&lt;='Strategy Settings'!$B$7),1,0)+IF(AND(RANK.EQ('Momentum Ranks'!L66,'Momentum Ranks'!$B66:$U66,0)&lt;='Strategy Settings'!$B$7,RANK.EQ('Momentum Ranks'!L65,'Momentum Ranks'!$B65:$U65,0)&lt;='Strategy Settings'!$B$7),1,0)+IF(AND(RANK.EQ('Momentum Ranks'!M66,'Momentum Ranks'!$B66:$U66,0)&lt;='Strategy Settings'!$B$7,RANK.EQ('Momentum Ranks'!M65,'Momentum Ranks'!$B65:$U65,0)&lt;='Strategy Settings'!$B$7),1,0)+IF(AND(RANK.EQ('Momentum Ranks'!N66,'Momentum Ranks'!$B66:$U66,0)&lt;='Strategy Settings'!$B$7,RANK.EQ('Momentum Ranks'!N65,'Momentum Ranks'!$B65:$U65,0)&lt;='Strategy Settings'!$B$7),1,0)+IF(AND(RANK.EQ('Momentum Ranks'!O66,'Momentum Ranks'!$B66:$U66,0)&lt;='Strategy Settings'!$B$7,RANK.EQ('Momentum Ranks'!O65,'Momentum Ranks'!$B65:$U65,0)&lt;='Strategy Settings'!$B$7),1,0)+IF(AND(RANK.EQ('Momentum Ranks'!P66,'Momentum Ranks'!$B66:$U66,0)&lt;='Strategy Settings'!$B$7,RANK.EQ('Momentum Ranks'!P65,'Momentum Ranks'!$B65:$U65,0)&lt;='Strategy Settings'!$B$7),1,0)+IF(AND(RANK.EQ('Momentum Ranks'!Q66,'Momentum Ranks'!$B66:$U66,0)&lt;='Strategy Settings'!$B$7,RANK.EQ('Momentum Ranks'!Q65,'Momentum Ranks'!$B65:$U65,0)&lt;='Strategy Settings'!$B$7),1,0)+IF(AND(RANK.EQ('Momentum Ranks'!R66,'Momentum Ranks'!$B66:$U66,0)&lt;='Strategy Settings'!$B$7,RANK.EQ('Momentum Ranks'!R65,'Momentum Ranks'!$B65:$U65,0)&lt;='Strategy Settings'!$B$7),1,0)+IF(AND(RANK.EQ('Momentum Ranks'!S66,'Momentum Ranks'!$B66:$U66,0)&lt;='Strategy Settings'!$B$7,RANK.EQ('Momentum Ranks'!S65,'Momentum Ranks'!$B65:$U65,0)&lt;='Strategy Settings'!$B$7),1,0)+IF(AND(RANK.EQ('Momentum Ranks'!T66,'Momentum Ranks'!$B66:$U66,0)&lt;='Strategy Settings'!$B$7,RANK.EQ('Momentum Ranks'!T65,'Momentum Ranks'!$B65:$U65,0)&lt;='Strategy Settings'!$B$7),1,0)+IF(AND(RANK.EQ('Momentum Ranks'!U66,'Momentum Ranks'!$B66:$U66,0)&lt;='Strategy Settings'!$B$7,RANK.EQ('Momentum Ranks'!U65,'Momentum Ranks'!$B65:$U65,0)&lt;='Strategy Settings'!$B$7),1,0))/'Strategy Settings'!$B$7</x:f>
        <x:v>0.25</x:v>
      </x:c>
      <x:c r="D66" s="26" t="n">
        <x:f>C66*'Strategy Settings'!$B$9</x:f>
        <x:v>0.00025</x:v>
      </x:c>
      <x:c r="E66" s="26" t="n">
        <x:f>B66-D66</x:f>
        <x:v>-0.07656157466535156</x:v>
      </x:c>
      <x:c r="F66" s="26" t="n">
        <x:f>'Return Data'!V76</x:f>
        <x:v>-0.028347254354292334</x:v>
      </x:c>
      <x:c r="G66" s="26" t="n">
        <x:f>E66-F66</x:f>
        <x:v>-0.048214320311059225</x:v>
      </x:c>
      <x:c r="H66" s="28" t="n">
        <x:f>H65*(1+E66)</x:f>
        <x:v>1.5832137833074496</x:v>
      </x:c>
      <x:c r="I66" s="28" t="n">
        <x:f>I65*(1+F66)</x:f>
        <x:v>1.3285192213128103</x:v>
      </x:c>
      <x:c r="J66" s="26" t="n">
        <x:f>H66/MAX($H$4:H66)-1</x:f>
        <x:v>-0.18043680454218503</x:v>
      </x:c>
      <x:c r="K66" s="26" t="n">
        <x:f>I66/MAX($I$4:I66)-1</x:f>
        <x:v>-0.16459093600489816</x:v>
      </x:c>
    </x:row>
    <x:row r="67">
      <x:c r="A67" s="20" t="n">
        <x:f>'Return Data'!A81</x:f>
        <x:v>46052</x:v>
      </x:c>
      <x:c r="B67" s="26" t="n">
        <x:f>(IF(RANK.EQ('Momentum Ranks'!B67,'Momentum Ranks'!$B67:$U67,0)&lt;='Strategy Settings'!$B$7,'Return Data'!B81,0)+IF(RANK.EQ('Momentum Ranks'!C67,'Momentum Ranks'!$B67:$U67,0)&lt;='Strategy Settings'!$B$7,'Return Data'!C81,0)+IF(RANK.EQ('Momentum Ranks'!D67,'Momentum Ranks'!$B67:$U67,0)&lt;='Strategy Settings'!$B$7,'Return Data'!D81,0)+IF(RANK.EQ('Momentum Ranks'!E67,'Momentum Ranks'!$B67:$U67,0)&lt;='Strategy Settings'!$B$7,'Return Data'!E81,0)+IF(RANK.EQ('Momentum Ranks'!F67,'Momentum Ranks'!$B67:$U67,0)&lt;='Strategy Settings'!$B$7,'Return Data'!F81,0)+IF(RANK.EQ('Momentum Ranks'!G67,'Momentum Ranks'!$B67:$U67,0)&lt;='Strategy Settings'!$B$7,'Return Data'!G81,0)+IF(RANK.EQ('Momentum Ranks'!H67,'Momentum Ranks'!$B67:$U67,0)&lt;='Strategy Settings'!$B$7,'Return Data'!H81,0)+IF(RANK.EQ('Momentum Ranks'!I67,'Momentum Ranks'!$B67:$U67,0)&lt;='Strategy Settings'!$B$7,'Return Data'!I81,0)+IF(RANK.EQ('Momentum Ranks'!J67,'Momentum Ranks'!$B67:$U67,0)&lt;='Strategy Settings'!$B$7,'Return Data'!J81,0)+IF(RANK.EQ('Momentum Ranks'!K67,'Momentum Ranks'!$B67:$U67,0)&lt;='Strategy Settings'!$B$7,'Return Data'!K81,0)+IF(RANK.EQ('Momentum Ranks'!L67,'Momentum Ranks'!$B67:$U67,0)&lt;='Strategy Settings'!$B$7,'Return Data'!L81,0)+IF(RANK.EQ('Momentum Ranks'!M67,'Momentum Ranks'!$B67:$U67,0)&lt;='Strategy Settings'!$B$7,'Return Data'!M81,0)+IF(RANK.EQ('Momentum Ranks'!N67,'Momentum Ranks'!$B67:$U67,0)&lt;='Strategy Settings'!$B$7,'Return Data'!N81,0)+IF(RANK.EQ('Momentum Ranks'!O67,'Momentum Ranks'!$B67:$U67,0)&lt;='Strategy Settings'!$B$7,'Return Data'!O81,0)+IF(RANK.EQ('Momentum Ranks'!P67,'Momentum Ranks'!$B67:$U67,0)&lt;='Strategy Settings'!$B$7,'Return Data'!P81,0)+IF(RANK.EQ('Momentum Ranks'!Q67,'Momentum Ranks'!$B67:$U67,0)&lt;='Strategy Settings'!$B$7,'Return Data'!Q81,0)+IF(RANK.EQ('Momentum Ranks'!R67,'Momentum Ranks'!$B67:$U67,0)&lt;='Strategy Settings'!$B$7,'Return Data'!R81,0)+IF(RANK.EQ('Momentum Ranks'!S67,'Momentum Ranks'!$B67:$U67,0)&lt;='Strategy Settings'!$B$7,'Return Data'!S81,0)+IF(RANK.EQ('Momentum Ranks'!T67,'Momentum Ranks'!$B67:$U67,0)&lt;='Strategy Settings'!$B$7,'Return Data'!T81,0)+IF(RANK.EQ('Momentum Ranks'!U67,'Momentum Ranks'!$B67:$U67,0)&lt;='Strategy Settings'!$B$7,'Return Data'!U81,0))/'Strategy Settings'!$B$7</x:f>
        <x:v>0.006976894178854286</x:v>
      </x:c>
      <x:c r="C67" s="26" t="n">
        <x:f>1-(IF(AND(RANK.EQ('Momentum Ranks'!B67,'Momentum Ranks'!$B67:$U67,0)&lt;='Strategy Settings'!$B$7,RANK.EQ('Momentum Ranks'!B66,'Momentum Ranks'!$B66:$U66,0)&lt;='Strategy Settings'!$B$7),1,0)+IF(AND(RANK.EQ('Momentum Ranks'!C67,'Momentum Ranks'!$B67:$U67,0)&lt;='Strategy Settings'!$B$7,RANK.EQ('Momentum Ranks'!C66,'Momentum Ranks'!$B66:$U66,0)&lt;='Strategy Settings'!$B$7),1,0)+IF(AND(RANK.EQ('Momentum Ranks'!D67,'Momentum Ranks'!$B67:$U67,0)&lt;='Strategy Settings'!$B$7,RANK.EQ('Momentum Ranks'!D66,'Momentum Ranks'!$B66:$U66,0)&lt;='Strategy Settings'!$B$7),1,0)+IF(AND(RANK.EQ('Momentum Ranks'!E67,'Momentum Ranks'!$B67:$U67,0)&lt;='Strategy Settings'!$B$7,RANK.EQ('Momentum Ranks'!E66,'Momentum Ranks'!$B66:$U66,0)&lt;='Strategy Settings'!$B$7),1,0)+IF(AND(RANK.EQ('Momentum Ranks'!F67,'Momentum Ranks'!$B67:$U67,0)&lt;='Strategy Settings'!$B$7,RANK.EQ('Momentum Ranks'!F66,'Momentum Ranks'!$B66:$U66,0)&lt;='Strategy Settings'!$B$7),1,0)+IF(AND(RANK.EQ('Momentum Ranks'!G67,'Momentum Ranks'!$B67:$U67,0)&lt;='Strategy Settings'!$B$7,RANK.EQ('Momentum Ranks'!G66,'Momentum Ranks'!$B66:$U66,0)&lt;='Strategy Settings'!$B$7),1,0)+IF(AND(RANK.EQ('Momentum Ranks'!H67,'Momentum Ranks'!$B67:$U67,0)&lt;='Strategy Settings'!$B$7,RANK.EQ('Momentum Ranks'!H66,'Momentum Ranks'!$B66:$U66,0)&lt;='Strategy Settings'!$B$7),1,0)+IF(AND(RANK.EQ('Momentum Ranks'!I67,'Momentum Ranks'!$B67:$U67,0)&lt;='Strategy Settings'!$B$7,RANK.EQ('Momentum Ranks'!I66,'Momentum Ranks'!$B66:$U66,0)&lt;='Strategy Settings'!$B$7),1,0)+IF(AND(RANK.EQ('Momentum Ranks'!J67,'Momentum Ranks'!$B67:$U67,0)&lt;='Strategy Settings'!$B$7,RANK.EQ('Momentum Ranks'!J66,'Momentum Ranks'!$B66:$U66,0)&lt;='Strategy Settings'!$B$7),1,0)+IF(AND(RANK.EQ('Momentum Ranks'!K67,'Momentum Ranks'!$B67:$U67,0)&lt;='Strategy Settings'!$B$7,RANK.EQ('Momentum Ranks'!K66,'Momentum Ranks'!$B66:$U66,0)&lt;='Strategy Settings'!$B$7),1,0)+IF(AND(RANK.EQ('Momentum Ranks'!L67,'Momentum Ranks'!$B67:$U67,0)&lt;='Strategy Settings'!$B$7,RANK.EQ('Momentum Ranks'!L66,'Momentum Ranks'!$B66:$U66,0)&lt;='Strategy Settings'!$B$7),1,0)+IF(AND(RANK.EQ('Momentum Ranks'!M67,'Momentum Ranks'!$B67:$U67,0)&lt;='Strategy Settings'!$B$7,RANK.EQ('Momentum Ranks'!M66,'Momentum Ranks'!$B66:$U66,0)&lt;='Strategy Settings'!$B$7),1,0)+IF(AND(RANK.EQ('Momentum Ranks'!N67,'Momentum Ranks'!$B67:$U67,0)&lt;='Strategy Settings'!$B$7,RANK.EQ('Momentum Ranks'!N66,'Momentum Ranks'!$B66:$U66,0)&lt;='Strategy Settings'!$B$7),1,0)+IF(AND(RANK.EQ('Momentum Ranks'!O67,'Momentum Ranks'!$B67:$U67,0)&lt;='Strategy Settings'!$B$7,RANK.EQ('Momentum Ranks'!O66,'Momentum Ranks'!$B66:$U66,0)&lt;='Strategy Settings'!$B$7),1,0)+IF(AND(RANK.EQ('Momentum Ranks'!P67,'Momentum Ranks'!$B67:$U67,0)&lt;='Strategy Settings'!$B$7,RANK.EQ('Momentum Ranks'!P66,'Momentum Ranks'!$B66:$U66,0)&lt;='Strategy Settings'!$B$7),1,0)+IF(AND(RANK.EQ('Momentum Ranks'!Q67,'Momentum Ranks'!$B67:$U67,0)&lt;='Strategy Settings'!$B$7,RANK.EQ('Momentum Ranks'!Q66,'Momentum Ranks'!$B66:$U66,0)&lt;='Strategy Settings'!$B$7),1,0)+IF(AND(RANK.EQ('Momentum Ranks'!R67,'Momentum Ranks'!$B67:$U67,0)&lt;='Strategy Settings'!$B$7,RANK.EQ('Momentum Ranks'!R66,'Momentum Ranks'!$B66:$U66,0)&lt;='Strategy Settings'!$B$7),1,0)+IF(AND(RANK.EQ('Momentum Ranks'!S67,'Momentum Ranks'!$B67:$U67,0)&lt;='Strategy Settings'!$B$7,RANK.EQ('Momentum Ranks'!S66,'Momentum Ranks'!$B66:$U66,0)&lt;='Strategy Settings'!$B$7),1,0)+IF(AND(RANK.EQ('Momentum Ranks'!T67,'Momentum Ranks'!$B67:$U67,0)&lt;='Strategy Settings'!$B$7,RANK.EQ('Momentum Ranks'!T66,'Momentum Ranks'!$B66:$U66,0)&lt;='Strategy Settings'!$B$7),1,0)+IF(AND(RANK.EQ('Momentum Ranks'!U67,'Momentum Ranks'!$B67:$U67,0)&lt;='Strategy Settings'!$B$7,RANK.EQ('Momentum Ranks'!U66,'Momentum Ranks'!$B66:$U66,0)&lt;='Strategy Settings'!$B$7),1,0))/'Strategy Settings'!$B$7</x:f>
        <x:v>0</x:v>
      </x:c>
      <x:c r="D67" s="26" t="n">
        <x:f>C67*'Strategy Settings'!$B$9</x:f>
        <x:v>0</x:v>
      </x:c>
      <x:c r="E67" s="26" t="n">
        <x:f>B67-D67</x:f>
        <x:v>0.006976894178854286</x:v>
      </x:c>
      <x:c r="F67" s="26" t="n">
        <x:f>'Return Data'!V77</x:f>
        <x:v>0.005618313917534074</x:v>
      </x:c>
      <x:c r="G67" s="26" t="n">
        <x:f>E67-F67</x:f>
        <x:v>0.0013585802613202127</x:v>
      </x:c>
      <x:c r="H67" s="28" t="n">
        <x:f>H66*(1+E67)</x:f>
        <x:v>1.5942596983360893</x:v>
      </x:c>
      <x:c r="I67" s="28" t="n">
        <x:f>I66*(1+F67)</x:f>
        <x:v>1.3359832593436236</x:v>
      </x:c>
      <x:c r="J67" s="26" t="n">
        <x:f>H67/MAX($H$4:H67)-1</x:f>
        <x:v>-0.17471879885459218</x:v>
      </x:c>
      <x:c r="K67" s="26" t="n">
        <x:f>I67/MAX($I$4:I67)-1</x:f>
        <x:v>-0.1598973456338204</x:v>
      </x:c>
    </x:row>
    <x:row r="68">
      <x:c r="A68" s="20" t="n">
        <x:f>'Return Data'!A82</x:f>
        <x:v>46081</x:v>
      </x:c>
      <x:c r="B68" s="26" t="n">
        <x:f>(IF(RANK.EQ('Momentum Ranks'!B68,'Momentum Ranks'!$B68:$U68,0)&lt;='Strategy Settings'!$B$7,'Return Data'!B82,0)+IF(RANK.EQ('Momentum Ranks'!C68,'Momentum Ranks'!$B68:$U68,0)&lt;='Strategy Settings'!$B$7,'Return Data'!C82,0)+IF(RANK.EQ('Momentum Ranks'!D68,'Momentum Ranks'!$B68:$U68,0)&lt;='Strategy Settings'!$B$7,'Return Data'!D82,0)+IF(RANK.EQ('Momentum Ranks'!E68,'Momentum Ranks'!$B68:$U68,0)&lt;='Strategy Settings'!$B$7,'Return Data'!E82,0)+IF(RANK.EQ('Momentum Ranks'!F68,'Momentum Ranks'!$B68:$U68,0)&lt;='Strategy Settings'!$B$7,'Return Data'!F82,0)+IF(RANK.EQ('Momentum Ranks'!G68,'Momentum Ranks'!$B68:$U68,0)&lt;='Strategy Settings'!$B$7,'Return Data'!G82,0)+IF(RANK.EQ('Momentum Ranks'!H68,'Momentum Ranks'!$B68:$U68,0)&lt;='Strategy Settings'!$B$7,'Return Data'!H82,0)+IF(RANK.EQ('Momentum Ranks'!I68,'Momentum Ranks'!$B68:$U68,0)&lt;='Strategy Settings'!$B$7,'Return Data'!I82,0)+IF(RANK.EQ('Momentum Ranks'!J68,'Momentum Ranks'!$B68:$U68,0)&lt;='Strategy Settings'!$B$7,'Return Data'!J82,0)+IF(RANK.EQ('Momentum Ranks'!K68,'Momentum Ranks'!$B68:$U68,0)&lt;='Strategy Settings'!$B$7,'Return Data'!K82,0)+IF(RANK.EQ('Momentum Ranks'!L68,'Momentum Ranks'!$B68:$U68,0)&lt;='Strategy Settings'!$B$7,'Return Data'!L82,0)+IF(RANK.EQ('Momentum Ranks'!M68,'Momentum Ranks'!$B68:$U68,0)&lt;='Strategy Settings'!$B$7,'Return Data'!M82,0)+IF(RANK.EQ('Momentum Ranks'!N68,'Momentum Ranks'!$B68:$U68,0)&lt;='Strategy Settings'!$B$7,'Return Data'!N82,0)+IF(RANK.EQ('Momentum Ranks'!O68,'Momentum Ranks'!$B68:$U68,0)&lt;='Strategy Settings'!$B$7,'Return Data'!O82,0)+IF(RANK.EQ('Momentum Ranks'!P68,'Momentum Ranks'!$B68:$U68,0)&lt;='Strategy Settings'!$B$7,'Return Data'!P82,0)+IF(RANK.EQ('Momentum Ranks'!Q68,'Momentum Ranks'!$B68:$U68,0)&lt;='Strategy Settings'!$B$7,'Return Data'!Q82,0)+IF(RANK.EQ('Momentum Ranks'!R68,'Momentum Ranks'!$B68:$U68,0)&lt;='Strategy Settings'!$B$7,'Return Data'!R82,0)+IF(RANK.EQ('Momentum Ranks'!S68,'Momentum Ranks'!$B68:$U68,0)&lt;='Strategy Settings'!$B$7,'Return Data'!S82,0)+IF(RANK.EQ('Momentum Ranks'!T68,'Momentum Ranks'!$B68:$U68,0)&lt;='Strategy Settings'!$B$7,'Return Data'!T82,0)+IF(RANK.EQ('Momentum Ranks'!U68,'Momentum Ranks'!$B68:$U68,0)&lt;='Strategy Settings'!$B$7,'Return Data'!U82,0))/'Strategy Settings'!$B$7</x:f>
        <x:v>0.018125237157197067</x:v>
      </x:c>
      <x:c r="C68" s="26" t="n">
        <x:f>1-(IF(AND(RANK.EQ('Momentum Ranks'!B68,'Momentum Ranks'!$B68:$U68,0)&lt;='Strategy Settings'!$B$7,RANK.EQ('Momentum Ranks'!B67,'Momentum Ranks'!$B67:$U67,0)&lt;='Strategy Settings'!$B$7),1,0)+IF(AND(RANK.EQ('Momentum Ranks'!C68,'Momentum Ranks'!$B68:$U68,0)&lt;='Strategy Settings'!$B$7,RANK.EQ('Momentum Ranks'!C67,'Momentum Ranks'!$B67:$U67,0)&lt;='Strategy Settings'!$B$7),1,0)+IF(AND(RANK.EQ('Momentum Ranks'!D68,'Momentum Ranks'!$B68:$U68,0)&lt;='Strategy Settings'!$B$7,RANK.EQ('Momentum Ranks'!D67,'Momentum Ranks'!$B67:$U67,0)&lt;='Strategy Settings'!$B$7),1,0)+IF(AND(RANK.EQ('Momentum Ranks'!E68,'Momentum Ranks'!$B68:$U68,0)&lt;='Strategy Settings'!$B$7,RANK.EQ('Momentum Ranks'!E67,'Momentum Ranks'!$B67:$U67,0)&lt;='Strategy Settings'!$B$7),1,0)+IF(AND(RANK.EQ('Momentum Ranks'!F68,'Momentum Ranks'!$B68:$U68,0)&lt;='Strategy Settings'!$B$7,RANK.EQ('Momentum Ranks'!F67,'Momentum Ranks'!$B67:$U67,0)&lt;='Strategy Settings'!$B$7),1,0)+IF(AND(RANK.EQ('Momentum Ranks'!G68,'Momentum Ranks'!$B68:$U68,0)&lt;='Strategy Settings'!$B$7,RANK.EQ('Momentum Ranks'!G67,'Momentum Ranks'!$B67:$U67,0)&lt;='Strategy Settings'!$B$7),1,0)+IF(AND(RANK.EQ('Momentum Ranks'!H68,'Momentum Ranks'!$B68:$U68,0)&lt;='Strategy Settings'!$B$7,RANK.EQ('Momentum Ranks'!H67,'Momentum Ranks'!$B67:$U67,0)&lt;='Strategy Settings'!$B$7),1,0)+IF(AND(RANK.EQ('Momentum Ranks'!I68,'Momentum Ranks'!$B68:$U68,0)&lt;='Strategy Settings'!$B$7,RANK.EQ('Momentum Ranks'!I67,'Momentum Ranks'!$B67:$U67,0)&lt;='Strategy Settings'!$B$7),1,0)+IF(AND(RANK.EQ('Momentum Ranks'!J68,'Momentum Ranks'!$B68:$U68,0)&lt;='Strategy Settings'!$B$7,RANK.EQ('Momentum Ranks'!J67,'Momentum Ranks'!$B67:$U67,0)&lt;='Strategy Settings'!$B$7),1,0)+IF(AND(RANK.EQ('Momentum Ranks'!K68,'Momentum Ranks'!$B68:$U68,0)&lt;='Strategy Settings'!$B$7,RANK.EQ('Momentum Ranks'!K67,'Momentum Ranks'!$B67:$U67,0)&lt;='Strategy Settings'!$B$7),1,0)+IF(AND(RANK.EQ('Momentum Ranks'!L68,'Momentum Ranks'!$B68:$U68,0)&lt;='Strategy Settings'!$B$7,RANK.EQ('Momentum Ranks'!L67,'Momentum Ranks'!$B67:$U67,0)&lt;='Strategy Settings'!$B$7),1,0)+IF(AND(RANK.EQ('Momentum Ranks'!M68,'Momentum Ranks'!$B68:$U68,0)&lt;='Strategy Settings'!$B$7,RANK.EQ('Momentum Ranks'!M67,'Momentum Ranks'!$B67:$U67,0)&lt;='Strategy Settings'!$B$7),1,0)+IF(AND(RANK.EQ('Momentum Ranks'!N68,'Momentum Ranks'!$B68:$U68,0)&lt;='Strategy Settings'!$B$7,RANK.EQ('Momentum Ranks'!N67,'Momentum Ranks'!$B67:$U67,0)&lt;='Strategy Settings'!$B$7),1,0)+IF(AND(RANK.EQ('Momentum Ranks'!O68,'Momentum Ranks'!$B68:$U68,0)&lt;='Strategy Settings'!$B$7,RANK.EQ('Momentum Ranks'!O67,'Momentum Ranks'!$B67:$U67,0)&lt;='Strategy Settings'!$B$7),1,0)+IF(AND(RANK.EQ('Momentum Ranks'!P68,'Momentum Ranks'!$B68:$U68,0)&lt;='Strategy Settings'!$B$7,RANK.EQ('Momentum Ranks'!P67,'Momentum Ranks'!$B67:$U67,0)&lt;='Strategy Settings'!$B$7),1,0)+IF(AND(RANK.EQ('Momentum Ranks'!Q68,'Momentum Ranks'!$B68:$U68,0)&lt;='Strategy Settings'!$B$7,RANK.EQ('Momentum Ranks'!Q67,'Momentum Ranks'!$B67:$U67,0)&lt;='Strategy Settings'!$B$7),1,0)+IF(AND(RANK.EQ('Momentum Ranks'!R68,'Momentum Ranks'!$B68:$U68,0)&lt;='Strategy Settings'!$B$7,RANK.EQ('Momentum Ranks'!R67,'Momentum Ranks'!$B67:$U67,0)&lt;='Strategy Settings'!$B$7),1,0)+IF(AND(RANK.EQ('Momentum Ranks'!S68,'Momentum Ranks'!$B68:$U68,0)&lt;='Strategy Settings'!$B$7,RANK.EQ('Momentum Ranks'!S67,'Momentum Ranks'!$B67:$U67,0)&lt;='Strategy Settings'!$B$7),1,0)+IF(AND(RANK.EQ('Momentum Ranks'!T68,'Momentum Ranks'!$B68:$U68,0)&lt;='Strategy Settings'!$B$7,RANK.EQ('Momentum Ranks'!T67,'Momentum Ranks'!$B67:$U67,0)&lt;='Strategy Settings'!$B$7),1,0)+IF(AND(RANK.EQ('Momentum Ranks'!U68,'Momentum Ranks'!$B68:$U68,0)&lt;='Strategy Settings'!$B$7,RANK.EQ('Momentum Ranks'!U67,'Momentum Ranks'!$B67:$U67,0)&lt;='Strategy Settings'!$B$7),1,0))/'Strategy Settings'!$B$7</x:f>
        <x:v>0</x:v>
      </x:c>
      <x:c r="D68" s="26" t="n">
        <x:f>C68*'Strategy Settings'!$B$9</x:f>
        <x:v>0</x:v>
      </x:c>
      <x:c r="E68" s="26" t="n">
        <x:f>B68-D68</x:f>
        <x:v>0.018125237157197067</x:v>
      </x:c>
      <x:c r="F68" s="26" t="n">
        <x:f>'Return Data'!V78</x:f>
        <x:v>0.03528394881197473</x:v>
      </x:c>
      <x:c r="G68" s="26" t="n">
        <x:f>E68-F68</x:f>
        <x:v>-0.017158711654777666</x:v>
      </x:c>
      <x:c r="H68" s="28" t="n">
        <x:f>H67*(1+E68)</x:f>
        <x:v>1.6231560334585924</x:v>
      </x:c>
      <x:c r="I68" s="28" t="n">
        <x:f>I67*(1+F68)</x:f>
        <x:v>1.3831220242799591</x:v>
      </x:c>
      <x:c r="J68" s="26" t="n">
        <x:f>H68/MAX($H$4:H68)-1</x:f>
        <x:v>-0.15976038136245518</x:v>
      </x:c>
      <x:c r="K68" s="26" t="n">
        <x:f>I68/MAX($I$4:I68)-1</x:f>
        <x:v>-0.13025520658036005</x:v>
      </x:c>
    </x:row>
    <x:row r="69">
      <x:c r="A69" s="20" t="n">
        <x:f>'Return Data'!A83</x:f>
        <x:v>46111</x:v>
      </x:c>
      <x:c r="B69" s="26" t="n">
        <x:f>(IF(RANK.EQ('Momentum Ranks'!B69,'Momentum Ranks'!$B69:$U69,0)&lt;='Strategy Settings'!$B$7,'Return Data'!B83,0)+IF(RANK.EQ('Momentum Ranks'!C69,'Momentum Ranks'!$B69:$U69,0)&lt;='Strategy Settings'!$B$7,'Return Data'!C83,0)+IF(RANK.EQ('Momentum Ranks'!D69,'Momentum Ranks'!$B69:$U69,0)&lt;='Strategy Settings'!$B$7,'Return Data'!D83,0)+IF(RANK.EQ('Momentum Ranks'!E69,'Momentum Ranks'!$B69:$U69,0)&lt;='Strategy Settings'!$B$7,'Return Data'!E83,0)+IF(RANK.EQ('Momentum Ranks'!F69,'Momentum Ranks'!$B69:$U69,0)&lt;='Strategy Settings'!$B$7,'Return Data'!F83,0)+IF(RANK.EQ('Momentum Ranks'!G69,'Momentum Ranks'!$B69:$U69,0)&lt;='Strategy Settings'!$B$7,'Return Data'!G83,0)+IF(RANK.EQ('Momentum Ranks'!H69,'Momentum Ranks'!$B69:$U69,0)&lt;='Strategy Settings'!$B$7,'Return Data'!H83,0)+IF(RANK.EQ('Momentum Ranks'!I69,'Momentum Ranks'!$B69:$U69,0)&lt;='Strategy Settings'!$B$7,'Return Data'!I83,0)+IF(RANK.EQ('Momentum Ranks'!J69,'Momentum Ranks'!$B69:$U69,0)&lt;='Strategy Settings'!$B$7,'Return Data'!J83,0)+IF(RANK.EQ('Momentum Ranks'!K69,'Momentum Ranks'!$B69:$U69,0)&lt;='Strategy Settings'!$B$7,'Return Data'!K83,0)+IF(RANK.EQ('Momentum Ranks'!L69,'Momentum Ranks'!$B69:$U69,0)&lt;='Strategy Settings'!$B$7,'Return Data'!L83,0)+IF(RANK.EQ('Momentum Ranks'!M69,'Momentum Ranks'!$B69:$U69,0)&lt;='Strategy Settings'!$B$7,'Return Data'!M83,0)+IF(RANK.EQ('Momentum Ranks'!N69,'Momentum Ranks'!$B69:$U69,0)&lt;='Strategy Settings'!$B$7,'Return Data'!N83,0)+IF(RANK.EQ('Momentum Ranks'!O69,'Momentum Ranks'!$B69:$U69,0)&lt;='Strategy Settings'!$B$7,'Return Data'!O83,0)+IF(RANK.EQ('Momentum Ranks'!P69,'Momentum Ranks'!$B69:$U69,0)&lt;='Strategy Settings'!$B$7,'Return Data'!P83,0)+IF(RANK.EQ('Momentum Ranks'!Q69,'Momentum Ranks'!$B69:$U69,0)&lt;='Strategy Settings'!$B$7,'Return Data'!Q83,0)+IF(RANK.EQ('Momentum Ranks'!R69,'Momentum Ranks'!$B69:$U69,0)&lt;='Strategy Settings'!$B$7,'Return Data'!R83,0)+IF(RANK.EQ('Momentum Ranks'!S69,'Momentum Ranks'!$B69:$U69,0)&lt;='Strategy Settings'!$B$7,'Return Data'!S83,0)+IF(RANK.EQ('Momentum Ranks'!T69,'Momentum Ranks'!$B69:$U69,0)&lt;='Strategy Settings'!$B$7,'Return Data'!T83,0)+IF(RANK.EQ('Momentum Ranks'!U69,'Momentum Ranks'!$B69:$U69,0)&lt;='Strategy Settings'!$B$7,'Return Data'!U83,0))/'Strategy Settings'!$B$7</x:f>
        <x:v>0.0787494697121266</x:v>
      </x:c>
      <x:c r="C69" s="26" t="n">
        <x:f>1-(IF(AND(RANK.EQ('Momentum Ranks'!B69,'Momentum Ranks'!$B69:$U69,0)&lt;='Strategy Settings'!$B$7,RANK.EQ('Momentum Ranks'!B68,'Momentum Ranks'!$B68:$U68,0)&lt;='Strategy Settings'!$B$7),1,0)+IF(AND(RANK.EQ('Momentum Ranks'!C69,'Momentum Ranks'!$B69:$U69,0)&lt;='Strategy Settings'!$B$7,RANK.EQ('Momentum Ranks'!C68,'Momentum Ranks'!$B68:$U68,0)&lt;='Strategy Settings'!$B$7),1,0)+IF(AND(RANK.EQ('Momentum Ranks'!D69,'Momentum Ranks'!$B69:$U69,0)&lt;='Strategy Settings'!$B$7,RANK.EQ('Momentum Ranks'!D68,'Momentum Ranks'!$B68:$U68,0)&lt;='Strategy Settings'!$B$7),1,0)+IF(AND(RANK.EQ('Momentum Ranks'!E69,'Momentum Ranks'!$B69:$U69,0)&lt;='Strategy Settings'!$B$7,RANK.EQ('Momentum Ranks'!E68,'Momentum Ranks'!$B68:$U68,0)&lt;='Strategy Settings'!$B$7),1,0)+IF(AND(RANK.EQ('Momentum Ranks'!F69,'Momentum Ranks'!$B69:$U69,0)&lt;='Strategy Settings'!$B$7,RANK.EQ('Momentum Ranks'!F68,'Momentum Ranks'!$B68:$U68,0)&lt;='Strategy Settings'!$B$7),1,0)+IF(AND(RANK.EQ('Momentum Ranks'!G69,'Momentum Ranks'!$B69:$U69,0)&lt;='Strategy Settings'!$B$7,RANK.EQ('Momentum Ranks'!G68,'Momentum Ranks'!$B68:$U68,0)&lt;='Strategy Settings'!$B$7),1,0)+IF(AND(RANK.EQ('Momentum Ranks'!H69,'Momentum Ranks'!$B69:$U69,0)&lt;='Strategy Settings'!$B$7,RANK.EQ('Momentum Ranks'!H68,'Momentum Ranks'!$B68:$U68,0)&lt;='Strategy Settings'!$B$7),1,0)+IF(AND(RANK.EQ('Momentum Ranks'!I69,'Momentum Ranks'!$B69:$U69,0)&lt;='Strategy Settings'!$B$7,RANK.EQ('Momentum Ranks'!I68,'Momentum Ranks'!$B68:$U68,0)&lt;='Strategy Settings'!$B$7),1,0)+IF(AND(RANK.EQ('Momentum Ranks'!J69,'Momentum Ranks'!$B69:$U69,0)&lt;='Strategy Settings'!$B$7,RANK.EQ('Momentum Ranks'!J68,'Momentum Ranks'!$B68:$U68,0)&lt;='Strategy Settings'!$B$7),1,0)+IF(AND(RANK.EQ('Momentum Ranks'!K69,'Momentum Ranks'!$B69:$U69,0)&lt;='Strategy Settings'!$B$7,RANK.EQ('Momentum Ranks'!K68,'Momentum Ranks'!$B68:$U68,0)&lt;='Strategy Settings'!$B$7),1,0)+IF(AND(RANK.EQ('Momentum Ranks'!L69,'Momentum Ranks'!$B69:$U69,0)&lt;='Strategy Settings'!$B$7,RANK.EQ('Momentum Ranks'!L68,'Momentum Ranks'!$B68:$U68,0)&lt;='Strategy Settings'!$B$7),1,0)+IF(AND(RANK.EQ('Momentum Ranks'!M69,'Momentum Ranks'!$B69:$U69,0)&lt;='Strategy Settings'!$B$7,RANK.EQ('Momentum Ranks'!M68,'Momentum Ranks'!$B68:$U68,0)&lt;='Strategy Settings'!$B$7),1,0)+IF(AND(RANK.EQ('Momentum Ranks'!N69,'Momentum Ranks'!$B69:$U69,0)&lt;='Strategy Settings'!$B$7,RANK.EQ('Momentum Ranks'!N68,'Momentum Ranks'!$B68:$U68,0)&lt;='Strategy Settings'!$B$7),1,0)+IF(AND(RANK.EQ('Momentum Ranks'!O69,'Momentum Ranks'!$B69:$U69,0)&lt;='Strategy Settings'!$B$7,RANK.EQ('Momentum Ranks'!O68,'Momentum Ranks'!$B68:$U68,0)&lt;='Strategy Settings'!$B$7),1,0)+IF(AND(RANK.EQ('Momentum Ranks'!P69,'Momentum Ranks'!$B69:$U69,0)&lt;='Strategy Settings'!$B$7,RANK.EQ('Momentum Ranks'!P68,'Momentum Ranks'!$B68:$U68,0)&lt;='Strategy Settings'!$B$7),1,0)+IF(AND(RANK.EQ('Momentum Ranks'!Q69,'Momentum Ranks'!$B69:$U69,0)&lt;='Strategy Settings'!$B$7,RANK.EQ('Momentum Ranks'!Q68,'Momentum Ranks'!$B68:$U68,0)&lt;='Strategy Settings'!$B$7),1,0)+IF(AND(RANK.EQ('Momentum Ranks'!R69,'Momentum Ranks'!$B69:$U69,0)&lt;='Strategy Settings'!$B$7,RANK.EQ('Momentum Ranks'!R68,'Momentum Ranks'!$B68:$U68,0)&lt;='Strategy Settings'!$B$7),1,0)+IF(AND(RANK.EQ('Momentum Ranks'!S69,'Momentum Ranks'!$B69:$U69,0)&lt;='Strategy Settings'!$B$7,RANK.EQ('Momentum Ranks'!S68,'Momentum Ranks'!$B68:$U68,0)&lt;='Strategy Settings'!$B$7),1,0)+IF(AND(RANK.EQ('Momentum Ranks'!T69,'Momentum Ranks'!$B69:$U69,0)&lt;='Strategy Settings'!$B$7,RANK.EQ('Momentum Ranks'!T68,'Momentum Ranks'!$B68:$U68,0)&lt;='Strategy Settings'!$B$7),1,0)+IF(AND(RANK.EQ('Momentum Ranks'!U69,'Momentum Ranks'!$B69:$U69,0)&lt;='Strategy Settings'!$B$7,RANK.EQ('Momentum Ranks'!U68,'Momentum Ranks'!$B68:$U68,0)&lt;='Strategy Settings'!$B$7),1,0))/'Strategy Settings'!$B$7</x:f>
        <x:v>0.25</x:v>
      </x:c>
      <x:c r="D69" s="26" t="n">
        <x:f>C69*'Strategy Settings'!$B$9</x:f>
        <x:v>0.00025</x:v>
      </x:c>
      <x:c r="E69" s="26" t="n">
        <x:f>B69-D69</x:f>
        <x:v>0.0784994697121266</x:v>
      </x:c>
      <x:c r="F69" s="26" t="n">
        <x:f>'Return Data'!V79</x:f>
        <x:v>0.010172219655388443</x:v>
      </x:c>
      <x:c r="G69" s="26" t="n">
        <x:f>E69-F69</x:f>
        <x:v>0.06832725005673815</x:v>
      </x:c>
      <x:c r="H69" s="28" t="n">
        <x:f>H68*(1+E69)</x:f>
        <x:v>1.7505729213451307</x:v>
      </x:c>
      <x:c r="I69" s="28" t="n">
        <x:f>I68*(1+F69)</x:f>
        <x:v>1.3971914453211403</x:v>
      </x:c>
      <x:c r="J69" s="26" t="n">
        <x:f>H69/MAX($H$4:H69)-1</x:f>
        <x:v>-0.09380201686828837</x:v>
      </x:c>
      <x:c r="K69" s="26" t="n">
        <x:f>I69/MAX($I$4:I69)-1</x:f>
        <x:v>-0.1214079714975651</x:v>
      </x:c>
    </x:row>
    <x:row r="70">
      <x:c r="A70" s="20" t="n">
        <x:f>'Return Data'!A84</x:f>
        <x:v>46142</x:v>
      </x:c>
      <x:c r="B70" s="26" t="n">
        <x:f>(IF(RANK.EQ('Momentum Ranks'!B70,'Momentum Ranks'!$B70:$U70,0)&lt;='Strategy Settings'!$B$7,'Return Data'!B84,0)+IF(RANK.EQ('Momentum Ranks'!C70,'Momentum Ranks'!$B70:$U70,0)&lt;='Strategy Settings'!$B$7,'Return Data'!C84,0)+IF(RANK.EQ('Momentum Ranks'!D70,'Momentum Ranks'!$B70:$U70,0)&lt;='Strategy Settings'!$B$7,'Return Data'!D84,0)+IF(RANK.EQ('Momentum Ranks'!E70,'Momentum Ranks'!$B70:$U70,0)&lt;='Strategy Settings'!$B$7,'Return Data'!E84,0)+IF(RANK.EQ('Momentum Ranks'!F70,'Momentum Ranks'!$B70:$U70,0)&lt;='Strategy Settings'!$B$7,'Return Data'!F84,0)+IF(RANK.EQ('Momentum Ranks'!G70,'Momentum Ranks'!$B70:$U70,0)&lt;='Strategy Settings'!$B$7,'Return Data'!G84,0)+IF(RANK.EQ('Momentum Ranks'!H70,'Momentum Ranks'!$B70:$U70,0)&lt;='Strategy Settings'!$B$7,'Return Data'!H84,0)+IF(RANK.EQ('Momentum Ranks'!I70,'Momentum Ranks'!$B70:$U70,0)&lt;='Strategy Settings'!$B$7,'Return Data'!I84,0)+IF(RANK.EQ('Momentum Ranks'!J70,'Momentum Ranks'!$B70:$U70,0)&lt;='Strategy Settings'!$B$7,'Return Data'!J84,0)+IF(RANK.EQ('Momentum Ranks'!K70,'Momentum Ranks'!$B70:$U70,0)&lt;='Strategy Settings'!$B$7,'Return Data'!K84,0)+IF(RANK.EQ('Momentum Ranks'!L70,'Momentum Ranks'!$B70:$U70,0)&lt;='Strategy Settings'!$B$7,'Return Data'!L84,0)+IF(RANK.EQ('Momentum Ranks'!M70,'Momentum Ranks'!$B70:$U70,0)&lt;='Strategy Settings'!$B$7,'Return Data'!M84,0)+IF(RANK.EQ('Momentum Ranks'!N70,'Momentum Ranks'!$B70:$U70,0)&lt;='Strategy Settings'!$B$7,'Return Data'!N84,0)+IF(RANK.EQ('Momentum Ranks'!O70,'Momentum Ranks'!$B70:$U70,0)&lt;='Strategy Settings'!$B$7,'Return Data'!O84,0)+IF(RANK.EQ('Momentum Ranks'!P70,'Momentum Ranks'!$B70:$U70,0)&lt;='Strategy Settings'!$B$7,'Return Data'!P84,0)+IF(RANK.EQ('Momentum Ranks'!Q70,'Momentum Ranks'!$B70:$U70,0)&lt;='Strategy Settings'!$B$7,'Return Data'!Q84,0)+IF(RANK.EQ('Momentum Ranks'!R70,'Momentum Ranks'!$B70:$U70,0)&lt;='Strategy Settings'!$B$7,'Return Data'!R84,0)+IF(RANK.EQ('Momentum Ranks'!S70,'Momentum Ranks'!$B70:$U70,0)&lt;='Strategy Settings'!$B$7,'Return Data'!S84,0)+IF(RANK.EQ('Momentum Ranks'!T70,'Momentum Ranks'!$B70:$U70,0)&lt;='Strategy Settings'!$B$7,'Return Data'!T84,0)+IF(RANK.EQ('Momentum Ranks'!U70,'Momentum Ranks'!$B70:$U70,0)&lt;='Strategy Settings'!$B$7,'Return Data'!U84,0))/'Strategy Settings'!$B$7</x:f>
        <x:v>-0.04412532162613339</x:v>
      </x:c>
      <x:c r="C70" s="26" t="n">
        <x:f>1-(IF(AND(RANK.EQ('Momentum Ranks'!B70,'Momentum Ranks'!$B70:$U70,0)&lt;='Strategy Settings'!$B$7,RANK.EQ('Momentum Ranks'!B69,'Momentum Ranks'!$B69:$U69,0)&lt;='Strategy Settings'!$B$7),1,0)+IF(AND(RANK.EQ('Momentum Ranks'!C70,'Momentum Ranks'!$B70:$U70,0)&lt;='Strategy Settings'!$B$7,RANK.EQ('Momentum Ranks'!C69,'Momentum Ranks'!$B69:$U69,0)&lt;='Strategy Settings'!$B$7),1,0)+IF(AND(RANK.EQ('Momentum Ranks'!D70,'Momentum Ranks'!$B70:$U70,0)&lt;='Strategy Settings'!$B$7,RANK.EQ('Momentum Ranks'!D69,'Momentum Ranks'!$B69:$U69,0)&lt;='Strategy Settings'!$B$7),1,0)+IF(AND(RANK.EQ('Momentum Ranks'!E70,'Momentum Ranks'!$B70:$U70,0)&lt;='Strategy Settings'!$B$7,RANK.EQ('Momentum Ranks'!E69,'Momentum Ranks'!$B69:$U69,0)&lt;='Strategy Settings'!$B$7),1,0)+IF(AND(RANK.EQ('Momentum Ranks'!F70,'Momentum Ranks'!$B70:$U70,0)&lt;='Strategy Settings'!$B$7,RANK.EQ('Momentum Ranks'!F69,'Momentum Ranks'!$B69:$U69,0)&lt;='Strategy Settings'!$B$7),1,0)+IF(AND(RANK.EQ('Momentum Ranks'!G70,'Momentum Ranks'!$B70:$U70,0)&lt;='Strategy Settings'!$B$7,RANK.EQ('Momentum Ranks'!G69,'Momentum Ranks'!$B69:$U69,0)&lt;='Strategy Settings'!$B$7),1,0)+IF(AND(RANK.EQ('Momentum Ranks'!H70,'Momentum Ranks'!$B70:$U70,0)&lt;='Strategy Settings'!$B$7,RANK.EQ('Momentum Ranks'!H69,'Momentum Ranks'!$B69:$U69,0)&lt;='Strategy Settings'!$B$7),1,0)+IF(AND(RANK.EQ('Momentum Ranks'!I70,'Momentum Ranks'!$B70:$U70,0)&lt;='Strategy Settings'!$B$7,RANK.EQ('Momentum Ranks'!I69,'Momentum Ranks'!$B69:$U69,0)&lt;='Strategy Settings'!$B$7),1,0)+IF(AND(RANK.EQ('Momentum Ranks'!J70,'Momentum Ranks'!$B70:$U70,0)&lt;='Strategy Settings'!$B$7,RANK.EQ('Momentum Ranks'!J69,'Momentum Ranks'!$B69:$U69,0)&lt;='Strategy Settings'!$B$7),1,0)+IF(AND(RANK.EQ('Momentum Ranks'!K70,'Momentum Ranks'!$B70:$U70,0)&lt;='Strategy Settings'!$B$7,RANK.EQ('Momentum Ranks'!K69,'Momentum Ranks'!$B69:$U69,0)&lt;='Strategy Settings'!$B$7),1,0)+IF(AND(RANK.EQ('Momentum Ranks'!L70,'Momentum Ranks'!$B70:$U70,0)&lt;='Strategy Settings'!$B$7,RANK.EQ('Momentum Ranks'!L69,'Momentum Ranks'!$B69:$U69,0)&lt;='Strategy Settings'!$B$7),1,0)+IF(AND(RANK.EQ('Momentum Ranks'!M70,'Momentum Ranks'!$B70:$U70,0)&lt;='Strategy Settings'!$B$7,RANK.EQ('Momentum Ranks'!M69,'Momentum Ranks'!$B69:$U69,0)&lt;='Strategy Settings'!$B$7),1,0)+IF(AND(RANK.EQ('Momentum Ranks'!N70,'Momentum Ranks'!$B70:$U70,0)&lt;='Strategy Settings'!$B$7,RANK.EQ('Momentum Ranks'!N69,'Momentum Ranks'!$B69:$U69,0)&lt;='Strategy Settings'!$B$7),1,0)+IF(AND(RANK.EQ('Momentum Ranks'!O70,'Momentum Ranks'!$B70:$U70,0)&lt;='Strategy Settings'!$B$7,RANK.EQ('Momentum Ranks'!O69,'Momentum Ranks'!$B69:$U69,0)&lt;='Strategy Settings'!$B$7),1,0)+IF(AND(RANK.EQ('Momentum Ranks'!P70,'Momentum Ranks'!$B70:$U70,0)&lt;='Strategy Settings'!$B$7,RANK.EQ('Momentum Ranks'!P69,'Momentum Ranks'!$B69:$U69,0)&lt;='Strategy Settings'!$B$7),1,0)+IF(AND(RANK.EQ('Momentum Ranks'!Q70,'Momentum Ranks'!$B70:$U70,0)&lt;='Strategy Settings'!$B$7,RANK.EQ('Momentum Ranks'!Q69,'Momentum Ranks'!$B69:$U69,0)&lt;='Strategy Settings'!$B$7),1,0)+IF(AND(RANK.EQ('Momentum Ranks'!R70,'Momentum Ranks'!$B70:$U70,0)&lt;='Strategy Settings'!$B$7,RANK.EQ('Momentum Ranks'!R69,'Momentum Ranks'!$B69:$U69,0)&lt;='Strategy Settings'!$B$7),1,0)+IF(AND(RANK.EQ('Momentum Ranks'!S70,'Momentum Ranks'!$B70:$U70,0)&lt;='Strategy Settings'!$B$7,RANK.EQ('Momentum Ranks'!S69,'Momentum Ranks'!$B69:$U69,0)&lt;='Strategy Settings'!$B$7),1,0)+IF(AND(RANK.EQ('Momentum Ranks'!T70,'Momentum Ranks'!$B70:$U70,0)&lt;='Strategy Settings'!$B$7,RANK.EQ('Momentum Ranks'!T69,'Momentum Ranks'!$B69:$U69,0)&lt;='Strategy Settings'!$B$7),1,0)+IF(AND(RANK.EQ('Momentum Ranks'!U70,'Momentum Ranks'!$B70:$U70,0)&lt;='Strategy Settings'!$B$7,RANK.EQ('Momentum Ranks'!U69,'Momentum Ranks'!$B69:$U69,0)&lt;='Strategy Settings'!$B$7),1,0))/'Strategy Settings'!$B$7</x:f>
        <x:v>0</x:v>
      </x:c>
      <x:c r="D70" s="26" t="n">
        <x:f>C70*'Strategy Settings'!$B$9</x:f>
        <x:v>0</x:v>
      </x:c>
      <x:c r="E70" s="26" t="n">
        <x:f>B70-D70</x:f>
        <x:v>-0.04412532162613339</x:v>
      </x:c>
      <x:c r="F70" s="26" t="n">
        <x:f>'Return Data'!V80</x:f>
        <x:v>-0.09973462496427518</x:v>
      </x:c>
      <x:c r="G70" s="26" t="n">
        <x:f>E70-F70</x:f>
        <x:v>0.05560930333814179</x:v>
      </x:c>
      <x:c r="H70" s="28" t="n">
        <x:f>H69*(1+E70)</x:f>
        <x:v>1.673328328160777</x:v>
      </x:c>
      <x:c r="I70" s="28" t="n">
        <x:f>I69*(1+F70)</x:f>
        <x:v>1.2578430805187426</x:v>
      </x:c>
      <x:c r="J70" s="26" t="n">
        <x:f>H70/MAX($H$4:H70)-1</x:f>
        <x:v>-0.13378829433092854</x:v>
      </x:c>
      <x:c r="K70" s="26" t="n">
        <x:f>I70/MAX($I$4:I70)-1</x:f>
        <x:v>-0.20903401795685728</x:v>
      </x:c>
    </x:row>
    <x:row r="71">
      <x:c r="A71" s="20" t="n">
        <x:f>'Return Data'!A85</x:f>
        <x:v>46172</x:v>
      </x:c>
      <x:c r="B71" s="26" t="n">
        <x:f>(IF(RANK.EQ('Momentum Ranks'!B71,'Momentum Ranks'!$B71:$U71,0)&lt;='Strategy Settings'!$B$7,'Return Data'!B85,0)+IF(RANK.EQ('Momentum Ranks'!C71,'Momentum Ranks'!$B71:$U71,0)&lt;='Strategy Settings'!$B$7,'Return Data'!C85,0)+IF(RANK.EQ('Momentum Ranks'!D71,'Momentum Ranks'!$B71:$U71,0)&lt;='Strategy Settings'!$B$7,'Return Data'!D85,0)+IF(RANK.EQ('Momentum Ranks'!E71,'Momentum Ranks'!$B71:$U71,0)&lt;='Strategy Settings'!$B$7,'Return Data'!E85,0)+IF(RANK.EQ('Momentum Ranks'!F71,'Momentum Ranks'!$B71:$U71,0)&lt;='Strategy Settings'!$B$7,'Return Data'!F85,0)+IF(RANK.EQ('Momentum Ranks'!G71,'Momentum Ranks'!$B71:$U71,0)&lt;='Strategy Settings'!$B$7,'Return Data'!G85,0)+IF(RANK.EQ('Momentum Ranks'!H71,'Momentum Ranks'!$B71:$U71,0)&lt;='Strategy Settings'!$B$7,'Return Data'!H85,0)+IF(RANK.EQ('Momentum Ranks'!I71,'Momentum Ranks'!$B71:$U71,0)&lt;='Strategy Settings'!$B$7,'Return Data'!I85,0)+IF(RANK.EQ('Momentum Ranks'!J71,'Momentum Ranks'!$B71:$U71,0)&lt;='Strategy Settings'!$B$7,'Return Data'!J85,0)+IF(RANK.EQ('Momentum Ranks'!K71,'Momentum Ranks'!$B71:$U71,0)&lt;='Strategy Settings'!$B$7,'Return Data'!K85,0)+IF(RANK.EQ('Momentum Ranks'!L71,'Momentum Ranks'!$B71:$U71,0)&lt;='Strategy Settings'!$B$7,'Return Data'!L85,0)+IF(RANK.EQ('Momentum Ranks'!M71,'Momentum Ranks'!$B71:$U71,0)&lt;='Strategy Settings'!$B$7,'Return Data'!M85,0)+IF(RANK.EQ('Momentum Ranks'!N71,'Momentum Ranks'!$B71:$U71,0)&lt;='Strategy Settings'!$B$7,'Return Data'!N85,0)+IF(RANK.EQ('Momentum Ranks'!O71,'Momentum Ranks'!$B71:$U71,0)&lt;='Strategy Settings'!$B$7,'Return Data'!O85,0)+IF(RANK.EQ('Momentum Ranks'!P71,'Momentum Ranks'!$B71:$U71,0)&lt;='Strategy Settings'!$B$7,'Return Data'!P85,0)+IF(RANK.EQ('Momentum Ranks'!Q71,'Momentum Ranks'!$B71:$U71,0)&lt;='Strategy Settings'!$B$7,'Return Data'!Q85,0)+IF(RANK.EQ('Momentum Ranks'!R71,'Momentum Ranks'!$B71:$U71,0)&lt;='Strategy Settings'!$B$7,'Return Data'!R85,0)+IF(RANK.EQ('Momentum Ranks'!S71,'Momentum Ranks'!$B71:$U71,0)&lt;='Strategy Settings'!$B$7,'Return Data'!S85,0)+IF(RANK.EQ('Momentum Ranks'!T71,'Momentum Ranks'!$B71:$U71,0)&lt;='Strategy Settings'!$B$7,'Return Data'!T85,0)+IF(RANK.EQ('Momentum Ranks'!U71,'Momentum Ranks'!$B71:$U71,0)&lt;='Strategy Settings'!$B$7,'Return Data'!U85,0))/'Strategy Settings'!$B$7</x:f>
        <x:v>0.009159008671332156</x:v>
      </x:c>
      <x:c r="C71" s="26" t="n">
        <x:f>1-(IF(AND(RANK.EQ('Momentum Ranks'!B71,'Momentum Ranks'!$B71:$U71,0)&lt;='Strategy Settings'!$B$7,RANK.EQ('Momentum Ranks'!B70,'Momentum Ranks'!$B70:$U70,0)&lt;='Strategy Settings'!$B$7),1,0)+IF(AND(RANK.EQ('Momentum Ranks'!C71,'Momentum Ranks'!$B71:$U71,0)&lt;='Strategy Settings'!$B$7,RANK.EQ('Momentum Ranks'!C70,'Momentum Ranks'!$B70:$U70,0)&lt;='Strategy Settings'!$B$7),1,0)+IF(AND(RANK.EQ('Momentum Ranks'!D71,'Momentum Ranks'!$B71:$U71,0)&lt;='Strategy Settings'!$B$7,RANK.EQ('Momentum Ranks'!D70,'Momentum Ranks'!$B70:$U70,0)&lt;='Strategy Settings'!$B$7),1,0)+IF(AND(RANK.EQ('Momentum Ranks'!E71,'Momentum Ranks'!$B71:$U71,0)&lt;='Strategy Settings'!$B$7,RANK.EQ('Momentum Ranks'!E70,'Momentum Ranks'!$B70:$U70,0)&lt;='Strategy Settings'!$B$7),1,0)+IF(AND(RANK.EQ('Momentum Ranks'!F71,'Momentum Ranks'!$B71:$U71,0)&lt;='Strategy Settings'!$B$7,RANK.EQ('Momentum Ranks'!F70,'Momentum Ranks'!$B70:$U70,0)&lt;='Strategy Settings'!$B$7),1,0)+IF(AND(RANK.EQ('Momentum Ranks'!G71,'Momentum Ranks'!$B71:$U71,0)&lt;='Strategy Settings'!$B$7,RANK.EQ('Momentum Ranks'!G70,'Momentum Ranks'!$B70:$U70,0)&lt;='Strategy Settings'!$B$7),1,0)+IF(AND(RANK.EQ('Momentum Ranks'!H71,'Momentum Ranks'!$B71:$U71,0)&lt;='Strategy Settings'!$B$7,RANK.EQ('Momentum Ranks'!H70,'Momentum Ranks'!$B70:$U70,0)&lt;='Strategy Settings'!$B$7),1,0)+IF(AND(RANK.EQ('Momentum Ranks'!I71,'Momentum Ranks'!$B71:$U71,0)&lt;='Strategy Settings'!$B$7,RANK.EQ('Momentum Ranks'!I70,'Momentum Ranks'!$B70:$U70,0)&lt;='Strategy Settings'!$B$7),1,0)+IF(AND(RANK.EQ('Momentum Ranks'!J71,'Momentum Ranks'!$B71:$U71,0)&lt;='Strategy Settings'!$B$7,RANK.EQ('Momentum Ranks'!J70,'Momentum Ranks'!$B70:$U70,0)&lt;='Strategy Settings'!$B$7),1,0)+IF(AND(RANK.EQ('Momentum Ranks'!K71,'Momentum Ranks'!$B71:$U71,0)&lt;='Strategy Settings'!$B$7,RANK.EQ('Momentum Ranks'!K70,'Momentum Ranks'!$B70:$U70,0)&lt;='Strategy Settings'!$B$7),1,0)+IF(AND(RANK.EQ('Momentum Ranks'!L71,'Momentum Ranks'!$B71:$U71,0)&lt;='Strategy Settings'!$B$7,RANK.EQ('Momentum Ranks'!L70,'Momentum Ranks'!$B70:$U70,0)&lt;='Strategy Settings'!$B$7),1,0)+IF(AND(RANK.EQ('Momentum Ranks'!M71,'Momentum Ranks'!$B71:$U71,0)&lt;='Strategy Settings'!$B$7,RANK.EQ('Momentum Ranks'!M70,'Momentum Ranks'!$B70:$U70,0)&lt;='Strategy Settings'!$B$7),1,0)+IF(AND(RANK.EQ('Momentum Ranks'!N71,'Momentum Ranks'!$B71:$U71,0)&lt;='Strategy Settings'!$B$7,RANK.EQ('Momentum Ranks'!N70,'Momentum Ranks'!$B70:$U70,0)&lt;='Strategy Settings'!$B$7),1,0)+IF(AND(RANK.EQ('Momentum Ranks'!O71,'Momentum Ranks'!$B71:$U71,0)&lt;='Strategy Settings'!$B$7,RANK.EQ('Momentum Ranks'!O70,'Momentum Ranks'!$B70:$U70,0)&lt;='Strategy Settings'!$B$7),1,0)+IF(AND(RANK.EQ('Momentum Ranks'!P71,'Momentum Ranks'!$B71:$U71,0)&lt;='Strategy Settings'!$B$7,RANK.EQ('Momentum Ranks'!P70,'Momentum Ranks'!$B70:$U70,0)&lt;='Strategy Settings'!$B$7),1,0)+IF(AND(RANK.EQ('Momentum Ranks'!Q71,'Momentum Ranks'!$B71:$U71,0)&lt;='Strategy Settings'!$B$7,RANK.EQ('Momentum Ranks'!Q70,'Momentum Ranks'!$B70:$U70,0)&lt;='Strategy Settings'!$B$7),1,0)+IF(AND(RANK.EQ('Momentum Ranks'!R71,'Momentum Ranks'!$B71:$U71,0)&lt;='Strategy Settings'!$B$7,RANK.EQ('Momentum Ranks'!R70,'Momentum Ranks'!$B70:$U70,0)&lt;='Strategy Settings'!$B$7),1,0)+IF(AND(RANK.EQ('Momentum Ranks'!S71,'Momentum Ranks'!$B71:$U71,0)&lt;='Strategy Settings'!$B$7,RANK.EQ('Momentum Ranks'!S70,'Momentum Ranks'!$B70:$U70,0)&lt;='Strategy Settings'!$B$7),1,0)+IF(AND(RANK.EQ('Momentum Ranks'!T71,'Momentum Ranks'!$B71:$U71,0)&lt;='Strategy Settings'!$B$7,RANK.EQ('Momentum Ranks'!T70,'Momentum Ranks'!$B70:$U70,0)&lt;='Strategy Settings'!$B$7),1,0)+IF(AND(RANK.EQ('Momentum Ranks'!U71,'Momentum Ranks'!$B71:$U71,0)&lt;='Strategy Settings'!$B$7,RANK.EQ('Momentum Ranks'!U70,'Momentum Ranks'!$B70:$U70,0)&lt;='Strategy Settings'!$B$7),1,0))/'Strategy Settings'!$B$7</x:f>
        <x:v>0.25</x:v>
      </x:c>
      <x:c r="D71" s="26" t="n">
        <x:f>C71*'Strategy Settings'!$B$9</x:f>
        <x:v>0.00025</x:v>
      </x:c>
      <x:c r="E71" s="26" t="n">
        <x:f>B71-D71</x:f>
        <x:v>0.008909008671332156</x:v>
      </x:c>
      <x:c r="F71" s="26" t="n">
        <x:f>'Return Data'!V81</x:f>
        <x:v>0.00832775555765167</x:v>
      </x:c>
      <x:c r="G71" s="26" t="n">
        <x:f>E71-F71</x:f>
        <x:v>0.0005812531136804855</x:v>
      </x:c>
      <x:c r="H71" s="28" t="n">
        <x:f>H70*(1+E71)</x:f>
        <x:v>1.688236024746347</x:v>
      </x:c>
      <x:c r="I71" s="28" t="n">
        <x:f>I70*(1+F71)</x:f>
        <x:v>1.2683180902231863</x:v>
      </x:c>
      <x:c r="J71" s="26" t="n">
        <x:f>H71/MAX($H$4:H71)-1</x:f>
        <x:v>-0.12607120673391337</x:v>
      </x:c>
      <x:c r="K71" s="26" t="n">
        <x:f>I71/MAX($I$4:I71)-1</x:f>
        <x:v>-0.20244704660398405</x:v>
      </x:c>
    </x:row>
    <x:row r="72">
      <x:c r="A72" s="20" t="n">
        <x:f>'Return Data'!A86</x:f>
        <x:v>46203</x:v>
      </x:c>
      <x:c r="B72" s="26" t="n">
        <x:f>(IF(RANK.EQ('Momentum Ranks'!B72,'Momentum Ranks'!$B72:$U72,0)&lt;='Strategy Settings'!$B$7,'Return Data'!B86,0)+IF(RANK.EQ('Momentum Ranks'!C72,'Momentum Ranks'!$B72:$U72,0)&lt;='Strategy Settings'!$B$7,'Return Data'!C86,0)+IF(RANK.EQ('Momentum Ranks'!D72,'Momentum Ranks'!$B72:$U72,0)&lt;='Strategy Settings'!$B$7,'Return Data'!D86,0)+IF(RANK.EQ('Momentum Ranks'!E72,'Momentum Ranks'!$B72:$U72,0)&lt;='Strategy Settings'!$B$7,'Return Data'!E86,0)+IF(RANK.EQ('Momentum Ranks'!F72,'Momentum Ranks'!$B72:$U72,0)&lt;='Strategy Settings'!$B$7,'Return Data'!F86,0)+IF(RANK.EQ('Momentum Ranks'!G72,'Momentum Ranks'!$B72:$U72,0)&lt;='Strategy Settings'!$B$7,'Return Data'!G86,0)+IF(RANK.EQ('Momentum Ranks'!H72,'Momentum Ranks'!$B72:$U72,0)&lt;='Strategy Settings'!$B$7,'Return Data'!H86,0)+IF(RANK.EQ('Momentum Ranks'!I72,'Momentum Ranks'!$B72:$U72,0)&lt;='Strategy Settings'!$B$7,'Return Data'!I86,0)+IF(RANK.EQ('Momentum Ranks'!J72,'Momentum Ranks'!$B72:$U72,0)&lt;='Strategy Settings'!$B$7,'Return Data'!J86,0)+IF(RANK.EQ('Momentum Ranks'!K72,'Momentum Ranks'!$B72:$U72,0)&lt;='Strategy Settings'!$B$7,'Return Data'!K86,0)+IF(RANK.EQ('Momentum Ranks'!L72,'Momentum Ranks'!$B72:$U72,0)&lt;='Strategy Settings'!$B$7,'Return Data'!L86,0)+IF(RANK.EQ('Momentum Ranks'!M72,'Momentum Ranks'!$B72:$U72,0)&lt;='Strategy Settings'!$B$7,'Return Data'!M86,0)+IF(RANK.EQ('Momentum Ranks'!N72,'Momentum Ranks'!$B72:$U72,0)&lt;='Strategy Settings'!$B$7,'Return Data'!N86,0)+IF(RANK.EQ('Momentum Ranks'!O72,'Momentum Ranks'!$B72:$U72,0)&lt;='Strategy Settings'!$B$7,'Return Data'!O86,0)+IF(RANK.EQ('Momentum Ranks'!P72,'Momentum Ranks'!$B72:$U72,0)&lt;='Strategy Settings'!$B$7,'Return Data'!P86,0)+IF(RANK.EQ('Momentum Ranks'!Q72,'Momentum Ranks'!$B72:$U72,0)&lt;='Strategy Settings'!$B$7,'Return Data'!Q86,0)+IF(RANK.EQ('Momentum Ranks'!R72,'Momentum Ranks'!$B72:$U72,0)&lt;='Strategy Settings'!$B$7,'Return Data'!R86,0)+IF(RANK.EQ('Momentum Ranks'!S72,'Momentum Ranks'!$B72:$U72,0)&lt;='Strategy Settings'!$B$7,'Return Data'!S86,0)+IF(RANK.EQ('Momentum Ranks'!T72,'Momentum Ranks'!$B72:$U72,0)&lt;='Strategy Settings'!$B$7,'Return Data'!T86,0)+IF(RANK.EQ('Momentum Ranks'!U72,'Momentum Ranks'!$B72:$U72,0)&lt;='Strategy Settings'!$B$7,'Return Data'!U86,0))/'Strategy Settings'!$B$7</x:f>
        <x:v>0.08338587398295802</x:v>
      </x:c>
      <x:c r="C72" s="26" t="n">
        <x:f>1-(IF(AND(RANK.EQ('Momentum Ranks'!B72,'Momentum Ranks'!$B72:$U72,0)&lt;='Strategy Settings'!$B$7,RANK.EQ('Momentum Ranks'!B71,'Momentum Ranks'!$B71:$U71,0)&lt;='Strategy Settings'!$B$7),1,0)+IF(AND(RANK.EQ('Momentum Ranks'!C72,'Momentum Ranks'!$B72:$U72,0)&lt;='Strategy Settings'!$B$7,RANK.EQ('Momentum Ranks'!C71,'Momentum Ranks'!$B71:$U71,0)&lt;='Strategy Settings'!$B$7),1,0)+IF(AND(RANK.EQ('Momentum Ranks'!D72,'Momentum Ranks'!$B72:$U72,0)&lt;='Strategy Settings'!$B$7,RANK.EQ('Momentum Ranks'!D71,'Momentum Ranks'!$B71:$U71,0)&lt;='Strategy Settings'!$B$7),1,0)+IF(AND(RANK.EQ('Momentum Ranks'!E72,'Momentum Ranks'!$B72:$U72,0)&lt;='Strategy Settings'!$B$7,RANK.EQ('Momentum Ranks'!E71,'Momentum Ranks'!$B71:$U71,0)&lt;='Strategy Settings'!$B$7),1,0)+IF(AND(RANK.EQ('Momentum Ranks'!F72,'Momentum Ranks'!$B72:$U72,0)&lt;='Strategy Settings'!$B$7,RANK.EQ('Momentum Ranks'!F71,'Momentum Ranks'!$B71:$U71,0)&lt;='Strategy Settings'!$B$7),1,0)+IF(AND(RANK.EQ('Momentum Ranks'!G72,'Momentum Ranks'!$B72:$U72,0)&lt;='Strategy Settings'!$B$7,RANK.EQ('Momentum Ranks'!G71,'Momentum Ranks'!$B71:$U71,0)&lt;='Strategy Settings'!$B$7),1,0)+IF(AND(RANK.EQ('Momentum Ranks'!H72,'Momentum Ranks'!$B72:$U72,0)&lt;='Strategy Settings'!$B$7,RANK.EQ('Momentum Ranks'!H71,'Momentum Ranks'!$B71:$U71,0)&lt;='Strategy Settings'!$B$7),1,0)+IF(AND(RANK.EQ('Momentum Ranks'!I72,'Momentum Ranks'!$B72:$U72,0)&lt;='Strategy Settings'!$B$7,RANK.EQ('Momentum Ranks'!I71,'Momentum Ranks'!$B71:$U71,0)&lt;='Strategy Settings'!$B$7),1,0)+IF(AND(RANK.EQ('Momentum Ranks'!J72,'Momentum Ranks'!$B72:$U72,0)&lt;='Strategy Settings'!$B$7,RANK.EQ('Momentum Ranks'!J71,'Momentum Ranks'!$B71:$U71,0)&lt;='Strategy Settings'!$B$7),1,0)+IF(AND(RANK.EQ('Momentum Ranks'!K72,'Momentum Ranks'!$B72:$U72,0)&lt;='Strategy Settings'!$B$7,RANK.EQ('Momentum Ranks'!K71,'Momentum Ranks'!$B71:$U71,0)&lt;='Strategy Settings'!$B$7),1,0)+IF(AND(RANK.EQ('Momentum Ranks'!L72,'Momentum Ranks'!$B72:$U72,0)&lt;='Strategy Settings'!$B$7,RANK.EQ('Momentum Ranks'!L71,'Momentum Ranks'!$B71:$U71,0)&lt;='Strategy Settings'!$B$7),1,0)+IF(AND(RANK.EQ('Momentum Ranks'!M72,'Momentum Ranks'!$B72:$U72,0)&lt;='Strategy Settings'!$B$7,RANK.EQ('Momentum Ranks'!M71,'Momentum Ranks'!$B71:$U71,0)&lt;='Strategy Settings'!$B$7),1,0)+IF(AND(RANK.EQ('Momentum Ranks'!N72,'Momentum Ranks'!$B72:$U72,0)&lt;='Strategy Settings'!$B$7,RANK.EQ('Momentum Ranks'!N71,'Momentum Ranks'!$B71:$U71,0)&lt;='Strategy Settings'!$B$7),1,0)+IF(AND(RANK.EQ('Momentum Ranks'!O72,'Momentum Ranks'!$B72:$U72,0)&lt;='Strategy Settings'!$B$7,RANK.EQ('Momentum Ranks'!O71,'Momentum Ranks'!$B71:$U71,0)&lt;='Strategy Settings'!$B$7),1,0)+IF(AND(RANK.EQ('Momentum Ranks'!P72,'Momentum Ranks'!$B72:$U72,0)&lt;='Strategy Settings'!$B$7,RANK.EQ('Momentum Ranks'!P71,'Momentum Ranks'!$B71:$U71,0)&lt;='Strategy Settings'!$B$7),1,0)+IF(AND(RANK.EQ('Momentum Ranks'!Q72,'Momentum Ranks'!$B72:$U72,0)&lt;='Strategy Settings'!$B$7,RANK.EQ('Momentum Ranks'!Q71,'Momentum Ranks'!$B71:$U71,0)&lt;='Strategy Settings'!$B$7),1,0)+IF(AND(RANK.EQ('Momentum Ranks'!R72,'Momentum Ranks'!$B72:$U72,0)&lt;='Strategy Settings'!$B$7,RANK.EQ('Momentum Ranks'!R71,'Momentum Ranks'!$B71:$U71,0)&lt;='Strategy Settings'!$B$7),1,0)+IF(AND(RANK.EQ('Momentum Ranks'!S72,'Momentum Ranks'!$B72:$U72,0)&lt;='Strategy Settings'!$B$7,RANK.EQ('Momentum Ranks'!S71,'Momentum Ranks'!$B71:$U71,0)&lt;='Strategy Settings'!$B$7),1,0)+IF(AND(RANK.EQ('Momentum Ranks'!T72,'Momentum Ranks'!$B72:$U72,0)&lt;='Strategy Settings'!$B$7,RANK.EQ('Momentum Ranks'!T71,'Momentum Ranks'!$B71:$U71,0)&lt;='Strategy Settings'!$B$7),1,0)+IF(AND(RANK.EQ('Momentum Ranks'!U72,'Momentum Ranks'!$B72:$U72,0)&lt;='Strategy Settings'!$B$7,RANK.EQ('Momentum Ranks'!U71,'Momentum Ranks'!$B71:$U71,0)&lt;='Strategy Settings'!$B$7),1,0))/'Strategy Settings'!$B$7</x:f>
        <x:v>0.25</x:v>
      </x:c>
      <x:c r="D72" s="26" t="n">
        <x:f>C72*'Strategy Settings'!$B$9</x:f>
        <x:v>0.00025</x:v>
      </x:c>
      <x:c r="E72" s="26" t="n">
        <x:f>B72-D72</x:f>
        <x:v>0.08313587398295802</x:v>
      </x:c>
      <x:c r="F72" s="26" t="n">
        <x:f>'Return Data'!V82</x:f>
        <x:v>-0.004206483537514312</x:v>
      </x:c>
      <x:c r="G72" s="26" t="n">
        <x:f>E72-F72</x:f>
        <x:v>0.08734235752047233</x:v>
      </x:c>
      <x:c r="H72" s="28" t="n">
        <x:f>H71*(1+E72)</x:f>
        <x:v>1.8285890021531492</x:v>
      </x:c>
      <x:c r="I72" s="28" t="n">
        <x:f>I71*(1+F72)</x:f>
        <x:v>1.262982931056331</x:v>
      </x:c>
      <x:c r="J72" s="26" t="n">
        <x:f>H72/MAX($H$4:H72)-1</x:f>
        <x:v>-0.0534163727068655</x:v>
      </x:c>
      <x:c r="K72" s="26" t="n">
        <x:f>I72/MAX($I$4:I72)-1</x:f>
        <x:v>-0.2058019399727402</x:v>
      </x:c>
    </x:row>
    <x:row r="73">
      <x:c r="A73" s="20" t="n">
        <x:f>'Return Data'!A87</x:f>
        <x:v>46233</x:v>
      </x:c>
      <x:c r="B73" s="26" t="n">
        <x:f>(IF(RANK.EQ('Momentum Ranks'!B73,'Momentum Ranks'!$B73:$U73,0)&lt;='Strategy Settings'!$B$7,'Return Data'!B87,0)+IF(RANK.EQ('Momentum Ranks'!C73,'Momentum Ranks'!$B73:$U73,0)&lt;='Strategy Settings'!$B$7,'Return Data'!C87,0)+IF(RANK.EQ('Momentum Ranks'!D73,'Momentum Ranks'!$B73:$U73,0)&lt;='Strategy Settings'!$B$7,'Return Data'!D87,0)+IF(RANK.EQ('Momentum Ranks'!E73,'Momentum Ranks'!$B73:$U73,0)&lt;='Strategy Settings'!$B$7,'Return Data'!E87,0)+IF(RANK.EQ('Momentum Ranks'!F73,'Momentum Ranks'!$B73:$U73,0)&lt;='Strategy Settings'!$B$7,'Return Data'!F87,0)+IF(RANK.EQ('Momentum Ranks'!G73,'Momentum Ranks'!$B73:$U73,0)&lt;='Strategy Settings'!$B$7,'Return Data'!G87,0)+IF(RANK.EQ('Momentum Ranks'!H73,'Momentum Ranks'!$B73:$U73,0)&lt;='Strategy Settings'!$B$7,'Return Data'!H87,0)+IF(RANK.EQ('Momentum Ranks'!I73,'Momentum Ranks'!$B73:$U73,0)&lt;='Strategy Settings'!$B$7,'Return Data'!I87,0)+IF(RANK.EQ('Momentum Ranks'!J73,'Momentum Ranks'!$B73:$U73,0)&lt;='Strategy Settings'!$B$7,'Return Data'!J87,0)+IF(RANK.EQ('Momentum Ranks'!K73,'Momentum Ranks'!$B73:$U73,0)&lt;='Strategy Settings'!$B$7,'Return Data'!K87,0)+IF(RANK.EQ('Momentum Ranks'!L73,'Momentum Ranks'!$B73:$U73,0)&lt;='Strategy Settings'!$B$7,'Return Data'!L87,0)+IF(RANK.EQ('Momentum Ranks'!M73,'Momentum Ranks'!$B73:$U73,0)&lt;='Strategy Settings'!$B$7,'Return Data'!M87,0)+IF(RANK.EQ('Momentum Ranks'!N73,'Momentum Ranks'!$B73:$U73,0)&lt;='Strategy Settings'!$B$7,'Return Data'!N87,0)+IF(RANK.EQ('Momentum Ranks'!O73,'Momentum Ranks'!$B73:$U73,0)&lt;='Strategy Settings'!$B$7,'Return Data'!O87,0)+IF(RANK.EQ('Momentum Ranks'!P73,'Momentum Ranks'!$B73:$U73,0)&lt;='Strategy Settings'!$B$7,'Return Data'!P87,0)+IF(RANK.EQ('Momentum Ranks'!Q73,'Momentum Ranks'!$B73:$U73,0)&lt;='Strategy Settings'!$B$7,'Return Data'!Q87,0)+IF(RANK.EQ('Momentum Ranks'!R73,'Momentum Ranks'!$B73:$U73,0)&lt;='Strategy Settings'!$B$7,'Return Data'!R87,0)+IF(RANK.EQ('Momentum Ranks'!S73,'Momentum Ranks'!$B73:$U73,0)&lt;='Strategy Settings'!$B$7,'Return Data'!S87,0)+IF(RANK.EQ('Momentum Ranks'!T73,'Momentum Ranks'!$B73:$U73,0)&lt;='Strategy Settings'!$B$7,'Return Data'!T87,0)+IF(RANK.EQ('Momentum Ranks'!U73,'Momentum Ranks'!$B73:$U73,0)&lt;='Strategy Settings'!$B$7,'Return Data'!U87,0))/'Strategy Settings'!$B$7</x:f>
        <x:v>-0.05642329700289699</x:v>
      </x:c>
      <x:c r="C73" s="26" t="n">
        <x:f>1-(IF(AND(RANK.EQ('Momentum Ranks'!B73,'Momentum Ranks'!$B73:$U73,0)&lt;='Strategy Settings'!$B$7,RANK.EQ('Momentum Ranks'!B72,'Momentum Ranks'!$B72:$U72,0)&lt;='Strategy Settings'!$B$7),1,0)+IF(AND(RANK.EQ('Momentum Ranks'!C73,'Momentum Ranks'!$B73:$U73,0)&lt;='Strategy Settings'!$B$7,RANK.EQ('Momentum Ranks'!C72,'Momentum Ranks'!$B72:$U72,0)&lt;='Strategy Settings'!$B$7),1,0)+IF(AND(RANK.EQ('Momentum Ranks'!D73,'Momentum Ranks'!$B73:$U73,0)&lt;='Strategy Settings'!$B$7,RANK.EQ('Momentum Ranks'!D72,'Momentum Ranks'!$B72:$U72,0)&lt;='Strategy Settings'!$B$7),1,0)+IF(AND(RANK.EQ('Momentum Ranks'!E73,'Momentum Ranks'!$B73:$U73,0)&lt;='Strategy Settings'!$B$7,RANK.EQ('Momentum Ranks'!E72,'Momentum Ranks'!$B72:$U72,0)&lt;='Strategy Settings'!$B$7),1,0)+IF(AND(RANK.EQ('Momentum Ranks'!F73,'Momentum Ranks'!$B73:$U73,0)&lt;='Strategy Settings'!$B$7,RANK.EQ('Momentum Ranks'!F72,'Momentum Ranks'!$B72:$U72,0)&lt;='Strategy Settings'!$B$7),1,0)+IF(AND(RANK.EQ('Momentum Ranks'!G73,'Momentum Ranks'!$B73:$U73,0)&lt;='Strategy Settings'!$B$7,RANK.EQ('Momentum Ranks'!G72,'Momentum Ranks'!$B72:$U72,0)&lt;='Strategy Settings'!$B$7),1,0)+IF(AND(RANK.EQ('Momentum Ranks'!H73,'Momentum Ranks'!$B73:$U73,0)&lt;='Strategy Settings'!$B$7,RANK.EQ('Momentum Ranks'!H72,'Momentum Ranks'!$B72:$U72,0)&lt;='Strategy Settings'!$B$7),1,0)+IF(AND(RANK.EQ('Momentum Ranks'!I73,'Momentum Ranks'!$B73:$U73,0)&lt;='Strategy Settings'!$B$7,RANK.EQ('Momentum Ranks'!I72,'Momentum Ranks'!$B72:$U72,0)&lt;='Strategy Settings'!$B$7),1,0)+IF(AND(RANK.EQ('Momentum Ranks'!J73,'Momentum Ranks'!$B73:$U73,0)&lt;='Strategy Settings'!$B$7,RANK.EQ('Momentum Ranks'!J72,'Momentum Ranks'!$B72:$U72,0)&lt;='Strategy Settings'!$B$7),1,0)+IF(AND(RANK.EQ('Momentum Ranks'!K73,'Momentum Ranks'!$B73:$U73,0)&lt;='Strategy Settings'!$B$7,RANK.EQ('Momentum Ranks'!K72,'Momentum Ranks'!$B72:$U72,0)&lt;='Strategy Settings'!$B$7),1,0)+IF(AND(RANK.EQ('Momentum Ranks'!L73,'Momentum Ranks'!$B73:$U73,0)&lt;='Strategy Settings'!$B$7,RANK.EQ('Momentum Ranks'!L72,'Momentum Ranks'!$B72:$U72,0)&lt;='Strategy Settings'!$B$7),1,0)+IF(AND(RANK.EQ('Momentum Ranks'!M73,'Momentum Ranks'!$B73:$U73,0)&lt;='Strategy Settings'!$B$7,RANK.EQ('Momentum Ranks'!M72,'Momentum Ranks'!$B72:$U72,0)&lt;='Strategy Settings'!$B$7),1,0)+IF(AND(RANK.EQ('Momentum Ranks'!N73,'Momentum Ranks'!$B73:$U73,0)&lt;='Strategy Settings'!$B$7,RANK.EQ('Momentum Ranks'!N72,'Momentum Ranks'!$B72:$U72,0)&lt;='Strategy Settings'!$B$7),1,0)+IF(AND(RANK.EQ('Momentum Ranks'!O73,'Momentum Ranks'!$B73:$U73,0)&lt;='Strategy Settings'!$B$7,RANK.EQ('Momentum Ranks'!O72,'Momentum Ranks'!$B72:$U72,0)&lt;='Strategy Settings'!$B$7),1,0)+IF(AND(RANK.EQ('Momentum Ranks'!P73,'Momentum Ranks'!$B73:$U73,0)&lt;='Strategy Settings'!$B$7,RANK.EQ('Momentum Ranks'!P72,'Momentum Ranks'!$B72:$U72,0)&lt;='Strategy Settings'!$B$7),1,0)+IF(AND(RANK.EQ('Momentum Ranks'!Q73,'Momentum Ranks'!$B73:$U73,0)&lt;='Strategy Settings'!$B$7,RANK.EQ('Momentum Ranks'!Q72,'Momentum Ranks'!$B72:$U72,0)&lt;='Strategy Settings'!$B$7),1,0)+IF(AND(RANK.EQ('Momentum Ranks'!R73,'Momentum Ranks'!$B73:$U73,0)&lt;='Strategy Settings'!$B$7,RANK.EQ('Momentum Ranks'!R72,'Momentum Ranks'!$B72:$U72,0)&lt;='Strategy Settings'!$B$7),1,0)+IF(AND(RANK.EQ('Momentum Ranks'!S73,'Momentum Ranks'!$B73:$U73,0)&lt;='Strategy Settings'!$B$7,RANK.EQ('Momentum Ranks'!S72,'Momentum Ranks'!$B72:$U72,0)&lt;='Strategy Settings'!$B$7),1,0)+IF(AND(RANK.EQ('Momentum Ranks'!T73,'Momentum Ranks'!$B73:$U73,0)&lt;='Strategy Settings'!$B$7,RANK.EQ('Momentum Ranks'!T72,'Momentum Ranks'!$B72:$U72,0)&lt;='Strategy Settings'!$B$7),1,0)+IF(AND(RANK.EQ('Momentum Ranks'!U73,'Momentum Ranks'!$B73:$U73,0)&lt;='Strategy Settings'!$B$7,RANK.EQ('Momentum Ranks'!U72,'Momentum Ranks'!$B72:$U72,0)&lt;='Strategy Settings'!$B$7),1,0))/'Strategy Settings'!$B$7</x:f>
        <x:v>0.5</x:v>
      </x:c>
      <x:c r="D73" s="26" t="n">
        <x:f>C73*'Strategy Settings'!$B$9</x:f>
        <x:v>0.0005</x:v>
      </x:c>
      <x:c r="E73" s="26" t="n">
        <x:f>B73-D73</x:f>
        <x:v>-0.05692329700289699</x:v>
      </x:c>
      <x:c r="F73" s="26" t="n">
        <x:f>'Return Data'!V83</x:f>
        <x:v>0.09903868665291538</x:v>
      </x:c>
      <x:c r="G73" s="26" t="n">
        <x:f>E73-F73</x:f>
        <x:v>-0.15596198365581238</x:v>
      </x:c>
      <x:c r="H73" s="28" t="n">
        <x:f>H72*(1+E73)</x:f>
        <x:v>1.7244996872873544</x:v>
      </x:c>
      <x:c r="I73" s="28" t="n">
        <x:f>I72*(1+F73)</x:f>
        <x:v>1.3880671018131996</x:v>
      </x:c>
      <x:c r="J73" s="26" t="n">
        <x:f>H73/MAX($H$4:H73)-1</x:f>
        <x:v>-0.10729903366135218</x:v>
      </x:c>
      <x:c r="K73" s="26" t="n">
        <x:f>I73/MAX($I$4:I73)-1</x:f>
        <x:v>-0.12714560716534717</x:v>
      </x:c>
    </x:row>
    <x:row r="74">
      <x:c r="A74" s="20" t="n">
        <x:f>'Return Data'!A88</x:f>
        <x:v>46264</x:v>
      </x:c>
      <x:c r="B74" s="26" t="n">
        <x:f>(IF(RANK.EQ('Momentum Ranks'!B74,'Momentum Ranks'!$B74:$U74,0)&lt;='Strategy Settings'!$B$7,'Return Data'!B88,0)+IF(RANK.EQ('Momentum Ranks'!C74,'Momentum Ranks'!$B74:$U74,0)&lt;='Strategy Settings'!$B$7,'Return Data'!C88,0)+IF(RANK.EQ('Momentum Ranks'!D74,'Momentum Ranks'!$B74:$U74,0)&lt;='Strategy Settings'!$B$7,'Return Data'!D88,0)+IF(RANK.EQ('Momentum Ranks'!E74,'Momentum Ranks'!$B74:$U74,0)&lt;='Strategy Settings'!$B$7,'Return Data'!E88,0)+IF(RANK.EQ('Momentum Ranks'!F74,'Momentum Ranks'!$B74:$U74,0)&lt;='Strategy Settings'!$B$7,'Return Data'!F88,0)+IF(RANK.EQ('Momentum Ranks'!G74,'Momentum Ranks'!$B74:$U74,0)&lt;='Strategy Settings'!$B$7,'Return Data'!G88,0)+IF(RANK.EQ('Momentum Ranks'!H74,'Momentum Ranks'!$B74:$U74,0)&lt;='Strategy Settings'!$B$7,'Return Data'!H88,0)+IF(RANK.EQ('Momentum Ranks'!I74,'Momentum Ranks'!$B74:$U74,0)&lt;='Strategy Settings'!$B$7,'Return Data'!I88,0)+IF(RANK.EQ('Momentum Ranks'!J74,'Momentum Ranks'!$B74:$U74,0)&lt;='Strategy Settings'!$B$7,'Return Data'!J88,0)+IF(RANK.EQ('Momentum Ranks'!K74,'Momentum Ranks'!$B74:$U74,0)&lt;='Strategy Settings'!$B$7,'Return Data'!K88,0)+IF(RANK.EQ('Momentum Ranks'!L74,'Momentum Ranks'!$B74:$U74,0)&lt;='Strategy Settings'!$B$7,'Return Data'!L88,0)+IF(RANK.EQ('Momentum Ranks'!M74,'Momentum Ranks'!$B74:$U74,0)&lt;='Strategy Settings'!$B$7,'Return Data'!M88,0)+IF(RANK.EQ('Momentum Ranks'!N74,'Momentum Ranks'!$B74:$U74,0)&lt;='Strategy Settings'!$B$7,'Return Data'!N88,0)+IF(RANK.EQ('Momentum Ranks'!O74,'Momentum Ranks'!$B74:$U74,0)&lt;='Strategy Settings'!$B$7,'Return Data'!O88,0)+IF(RANK.EQ('Momentum Ranks'!P74,'Momentum Ranks'!$B74:$U74,0)&lt;='Strategy Settings'!$B$7,'Return Data'!P88,0)+IF(RANK.EQ('Momentum Ranks'!Q74,'Momentum Ranks'!$B74:$U74,0)&lt;='Strategy Settings'!$B$7,'Return Data'!Q88,0)+IF(RANK.EQ('Momentum Ranks'!R74,'Momentum Ranks'!$B74:$U74,0)&lt;='Strategy Settings'!$B$7,'Return Data'!R88,0)+IF(RANK.EQ('Momentum Ranks'!S74,'Momentum Ranks'!$B74:$U74,0)&lt;='Strategy Settings'!$B$7,'Return Data'!S88,0)+IF(RANK.EQ('Momentum Ranks'!T74,'Momentum Ranks'!$B74:$U74,0)&lt;='Strategy Settings'!$B$7,'Return Data'!T88,0)+IF(RANK.EQ('Momentum Ranks'!U74,'Momentum Ranks'!$B74:$U74,0)&lt;='Strategy Settings'!$B$7,'Return Data'!U88,0))/'Strategy Settings'!$B$7</x:f>
        <x:v>0.025693984922141123</x:v>
      </x:c>
      <x:c r="C74" s="26" t="n">
        <x:f>1-(IF(AND(RANK.EQ('Momentum Ranks'!B74,'Momentum Ranks'!$B74:$U74,0)&lt;='Strategy Settings'!$B$7,RANK.EQ('Momentum Ranks'!B73,'Momentum Ranks'!$B73:$U73,0)&lt;='Strategy Settings'!$B$7),1,0)+IF(AND(RANK.EQ('Momentum Ranks'!C74,'Momentum Ranks'!$B74:$U74,0)&lt;='Strategy Settings'!$B$7,RANK.EQ('Momentum Ranks'!C73,'Momentum Ranks'!$B73:$U73,0)&lt;='Strategy Settings'!$B$7),1,0)+IF(AND(RANK.EQ('Momentum Ranks'!D74,'Momentum Ranks'!$B74:$U74,0)&lt;='Strategy Settings'!$B$7,RANK.EQ('Momentum Ranks'!D73,'Momentum Ranks'!$B73:$U73,0)&lt;='Strategy Settings'!$B$7),1,0)+IF(AND(RANK.EQ('Momentum Ranks'!E74,'Momentum Ranks'!$B74:$U74,0)&lt;='Strategy Settings'!$B$7,RANK.EQ('Momentum Ranks'!E73,'Momentum Ranks'!$B73:$U73,0)&lt;='Strategy Settings'!$B$7),1,0)+IF(AND(RANK.EQ('Momentum Ranks'!F74,'Momentum Ranks'!$B74:$U74,0)&lt;='Strategy Settings'!$B$7,RANK.EQ('Momentum Ranks'!F73,'Momentum Ranks'!$B73:$U73,0)&lt;='Strategy Settings'!$B$7),1,0)+IF(AND(RANK.EQ('Momentum Ranks'!G74,'Momentum Ranks'!$B74:$U74,0)&lt;='Strategy Settings'!$B$7,RANK.EQ('Momentum Ranks'!G73,'Momentum Ranks'!$B73:$U73,0)&lt;='Strategy Settings'!$B$7),1,0)+IF(AND(RANK.EQ('Momentum Ranks'!H74,'Momentum Ranks'!$B74:$U74,0)&lt;='Strategy Settings'!$B$7,RANK.EQ('Momentum Ranks'!H73,'Momentum Ranks'!$B73:$U73,0)&lt;='Strategy Settings'!$B$7),1,0)+IF(AND(RANK.EQ('Momentum Ranks'!I74,'Momentum Ranks'!$B74:$U74,0)&lt;='Strategy Settings'!$B$7,RANK.EQ('Momentum Ranks'!I73,'Momentum Ranks'!$B73:$U73,0)&lt;='Strategy Settings'!$B$7),1,0)+IF(AND(RANK.EQ('Momentum Ranks'!J74,'Momentum Ranks'!$B74:$U74,0)&lt;='Strategy Settings'!$B$7,RANK.EQ('Momentum Ranks'!J73,'Momentum Ranks'!$B73:$U73,0)&lt;='Strategy Settings'!$B$7),1,0)+IF(AND(RANK.EQ('Momentum Ranks'!K74,'Momentum Ranks'!$B74:$U74,0)&lt;='Strategy Settings'!$B$7,RANK.EQ('Momentum Ranks'!K73,'Momentum Ranks'!$B73:$U73,0)&lt;='Strategy Settings'!$B$7),1,0)+IF(AND(RANK.EQ('Momentum Ranks'!L74,'Momentum Ranks'!$B74:$U74,0)&lt;='Strategy Settings'!$B$7,RANK.EQ('Momentum Ranks'!L73,'Momentum Ranks'!$B73:$U73,0)&lt;='Strategy Settings'!$B$7),1,0)+IF(AND(RANK.EQ('Momentum Ranks'!M74,'Momentum Ranks'!$B74:$U74,0)&lt;='Strategy Settings'!$B$7,RANK.EQ('Momentum Ranks'!M73,'Momentum Ranks'!$B73:$U73,0)&lt;='Strategy Settings'!$B$7),1,0)+IF(AND(RANK.EQ('Momentum Ranks'!N74,'Momentum Ranks'!$B74:$U74,0)&lt;='Strategy Settings'!$B$7,RANK.EQ('Momentum Ranks'!N73,'Momentum Ranks'!$B73:$U73,0)&lt;='Strategy Settings'!$B$7),1,0)+IF(AND(RANK.EQ('Momentum Ranks'!O74,'Momentum Ranks'!$B74:$U74,0)&lt;='Strategy Settings'!$B$7,RANK.EQ('Momentum Ranks'!O73,'Momentum Ranks'!$B73:$U73,0)&lt;='Strategy Settings'!$B$7),1,0)+IF(AND(RANK.EQ('Momentum Ranks'!P74,'Momentum Ranks'!$B74:$U74,0)&lt;='Strategy Settings'!$B$7,RANK.EQ('Momentum Ranks'!P73,'Momentum Ranks'!$B73:$U73,0)&lt;='Strategy Settings'!$B$7),1,0)+IF(AND(RANK.EQ('Momentum Ranks'!Q74,'Momentum Ranks'!$B74:$U74,0)&lt;='Strategy Settings'!$B$7,RANK.EQ('Momentum Ranks'!Q73,'Momentum Ranks'!$B73:$U73,0)&lt;='Strategy Settings'!$B$7),1,0)+IF(AND(RANK.EQ('Momentum Ranks'!R74,'Momentum Ranks'!$B74:$U74,0)&lt;='Strategy Settings'!$B$7,RANK.EQ('Momentum Ranks'!R73,'Momentum Ranks'!$B73:$U73,0)&lt;='Strategy Settings'!$B$7),1,0)+IF(AND(RANK.EQ('Momentum Ranks'!S74,'Momentum Ranks'!$B74:$U74,0)&lt;='Strategy Settings'!$B$7,RANK.EQ('Momentum Ranks'!S73,'Momentum Ranks'!$B73:$U73,0)&lt;='Strategy Settings'!$B$7),1,0)+IF(AND(RANK.EQ('Momentum Ranks'!T74,'Momentum Ranks'!$B74:$U74,0)&lt;='Strategy Settings'!$B$7,RANK.EQ('Momentum Ranks'!T73,'Momentum Ranks'!$B73:$U73,0)&lt;='Strategy Settings'!$B$7),1,0)+IF(AND(RANK.EQ('Momentum Ranks'!U74,'Momentum Ranks'!$B74:$U74,0)&lt;='Strategy Settings'!$B$7,RANK.EQ('Momentum Ranks'!U73,'Momentum Ranks'!$B73:$U73,0)&lt;='Strategy Settings'!$B$7),1,0))/'Strategy Settings'!$B$7</x:f>
        <x:v>0.25</x:v>
      </x:c>
      <x:c r="D74" s="26" t="n">
        <x:f>C74*'Strategy Settings'!$B$9</x:f>
        <x:v>0.00025</x:v>
      </x:c>
      <x:c r="E74" s="26" t="n">
        <x:f>B74-D74</x:f>
        <x:v>0.025443984922141123</x:v>
      </x:c>
      <x:c r="F74" s="26" t="n">
        <x:f>'Return Data'!V84</x:f>
        <x:v>-0.02521017809572491</x:v>
      </x:c>
      <x:c r="G74" s="26" t="n">
        <x:f>E74-F74</x:f>
        <x:v>0.05065416301786603</x:v>
      </x:c>
      <x:c r="H74" s="28" t="n">
        <x:f>H73*(1+E74)</x:f>
        <x:v>1.768377831328931</x:v>
      </x:c>
      <x:c r="I74" s="28" t="n">
        <x:f>I73*(1+F74)</x:f>
        <x:v>1.3530736829676722</x:v>
      </x:c>
      <x:c r="J74" s="26" t="n">
        <x:f>H74/MAX($H$4:H74)-1</x:f>
        <x:v>-0.08458516373385083</x:v>
      </x:c>
      <x:c r="K74" s="26" t="n">
        <x:f>I74/MAX($I$4:I74)-1</x:f>
        <x:v>-0.14915042186034455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8" hidden="0" customWidth="1"/>
    <x:col min="4" max="4" width="38" hidden="0" customWidth="1"/>
  </x:cols>
  <x:sheetData>
    <x:row r="1" ht="27" customHeight="1">
      <x:c r="A1" s="3" t="str">
        <x:v>Backtest Performance Analytics</x:v>
      </x:c>
      <x:c r="B1" s="3"/>
      <x:c r="C1" s="3"/>
      <x:c r="D1" s="3"/>
      <x:c r="E1" s="3"/>
      <x:c r="F1" s="3"/>
      <x:c r="G1" s="3"/>
      <x:c r="H1" s="3"/>
    </x:row>
    <x:row r="4">
      <x:c r="A4" s="7" t="str">
        <x:v>Metric</x:v>
      </x:c>
      <x:c r="B4" s="7" t="str">
        <x:v>Momentum Strategy</x:v>
      </x:c>
      <x:c r="C4" s="7" t="str">
        <x:v>Benchmark</x:v>
      </x:c>
      <x:c r="D4" s="7" t="str">
        <x:v>Interpretation</x:v>
      </x:c>
    </x:row>
    <x:row r="5">
      <x:c r="A5" t="str">
        <x:v>Annualized Return</x:v>
      </x:c>
      <x:c r="B5" s="30" t="n">
        <x:f>PRODUCT(1+'Backtest'!E4:E74)^(12/71)-1</x:f>
        <x:v>0.10114287352606999</x:v>
      </x:c>
      <x:c r="C5" s="30" t="n">
        <x:f>PRODUCT(1+'Backtest'!F4:F74)^(12/71)-1</x:f>
        <x:v>0.05243473713829583</x:v>
      </x:c>
      <x:c r="D5" t="str">
        <x:v>Geometric CAGR</x:v>
      </x:c>
    </x:row>
    <x:row r="6">
      <x:c r="A6" t="str">
        <x:v>Annualized Volatility</x:v>
      </x:c>
      <x:c r="B6" s="30" t="n">
        <x:f>STDEV.S('Backtest'!E4:E74)*SQRT(12)</x:f>
        <x:v>0.20955738466363552</x:v>
      </x:c>
      <x:c r="C6" s="30" t="n">
        <x:f>STDEV.S('Backtest'!F4:F74)*SQRT(12)</x:f>
        <x:v>0.1738159411756868</x:v>
      </x:c>
      <x:c r="D6" t="str">
        <x:v>Annualized monthly volatility</x:v>
      </x:c>
    </x:row>
    <x:row r="7">
      <x:c r="A7" t="str">
        <x:v>Sharpe Ratio</x:v>
      </x:c>
      <x:c r="B7" s="32" t="n">
        <x:f>(B5-'Strategy Settings'!B10)/B6</x:f>
        <x:v>0.2917715050901764</x:v>
      </x:c>
      <x:c r="C7" s="32" t="n">
        <x:f>(C5-'Strategy Settings'!B10)/C6</x:f>
        <x:v>0.07153968188526075</x:v>
      </x:c>
      <x:c r="D7" t="str">
        <x:v>Return per unit of total risk</x:v>
      </x:c>
    </x:row>
    <x:row r="8">
      <x:c r="A8" t="str">
        <x:v>Maximum Drawdown</x:v>
      </x:c>
      <x:c r="B8" s="30" t="n">
        <x:f>-MIN('Backtest'!J4:J74)</x:f>
        <x:v>0.27483447471588784</x:v>
      </x:c>
      <x:c r="C8" s="30" t="n">
        <x:f>-MIN('Backtest'!K4:K74)</x:f>
        <x:v>0.21930218600473594</x:v>
      </x:c>
      <x:c r="D8" t="str">
        <x:v>Peak-to-trough loss</x:v>
      </x:c>
    </x:row>
    <x:row r="9">
      <x:c r="A9" t="str">
        <x:v>Hit Rate vs Benchmark</x:v>
      </x:c>
      <x:c r="B9" s="30" t="n">
        <x:f>COUNTIF('Backtest'!G4:G74,"&gt;0")/COUNT('Backtest'!G4:G74)</x:f>
        <x:v>0.6197183098591549</x:v>
      </x:c>
      <x:c r="C9" s="30"/>
      <x:c r="D9" t="str">
        <x:v>% months strategy beats benchmark</x:v>
      </x:c>
    </x:row>
    <x:row r="10">
      <x:c r="A10" t="str">
        <x:v>Average Monthly Turnover</x:v>
      </x:c>
      <x:c r="B10" s="30" t="n">
        <x:f>AVERAGE('Backtest'!C4:C74)</x:f>
        <x:v>0.24295774647887325</x:v>
      </x:c>
      <x:c r="C10" s="30"/>
      <x:c r="D10" t="str">
        <x:v>Portfolio turnover per rebalance</x:v>
      </x:c>
    </x:row>
    <x:row r="11">
      <x:c r="A11" t="str">
        <x:v>Annualized Excess Return</x:v>
      </x:c>
      <x:c r="B11" s="30" t="n">
        <x:f>B5-C5</x:f>
        <x:v>0.04870813638777416</x:v>
      </x:c>
      <x:c r="C11" s="30"/>
      <x:c r="D11" t="str">
        <x:v>Strategy CAGR less benchmark CAGR</x:v>
      </x:c>
    </x:row>
    <x:row r="12">
      <x:c r="A12" t="str">
        <x:v>Ending Wealth</x:v>
      </x:c>
      <x:c r="B12" s="28" t="n">
        <x:f>'Backtest'!H74</x:f>
        <x:v>1.768377831328931</x:v>
      </x:c>
      <x:c r="C12" s="28" t="n">
        <x:f>'Backtest'!I74</x:f>
        <x:v>1.3530736829676722</x:v>
      </x:c>
      <x:c r="D12" t="str">
        <x:v>Growth of $1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68" hidden="0" customWidth="1"/>
    <x:col min="4" max="4" width="44" hidden="0" customWidth="1"/>
  </x:cols>
  <x:sheetData>
    <x:row r="1" ht="27" customHeight="1">
      <x:c r="A1" s="3" t="str">
        <x:v>Methodology, Sources &amp; Limitations</x:v>
      </x:c>
      <x:c r="B1" s="3"/>
      <x:c r="C1" s="3"/>
      <x:c r="D1" s="3"/>
    </x:row>
    <x:row r="3">
      <x:c r="A3" s="17" t="str">
        <x:v>Item</x:v>
      </x:c>
      <x:c r="B3" s="17" t="str">
        <x:v>Source / Method</x:v>
      </x:c>
      <x:c r="C3" s="17" t="str">
        <x:v>URL</x:v>
      </x:c>
      <x:c r="D3" s="17" t="str">
        <x:v>Use</x:v>
      </x:c>
    </x:row>
    <x:row r="4">
      <x:c r="A4" s="46" t="str">
        <x:v>Academic momentum convention</x:v>
      </x:c>
      <x:c r="B4" s="46" t="str">
        <x:v>Kenneth R. French Data Library</x:v>
      </x:c>
      <x:c r="C4" s="46" t="str">
        <x:v>https://mba.tuck.dartmouth.edu/pages/faculty/ken.french/Data_Library/det_mom_factor.html</x:v>
      </x:c>
      <x:c r="D4" s="46" t="str">
        <x:v>Prior 2-12 month return / skip most recent month</x:v>
      </x:c>
    </x:row>
    <x:row r="5">
      <x:c r="A5" s="46" t="str">
        <x:v>Large-cap momentum methodology</x:v>
      </x:c>
      <x:c r="B5" s="46" t="str">
        <x:v>S&amp;P Dow Jones Indices</x:v>
      </x:c>
      <x:c r="C5" s="46" t="str">
        <x:v>https://www.spglobal.com/spdji/tc/documents/methodologies/methodology-sp-momentum-indices.pdf</x:v>
      </x:c>
      <x:c r="D5" s="46" t="str">
        <x:v>12-month measurement period</x:v>
      </x:c>
    </x:row>
    <x:row r="6">
      <x:c r="A6" s="46" t="str">
        <x:v>S&amp;P 500 Momentum context</x:v>
      </x:c>
      <x:c r="B6" s="46" t="str">
        <x:v>S&amp;P Dow Jones Indices</x:v>
      </x:c>
      <x:c r="C6" s="46" t="str">
        <x:v>https://www.spglobal.com/spdji/en/documents/performance-reports/dashboard-sp-500-factor.pdf</x:v>
      </x:c>
      <x:c r="D6" s="46" t="str">
        <x:v>Factor-index context</x:v>
      </x:c>
    </x:row>
    <x:row r="7">
      <x:c r="A7" s="46" t="str">
        <x:v>Universe</x:v>
      </x:c>
      <x:c r="B7" s="46" t="str">
        <x:v>20-name illustrative US large-cap basket</x:v>
      </x:c>
      <x:c r="C7" s="46" t="str"/>
      <x:c r="D7" s="46" t="str">
        <x:v>Stable-universe recruiting exercise</x:v>
      </x:c>
    </x:row>
    <x:row r="8">
      <x:c r="A8" s="46" t="str">
        <x:v>Return data</x:v>
      </x:c>
      <x:c r="B8" s="46" t="str">
        <x:v>84-month deterministic scenario series</x:v>
      </x:c>
      <x:c r="C8" s="46" t="str"/>
      <x:c r="D8" s="46" t="str">
        <x:v>Not actual historical returns</x:v>
      </x:c>
    </x:row>
    <x:row r="9">
      <x:c r="A9" s="46" t="str">
        <x:v>Transaction cost</x:v>
      </x:c>
      <x:c r="B9" s="46" t="str">
        <x:v>10 bps × monthly turnover</x:v>
      </x:c>
      <x:c r="C9" s="46" t="str"/>
      <x:c r="D9" s="46" t="str">
        <x:v>Illustrative implementation drag</x:v>
      </x:c>
    </x:row>
    <x:row r="11">
      <x:c r="A11" s="17" t="str">
        <x:v>Important Backtest Limitations</x:v>
      </x:c>
      <x:c r="B11" s="17"/>
      <x:c r="C11" s="17"/>
      <x:c r="D11" s="17"/>
    </x:row>
    <x:row r="12">
      <x:c r="A12" s="55" t="str">
        <x:v>This workbook is an educational backtest, not a claim of realized historical strategy performance. The return series is illustrative and the stock universe is held stable, so it does not reproduce point-in-time index membership, delistings, corporate actions, survivorship effects, taxes, bid-ask spreads, market impact or capacity constraints. For a production-quality backtest, replace the blue return inputs with verified total-return data and use point-in-time constituent histories.</x:v>
      </x:c>
      <x:c r="B12" s="55"/>
      <x:c r="C12" s="55"/>
      <x:c r="D12" s="55"/>
    </x:row>
    <x:row r="13">
      <x:c r="A13" s="55"/>
      <x:c r="B13" s="55"/>
      <x:c r="C13" s="55"/>
      <x:c r="D13" s="55"/>
    </x:row>
    <x:row r="14">
      <x:c r="A14" s="55"/>
      <x:c r="B14" s="55"/>
      <x:c r="C14" s="55"/>
      <x:c r="D14" s="55"/>
    </x:row>
    <x:row r="15">
      <x:c r="A15" s="55"/>
      <x:c r="B15" s="55"/>
      <x:c r="C15" s="55"/>
      <x:c r="D15" s="55"/>
    </x:row>
    <x:row r="16">
      <x:c r="A16" s="55"/>
      <x:c r="B16" s="55"/>
      <x:c r="C16" s="55"/>
      <x:c r="D16" s="55"/>
    </x:row>
    <x:row r="17">
      <x:c r="A17" s="55"/>
      <x:c r="B17" s="55"/>
      <x:c r="C17" s="55"/>
      <x:c r="D17" s="55"/>
    </x:row>
    <x:row r="18">
      <x:c r="A18" s="55"/>
      <x:c r="B18" s="55"/>
      <x:c r="C18" s="55"/>
      <x:c r="D18" s="55"/>
    </x:row>
  </x:sheetData>
  <x:mergeCells>
    <x:mergeCell ref="A1:D1"/>
    <x:mergeCell ref="A11:D11"/>
    <x:mergeCell ref="A12:D18"/>
  </x:mergeCells>
  <x:pageMargins left="0.7" right="0.7" top="0.75" bottom="0.75" header="0.3" footer="0.3"/>
</x:worksheet>
</file>