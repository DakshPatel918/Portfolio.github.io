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803675a96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a5b2e5f72c4032"/>
    <x:sheet xmlns:r="http://schemas.openxmlformats.org/officeDocument/2006/relationships" name="Trading Comps" sheetId="2" r:id="Rdef9d089f655475f"/>
    <x:sheet xmlns:r="http://schemas.openxmlformats.org/officeDocument/2006/relationships" name="Implied Valuation" sheetId="3" r:id="R26d639c0542548f2"/>
    <x:sheet xmlns:r="http://schemas.openxmlformats.org/officeDocument/2006/relationships" name="Sources" sheetId="4" r:id="Rd57cd5c7fda5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;[Red]($0.00);-"/>
    <x:numFmt numFmtId="201" formatCode="#,##0.0;[Red](#,##0.0);-"/>
    <x:numFmt numFmtId="202" formatCode="0.0x;[Red](0.0x);-"/>
    <x:numFmt numFmtId="203" formatCode="0.0%;[Red](0.0%);-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7"/>
      <x:color rgb="FFFFFFFF"/>
      <x:name val="Carlito"/>
    </x:font>
    <x:font>
      <x:i/>
      <x:sz val="11"/>
      <x:color rgb="FF666666"/>
      <x:name val="Carlito"/>
    </x:font>
    <x:font>
      <x:sz val="11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0" fillId="4" borderId="1" xfId="0" applyNumberFormat="1" applyFont="1" applyFill="1" applyBorder="1"/>
    <x:xf numFmtId="202" fontId="0" fillId="4" borderId="1" xfId="0" applyNumberFormat="1" applyFont="1" applyFill="1" applyBorder="1"/>
    <x:xf numFmtId="0" fontId="5" fillId="4" borderId="1" xfId="0" applyNumberFormat="1" applyFont="1" applyFill="1" applyBorder="1"/>
    <x:xf numFmtId="202" fontId="5" fillId="4" borderId="1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6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5" fillId="4" borderId="0" xfId="0" applyNumberFormat="1" applyFont="1" applyFill="1" applyBorder="1"/>
    <x:xf numFmtId="200" fontId="0" fillId="4" borderId="1" xfId="0" applyNumberFormat="1" applyFont="1" applyFill="1" applyBorder="1"/>
    <x:xf numFmtId="200" fontId="5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1ec61989b4df0" /><Relationship Type="http://schemas.openxmlformats.org/officeDocument/2006/relationships/theme" Target="/xl/theme/theme1.xml" Id="R31c80c93956748a0" /><Relationship Type="http://schemas.openxmlformats.org/officeDocument/2006/relationships/sharedStrings" Target="/xl/sharedStrings.xml" Id="Rc0277f25c5644cc6" /><Relationship Type="http://schemas.openxmlformats.org/officeDocument/2006/relationships/worksheet" Target="/xl/worksheets/sheet1.xml" Id="R35a5b2e5f72c4032" /><Relationship Type="http://schemas.openxmlformats.org/officeDocument/2006/relationships/worksheet" Target="/xl/worksheets/sheet2.xml" Id="Rdef9d089f655475f" /><Relationship Type="http://schemas.openxmlformats.org/officeDocument/2006/relationships/worksheet" Target="/xl/worksheets/sheet3.xml" Id="R26d639c0542548f2" /><Relationship Type="http://schemas.openxmlformats.org/officeDocument/2006/relationships/worksheet" Target="/xl/worksheets/sheet4.xml" Id="Rd57cd5c7fda5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16" hidden="0" customWidth="1"/>
    <x:col min="4" max="4" width="20" hidden="0" customWidth="1"/>
    <x:col min="5" max="5" width="4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30" customHeight="1">
      <x:c r="A1" s="56" t="str">
        <x:v>NVIDIA (NVDA) Comparable Companies Analysis</x:v>
      </x:c>
      <x:c r="B1" s="56"/>
      <x:c r="C1" s="56"/>
      <x:c r="D1" s="56"/>
      <x:c r="E1" s="56"/>
      <x:c r="F1" s="56"/>
      <x:c r="G1" s="56"/>
      <x:c r="H1" s="56"/>
    </x:row>
    <x:row r="2">
      <x:c r="A2" s="59" t="str">
        <x:v>Independent Investment Banking Portfolio Project | September 2026</x:v>
      </x:c>
      <x:c r="B2" s="59"/>
      <x:c r="C2" s="59"/>
      <x:c r="D2" s="59"/>
      <x:c r="E2" s="59"/>
      <x:c r="F2" s="59"/>
      <x:c r="G2" s="59"/>
      <x:c r="H2" s="59"/>
    </x:row>
    <x:row r="4">
      <x:c r="A4" s="7" t="str">
        <x:v>Executive Summary</x:v>
      </x:c>
      <x:c r="B4" s="7"/>
      <x:c r="C4" s="7"/>
      <x:c r="D4" s="7"/>
      <x:c r="E4" s="7"/>
      <x:c r="F4" s="7"/>
      <x:c r="G4" s="7"/>
      <x:c r="H4" s="7"/>
    </x:row>
    <x:row r="5">
      <x:c r="A5" s="63" t="str">
        <x:v>NVIDIA is benchmarked against AMD, Broadcom, Marvell and Qualcomm using current trading multiples. The analysis highlights NVIDIA's unusually strong profitability and growth, which makes simple peer medians imperfect. EV / Revenue provides the most comparable cross-peer framework here, while EV / EBITDA and P / E produce a much wider valuation range because several peers have materially lower margins.</x:v>
      </x:c>
      <x:c r="B5" s="63"/>
      <x:c r="C5" s="63"/>
      <x:c r="D5" s="63"/>
      <x:c r="E5" s="63"/>
      <x:c r="F5" s="63"/>
      <x:c r="G5" s="63"/>
      <x:c r="H5" s="63"/>
    </x:row>
    <x:row r="6">
      <x:c r="A6" s="63"/>
      <x:c r="B6" s="63"/>
      <x:c r="C6" s="63"/>
      <x:c r="D6" s="63"/>
      <x:c r="E6" s="63"/>
      <x:c r="F6" s="63"/>
      <x:c r="G6" s="63"/>
      <x:c r="H6" s="63"/>
    </x:row>
    <x:row r="7">
      <x:c r="A7" s="63"/>
      <x:c r="B7" s="63"/>
      <x:c r="C7" s="63"/>
      <x:c r="D7" s="63"/>
      <x:c r="E7" s="63"/>
      <x:c r="F7" s="63"/>
      <x:c r="G7" s="63"/>
      <x:c r="H7" s="63"/>
    </x:row>
    <x:row r="9">
      <x:c r="A9" s="7" t="str">
        <x:v>Key Metric</x:v>
      </x:c>
      <x:c r="B9" s="7" t="str">
        <x:v>NVIDIA</x:v>
      </x:c>
      <x:c r="C9" s="7" t="str">
        <x:v>Peer Median</x:v>
      </x:c>
      <x:c r="D9" s="7" t="str">
        <x:v>Premium / (Discount)</x:v>
      </x:c>
      <x:c r="F9" s="7" t="str">
        <x:v>Valuation Output</x:v>
      </x:c>
      <x:c r="G9" s="7" t="str">
        <x:v>Value</x:v>
      </x:c>
      <x:c r="H9" s="7" t="str">
        <x:v>Vs. Price</x:v>
      </x:c>
    </x:row>
    <x:row r="10">
      <x:c r="A10" t="str">
        <x:v>EV / Revenue</x:v>
      </x:c>
      <x:c r="B10" s="26" t="n">
        <x:f>'Trading Comps'!H4</x:f>
        <x:v>17.32</x:v>
      </x:c>
      <x:c r="C10" s="26" t="n">
        <x:f>'Trading Comps'!H13</x:f>
        <x:v>19.985</x:v>
      </x:c>
      <x:c r="D10" s="54" t="n">
        <x:f>B10/C10-1</x:f>
        <x:v>-0.13335001250938194</x:v>
      </x:c>
      <x:c r="F10" t="str">
        <x:v>Current Price</x:v>
      </x:c>
      <x:c r="G10" s="48" t="n">
        <x:f>'Implied Valuation'!B4</x:f>
        <x:v>210.96</x:v>
      </x:c>
      <x:c r="H10" t="str">
        <x:v>-</x:v>
      </x:c>
    </x:row>
    <x:row r="11">
      <x:c r="A11" t="str">
        <x:v>EV / EBITDA</x:v>
      </x:c>
      <x:c r="B11" s="26" t="n">
        <x:f>'Trading Comps'!I4</x:f>
        <x:v>24.21</x:v>
      </x:c>
      <x:c r="C11" s="26" t="n">
        <x:f>'Trading Comps'!I13</x:f>
        <x:v>52</x:v>
      </x:c>
      <x:c r="D11" s="54" t="n">
        <x:f>B11/C11-1</x:f>
        <x:v>-0.5344230769230769</x:v>
      </x:c>
      <x:c r="F11" t="str">
        <x:v>Median EV / Revenue</x:v>
      </x:c>
      <x:c r="G11" s="48" t="n">
        <x:f>'Implied Valuation'!G13</x:f>
        <x:v>235.58399185282678</x:v>
      </x:c>
      <x:c r="H11" s="54" t="n">
        <x:f>G11/G10-1</x:f>
        <x:v>0.11672351086853805</x:v>
      </x:c>
    </x:row>
    <x:row r="12">
      <x:c r="A12" t="str">
        <x:v>P / E</x:v>
      </x:c>
      <x:c r="B12" s="26" t="n">
        <x:f>'Trading Comps'!J4</x:f>
        <x:v>26.67</x:v>
      </x:c>
      <x:c r="C12" s="26" t="n">
        <x:f>'Trading Comps'!J13</x:f>
        <x:v>61.230000000000004</x:v>
      </x:c>
      <x:c r="D12" s="54" t="n">
        <x:f>B12/C12-1</x:f>
        <x:v>-0.5644292013718766</x:v>
      </x:c>
      <x:c r="F12" t="str">
        <x:v>Median EV / EBITDA</x:v>
      </x:c>
      <x:c r="G12" s="48" t="n">
        <x:f>'Implied Valuation'!G14</x:f>
        <x:v>436.19629767673007</x:v>
      </x:c>
      <x:c r="H12" s="54" t="n">
        <x:f>G12/G10-1</x:f>
        <x:v>1.0676730075688758</x:v>
      </x:c>
    </x:row>
    <x:row r="15">
      <x:c r="A15" s="7" t="str">
        <x:v>Investment Banking Takeaways</x:v>
      </x:c>
      <x:c r="B15" s="7"/>
      <x:c r="C15" s="7"/>
      <x:c r="D15" s="7"/>
      <x:c r="E15" s="7"/>
      <x:c r="F15" s="7"/>
      <x:c r="G15" s="7"/>
      <x:c r="H15" s="7"/>
    </x:row>
    <x:row r="16" ht="34" customHeight="1">
      <x:c r="A16" s="66" t="str">
        <x:v>Peer Selection</x:v>
      </x:c>
      <x:c r="B16" s="62" t="str">
        <x:v>AMD, Broadcom and Marvell provide AI / data-center semiconductor exposure; Qualcomm adds a mature semiconductor benchmark.</x:v>
      </x:c>
    </x:row>
    <x:row r="17" ht="34" customHeight="1">
      <x:c r="A17" s="66" t="str">
        <x:v>Key Finding</x:v>
      </x:c>
      <x:c r="B17" s="62" t="str">
        <x:v>NVIDIA trades below the peer median on EV / EBITDA and P / E but near the peer median on EV / Revenue, reflecting its exceptional margins.</x:v>
      </x:c>
    </x:row>
    <x:row r="18" ht="34" customHeight="1">
      <x:c r="A18" s="66" t="str">
        <x:v>Valuation View</x:v>
      </x:c>
      <x:c r="B18" s="62" t="str">
        <x:v>A revenue-multiple framework is more decision-useful than blindly averaging all methods because peer profitability varies substantially.</x:v>
      </x:c>
    </x:row>
    <x:row r="19" ht="34" customHeight="1">
      <x:c r="A19" s="66" t="str">
        <x:v>Interview Angle</x:v>
      </x:c>
      <x:c r="B19" s="62" t="str">
        <x:v>Explain why peer selection, normalization, and multiple selection matter more than mechanically applying a median.</x:v>
      </x:c>
    </x:row>
  </x:sheetData>
  <x:mergeCells>
    <x:mergeCell ref="A1:H1"/>
    <x:mergeCell ref="A2:H2"/>
    <x:mergeCell ref="A4:H4"/>
    <x:mergeCell ref="A5:H7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3" hidden="0" customWidth="1"/>
    <x:col min="9" max="9" width="13" hidden="0" customWidth="1"/>
    <x:col min="10" max="10" width="11" hidden="0" customWidth="1"/>
    <x:col min="11" max="11" width="14" hidden="0" customWidth="1"/>
    <x:col min="12" max="12" width="11" hidden="0" customWidth="1"/>
    <x:col min="13" max="13" width="10" hidden="0" customWidth="1"/>
  </x:cols>
  <x:sheetData>
    <x:row r="1" ht="26" customHeight="1">
      <x:c r="A1" s="3" t="str">
        <x:v>NVIDIA Comparable Companies Analysis — Trading Comps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2" t="str">
        <x:v>Company</x:v>
      </x:c>
      <x:c r="B3" s="12" t="str">
        <x:v>Ticker</x:v>
      </x:c>
      <x:c r="C3" s="8" t="str">
        <x:v>Price ($)</x:v>
      </x:c>
      <x:c r="D3" s="8" t="str">
        <x:v>Market Cap ($bn)</x:v>
      </x:c>
      <x:c r="E3" s="8" t="str">
        <x:v>Enterprise Value ($bn)</x:v>
      </x:c>
      <x:c r="F3" s="8" t="str">
        <x:v>TTM Revenue ($bn)</x:v>
      </x:c>
      <x:c r="G3" s="8" t="str">
        <x:v>TTM EBITDA ($bn)</x:v>
      </x:c>
      <x:c r="H3" s="8" t="str">
        <x:v>EV / Revenue</x:v>
      </x:c>
      <x:c r="I3" s="8" t="str">
        <x:v>EV / EBITDA</x:v>
      </x:c>
      <x:c r="J3" s="8" t="str">
        <x:v>P / E</x:v>
      </x:c>
      <x:c r="K3" s="8" t="str">
        <x:v>Revenue Growth</x:v>
      </x:c>
      <x:c r="L3" s="8" t="str">
        <x:v>ROE</x:v>
      </x:c>
      <x:c r="M3" s="8" t="str">
        <x:v>Peer?</x:v>
      </x:c>
    </x:row>
    <x:row r="4">
      <x:c r="A4" s="16" t="str">
        <x:v>NVIDIA</x:v>
      </x:c>
      <x:c r="B4" s="16" t="str">
        <x:v>NVDA</x:v>
      </x:c>
      <x:c r="C4" s="18" t="n">
        <x:v>210.96</x:v>
      </x:c>
      <x:c r="D4" s="20" t="n">
        <x:v>4939</x:v>
      </x:c>
      <x:c r="E4" s="20" t="n">
        <x:v>4872</x:v>
      </x:c>
      <x:c r="F4" s="20" t="n">
        <x:v>281.2933025404157</x:v>
      </x:c>
      <x:c r="G4" s="20" t="n">
        <x:v>201.266</x:v>
      </x:c>
      <x:c r="H4" s="22" t="n">
        <x:v>17.32</x:v>
      </x:c>
      <x:c r="I4" s="22" t="n">
        <x:v>24.21</x:v>
      </x:c>
      <x:c r="J4" s="22" t="n">
        <x:v>26.67</x:v>
      </x:c>
      <x:c r="K4" s="24" t="n">
        <x:v>1.059</x:v>
      </x:c>
      <x:c r="L4" s="24" t="n">
        <x:v>1.172</x:v>
      </x:c>
      <x:c r="M4" s="14" t="str">
        <x:v>Target</x:v>
      </x:c>
    </x:row>
    <x:row r="5">
      <x:c r="A5" s="16" t="str">
        <x:v>Advanced Micro Devices</x:v>
      </x:c>
      <x:c r="B5" s="16" t="str">
        <x:v>AMD</x:v>
      </x:c>
      <x:c r="C5" s="18" t="n">
        <x:v>493.41</x:v>
      </x:c>
      <x:c r="D5" s="20" t="n">
        <x:v>809.512</x:v>
      </x:c>
      <x:c r="E5" s="20" t="n">
        <x:v>794.37</x:v>
      </x:c>
      <x:c r="F5" s="20" t="n">
        <x:v>39.364222001982164</x:v>
      </x:c>
      <x:c r="G5" s="20" t="n">
        <x:v>9.11079252207822</x:v>
      </x:c>
      <x:c r="H5" s="22" t="n">
        <x:v>20.18</x:v>
      </x:c>
      <x:c r="I5" s="22" t="n">
        <x:v>87.19</x:v>
      </x:c>
      <x:c r="J5" s="22" t="n">
        <x:v>125.87</x:v>
      </x:c>
      <x:c r="K5" s="24" t="n">
        <x:v>0.501</x:v>
      </x:c>
      <x:c r="L5" s="24" t="n">
        <x:v>0.102</x:v>
      </x:c>
      <x:c r="M5" s="14" t="str">
        <x:v>Yes</x:v>
      </x:c>
    </x:row>
    <x:row r="6">
      <x:c r="A6" s="16" t="str">
        <x:v>Broadcom</x:v>
      </x:c>
      <x:c r="B6" s="16" t="str">
        <x:v>AVGO</x:v>
      </x:c>
      <x:c r="C6" s="18" t="n">
        <x:v>344.72</x:v>
      </x:c>
      <x:c r="D6" s="20" t="n">
        <x:v>1642.6</x:v>
      </x:c>
      <x:c r="E6" s="20" t="n">
        <x:v>1678</x:v>
      </x:c>
      <x:c r="F6" s="20" t="n">
        <x:v>84.79029813036888</x:v>
      </x:c>
      <x:c r="G6" s="20" t="n">
        <x:v>49.733254297569644</x:v>
      </x:c>
      <x:c r="H6" s="22" t="n">
        <x:v>19.79</x:v>
      </x:c>
      <x:c r="I6" s="22" t="n">
        <x:v>33.74</x:v>
      </x:c>
      <x:c r="J6" s="22" t="n">
        <x:v>46.21</x:v>
      </x:c>
      <x:c r="K6" s="24"/>
      <x:c r="L6" s="24" t="n">
        <x:v>0.4425</x:v>
      </x:c>
      <x:c r="M6" s="14" t="str">
        <x:v>Yes</x:v>
      </x:c>
    </x:row>
    <x:row r="7">
      <x:c r="A7" s="16" t="str">
        <x:v>Marvell Technology</x:v>
      </x:c>
      <x:c r="B7" s="16" t="str">
        <x:v>MRVL</x:v>
      </x:c>
      <x:c r="C7" s="18" t="n">
        <x:v>218.82</x:v>
      </x:c>
      <x:c r="D7" s="20" t="n">
        <x:v>179.217</x:v>
      </x:c>
      <x:c r="E7" s="20" t="n">
        <x:v>200.381</x:v>
      </x:c>
      <x:c r="F7" s="20" t="n">
        <x:v>9.456394525719679</x:v>
      </x:c>
      <x:c r="G7" s="20" t="n">
        <x:v>2.851992598918303</x:v>
      </x:c>
      <x:c r="H7" s="22" t="n">
        <x:v>21.19</x:v>
      </x:c>
      <x:c r="I7" s="22" t="n">
        <x:v>70.26</x:v>
      </x:c>
      <x:c r="J7" s="22" t="n">
        <x:v>76.25</x:v>
      </x:c>
      <x:c r="K7" s="24" t="n">
        <x:v>0.421</x:v>
      </x:c>
      <x:c r="L7" s="24" t="n">
        <x:v>0.1652</x:v>
      </x:c>
      <x:c r="M7" s="14" t="str">
        <x:v>Yes</x:v>
      </x:c>
    </x:row>
    <x:row r="8">
      <x:c r="A8" s="16" t="str">
        <x:v>QUALCOMM</x:v>
      </x:c>
      <x:c r="B8" s="16" t="str">
        <x:v>QCOM</x:v>
      </x:c>
      <x:c r="C8" s="18" t="n">
        <x:v>180.15</x:v>
      </x:c>
      <x:c r="D8" s="20" t="n">
        <x:v>189.268</x:v>
      </x:c>
      <x:c r="E8" s="20" t="n">
        <x:v>201.321</x:v>
      </x:c>
      <x:c r="F8" s="20" t="n">
        <x:v>44.0527352297593</x:v>
      </x:c>
      <x:c r="G8" s="20" t="n">
        <x:v>11.9976758045292</x:v>
      </x:c>
      <x:c r="H8" s="22" t="n">
        <x:v>4.57</x:v>
      </x:c>
      <x:c r="I8" s="22" t="n">
        <x:v>16.78</x:v>
      </x:c>
      <x:c r="J8" s="22" t="n">
        <x:v>21.17</x:v>
      </x:c>
      <x:c r="K8" s="24"/>
      <x:c r="L8" s="24" t="n">
        <x:v>0.3375</x:v>
      </x:c>
      <x:c r="M8" s="14" t="str">
        <x:v>Yes</x:v>
      </x:c>
    </x:row>
    <x:row r="10">
      <x:c r="A10" s="7" t="str">
        <x:v>Peer Statistics</x:v>
      </x:c>
      <x:c r="B10" s="7"/>
      <x:c r="C10" s="7"/>
      <x:c r="D10" s="7"/>
      <x:c r="E10" s="7"/>
      <x:c r="F10" s="7"/>
      <x:c r="G10" s="7"/>
      <x:c r="H10" s="7" t="str">
        <x:v>EV / Revenue</x:v>
      </x:c>
      <x:c r="I10" s="7" t="str">
        <x:v>EV / EBITDA</x:v>
      </x:c>
      <x:c r="J10" s="7" t="str">
        <x:v>P / E</x:v>
      </x:c>
    </x:row>
    <x:row r="11">
      <x:c r="A11" t="str">
        <x:v>Minimum</x:v>
      </x:c>
      <x:c r="H11" s="26" t="n">
        <x:f>MIN(H5:H8)</x:f>
        <x:v>4.57</x:v>
      </x:c>
      <x:c r="I11" s="26" t="n">
        <x:f>MIN(I5:I8)</x:f>
        <x:v>16.78</x:v>
      </x:c>
      <x:c r="J11" s="26" t="n">
        <x:f>MIN(J5:J8)</x:f>
        <x:v>21.17</x:v>
      </x:c>
    </x:row>
    <x:row r="12">
      <x:c r="A12" t="str">
        <x:v>25th Percentile</x:v>
      </x:c>
      <x:c r="H12" s="26" t="n">
        <x:f>QUARTILE.INC(H5:H8,1)</x:f>
        <x:v>15.985</x:v>
      </x:c>
      <x:c r="I12" s="26" t="n">
        <x:f>QUARTILE.INC(I5:I8,1)</x:f>
        <x:v>29.5</x:v>
      </x:c>
      <x:c r="J12" s="26" t="n">
        <x:f>QUARTILE.INC(J5:J8,1)</x:f>
        <x:v>39.95000000000001</x:v>
      </x:c>
    </x:row>
    <x:row r="13">
      <x:c r="A13" s="30" t="str">
        <x:v>Median</x:v>
      </x:c>
      <x:c r="B13" s="30"/>
      <x:c r="C13" s="30"/>
      <x:c r="D13" s="30"/>
      <x:c r="E13" s="30"/>
      <x:c r="F13" s="30"/>
      <x:c r="G13" s="30"/>
      <x:c r="H13" s="31" t="n">
        <x:f>MEDIAN(H5:H8)</x:f>
        <x:v>19.985</x:v>
      </x:c>
      <x:c r="I13" s="31" t="n">
        <x:f>MEDIAN(I5:I8)</x:f>
        <x:v>52</x:v>
      </x:c>
      <x:c r="J13" s="31" t="n">
        <x:f>MEDIAN(J5:J8)</x:f>
        <x:v>61.230000000000004</x:v>
      </x:c>
    </x:row>
    <x:row r="14">
      <x:c r="A14" t="str">
        <x:v>75th Percentile</x:v>
      </x:c>
      <x:c r="H14" s="26" t="n">
        <x:f>QUARTILE.INC(H5:H8,3)</x:f>
        <x:v>20.4325</x:v>
      </x:c>
      <x:c r="I14" s="26" t="n">
        <x:f>QUARTILE.INC(I5:I8,3)</x:f>
        <x:v>74.4925</x:v>
      </x:c>
      <x:c r="J14" s="26" t="n">
        <x:f>QUARTILE.INC(J5:J8,3)</x:f>
        <x:v>88.655</x:v>
      </x:c>
    </x:row>
    <x:row r="15">
      <x:c r="A15" t="str">
        <x:v>Maximum</x:v>
      </x:c>
      <x:c r="H15" s="26" t="n">
        <x:f>MAX(H5:H8)</x:f>
        <x:v>21.19</x:v>
      </x:c>
      <x:c r="I15" s="26" t="n">
        <x:f>MAX(I5:I8)</x:f>
        <x:v>87.19</x:v>
      </x:c>
      <x:c r="J15" s="26" t="n">
        <x:f>MAX(J5:J8)</x:f>
        <x:v>125.87</x:v>
      </x:c>
    </x:row>
  </x:sheetData>
  <x:mergeCells>
    <x:mergeCell ref="A1:M1"/>
    <x:mergeCell ref="A10:G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3" t="str">
        <x:v>NVIDIA — Implied Valuation from Peer Multiples</x:v>
      </x:c>
      <x:c r="B1" s="3"/>
      <x:c r="C1" s="3"/>
      <x:c r="D1" s="3"/>
      <x:c r="E1" s="3"/>
      <x:c r="F1" s="3"/>
      <x:c r="G1" s="3"/>
      <x:c r="H1" s="3"/>
    </x:row>
    <x:row r="3">
      <x:c r="A3" s="7" t="str">
        <x:v>NVIDIA Valuation Inputs</x:v>
      </x:c>
      <x:c r="B3" s="7"/>
      <x:c r="C3" s="7"/>
      <x:c r="D3" s="7"/>
      <x:c r="E3" s="7"/>
      <x:c r="F3" s="7"/>
      <x:c r="G3" s="7"/>
      <x:c r="H3" s="7"/>
    </x:row>
    <x:row r="4">
      <x:c r="A4" t="str">
        <x:v>Reference Share Price ($)</x:v>
      </x:c>
      <x:c r="B4" s="18" t="n">
        <x:v>210.96</x:v>
      </x:c>
    </x:row>
    <x:row r="5">
      <x:c r="A5" t="str">
        <x:v>Shares Outstanding (bn)</x:v>
      </x:c>
      <x:c r="B5" s="20" t="n">
        <x:v>24.147</x:v>
      </x:c>
    </x:row>
    <x:row r="6">
      <x:c r="A6" t="str">
        <x:v>Net Cash / (Debt) ($bn)</x:v>
      </x:c>
      <x:c r="B6" s="20" t="n">
        <x:v>67</x:v>
      </x:c>
    </x:row>
    <x:row r="7">
      <x:c r="A7" t="str">
        <x:v>TTM Revenue ($bn)</x:v>
      </x:c>
      <x:c r="B7" s="36" t="n">
        <x:f>'Trading Comps'!F4</x:f>
        <x:v>281.2933025404157</x:v>
      </x:c>
    </x:row>
    <x:row r="8">
      <x:c r="A8" t="str">
        <x:v>TTM EBITDA ($bn)</x:v>
      </x:c>
      <x:c r="B8" s="36" t="n">
        <x:v>201.266</x:v>
      </x:c>
    </x:row>
    <x:row r="9">
      <x:c r="A9" t="str">
        <x:v>TTM EPS ($)</x:v>
      </x:c>
      <x:c r="B9" s="37" t="n">
        <x:f>B4/'Trading Comps'!J4</x:f>
        <x:v>7.910011248593926</x:v>
      </x:c>
    </x:row>
    <x:row r="11">
      <x:c r="A11" s="7" t="str">
        <x:v>Valuation Range</x:v>
      </x:c>
      <x:c r="B11" s="7"/>
      <x:c r="C11" s="7"/>
      <x:c r="D11" s="7"/>
      <x:c r="E11" s="7"/>
      <x:c r="F11" s="7"/>
      <x:c r="G11" s="7"/>
      <x:c r="H11" s="7"/>
    </x:row>
    <x:row r="12">
      <x:c r="A12" s="41" t="str">
        <x:v>Method</x:v>
      </x:c>
      <x:c r="B12" s="41" t="str">
        <x:v>25th %ile</x:v>
      </x:c>
      <x:c r="C12" s="41" t="str">
        <x:v>Median</x:v>
      </x:c>
      <x:c r="D12" s="41" t="str">
        <x:v>75th %ile</x:v>
      </x:c>
      <x:c r="E12" s="41" t="str">
        <x:v>Median Implied Equity ($bn)</x:v>
      </x:c>
      <x:c r="F12" s="41" t="str">
        <x:v>Implied Price — 25th</x:v>
      </x:c>
      <x:c r="G12" s="41" t="str">
        <x:v>Implied Price — Median</x:v>
      </x:c>
      <x:c r="H12" s="41" t="str">
        <x:v>Implied Price — 75th</x:v>
      </x:c>
    </x:row>
    <x:row r="13">
      <x:c r="A13" t="str">
        <x:v>EV / Revenue</x:v>
      </x:c>
      <x:c r="B13" s="44" t="n">
        <x:f>'Trading Comps'!H12</x:f>
        <x:v>15.985</x:v>
      </x:c>
      <x:c r="C13" s="44" t="n">
        <x:f>'Trading Comps'!H13</x:f>
        <x:v>19.985</x:v>
      </x:c>
      <x:c r="D13" s="44" t="n">
        <x:f>'Trading Comps'!H14</x:f>
        <x:v>20.4325</x:v>
      </x:c>
      <x:c r="E13" s="46" t="n">
        <x:f>C13*$B$7+$B$6</x:f>
        <x:v>5688.646651270208</x:v>
      </x:c>
      <x:c r="F13" s="48" t="n">
        <x:f>(B13*$B$7+$B$6)/$B$5</x:f>
        <x:v>188.98718023392325</x:v>
      </x:c>
      <x:c r="G13" s="48" t="n">
        <x:f>(C13*$B$7+$B$6)/$B$5</x:f>
        <x:v>235.58399185282678</x:v>
      </x:c>
      <x:c r="H13" s="48" t="n">
        <x:f>(D13*$B$7+$B$6)/$B$5</x:f>
        <x:v>240.79701015269163</x:v>
      </x:c>
    </x:row>
    <x:row r="14">
      <x:c r="A14" t="str">
        <x:v>EV / EBITDA</x:v>
      </x:c>
      <x:c r="B14" s="44" t="n">
        <x:f>'Trading Comps'!I12</x:f>
        <x:v>29.5</x:v>
      </x:c>
      <x:c r="C14" s="44" t="n">
        <x:f>'Trading Comps'!I13</x:f>
        <x:v>52</x:v>
      </x:c>
      <x:c r="D14" s="44" t="n">
        <x:f>'Trading Comps'!I14</x:f>
        <x:v>74.4925</x:v>
      </x:c>
      <x:c r="E14" s="46" t="n">
        <x:f>C14*$B$8+$B$6</x:f>
        <x:v>10532.832</x:v>
      </x:c>
      <x:c r="F14" s="48" t="n">
        <x:f>(B14*$B$8+$B$6)/$B$5</x:f>
        <x:v>248.65809417318923</x:v>
      </x:c>
      <x:c r="G14" s="48" t="n">
        <x:f>(C14*$B$8+$B$6)/$B$5</x:f>
        <x:v>436.19629767673007</x:v>
      </x:c>
      <x:c r="H14" s="48" t="n">
        <x:f>(D14*$B$8+$B$6)/$B$5</x:f>
        <x:v>623.6719884457698</x:v>
      </x:c>
    </x:row>
    <x:row r="15">
      <x:c r="A15" t="str">
        <x:v>P / E</x:v>
      </x:c>
      <x:c r="B15" s="44" t="n">
        <x:f>'Trading Comps'!J12</x:f>
        <x:v>39.95000000000001</x:v>
      </x:c>
      <x:c r="C15" s="44" t="n">
        <x:f>'Trading Comps'!J13</x:f>
        <x:v>61.230000000000004</x:v>
      </x:c>
      <x:c r="D15" s="44" t="n">
        <x:f>'Trading Comps'!J14</x:f>
        <x:v>88.655</x:v>
      </x:c>
      <x:c r="E15" s="46" t="n">
        <x:f>C15*$B$9*$B$5</x:f>
        <x:v>11695.116238380202</x:v>
      </x:c>
      <x:c r="F15" s="48" t="n">
        <x:f>B15*$B$9</x:f>
        <x:v>316.00494938132744</x:v>
      </x:c>
      <x:c r="G15" s="48" t="n">
        <x:f>C15*$B$9</x:f>
        <x:v>484.3299887514061</x:v>
      </x:c>
      <x:c r="H15" s="48" t="n">
        <x:f>D15*$B$9</x:f>
        <x:v>701.2620472440944</x:v>
      </x:c>
    </x:row>
    <x:row r="17">
      <x:c r="A17" s="7" t="str">
        <x:v>Selected Output</x:v>
      </x:c>
      <x:c r="B17" s="7" t="str">
        <x:v>Low</x:v>
      </x:c>
      <x:c r="C17" s="7" t="str">
        <x:v>Midpoint</x:v>
      </x:c>
      <x:c r="D17" s="7" t="str">
        <x:v>High</x:v>
      </x:c>
    </x:row>
    <x:row r="18">
      <x:c r="A18" s="30" t="str">
        <x:v>Blended Implied Share Price</x:v>
      </x:c>
      <x:c r="B18" s="51" t="n">
        <x:f>MIN(F13:F15)</x:f>
        <x:v>188.98718023392325</x:v>
      </x:c>
      <x:c r="C18" s="51" t="n">
        <x:f>AVERAGE(G13:G15)</x:f>
        <x:v>385.37009276032103</x:v>
      </x:c>
      <x:c r="D18" s="51" t="n">
        <x:f>MAX(H13:H15)</x:f>
        <x:v>701.2620472440944</x:v>
      </x:c>
    </x:row>
    <x:row r="20">
      <x:c r="A20" s="7" t="str">
        <x:v>Interpretation</x:v>
      </x:c>
      <x:c r="B20" s="7" t="str"/>
    </x:row>
    <x:row r="21">
      <x:c r="A21" t="str">
        <x:v>Reference Price</x:v>
      </x:c>
      <x:c r="B21" s="48" t="n">
        <x:v>210.96</x:v>
      </x:c>
    </x:row>
    <x:row r="22">
      <x:c r="A22" t="str">
        <x:v>Median EV / Revenue Implied Price</x:v>
      </x:c>
      <x:c r="B22" s="48" t="n">
        <x:f>G13</x:f>
        <x:v>235.58399185282678</x:v>
      </x:c>
    </x:row>
    <x:row r="23">
      <x:c r="A23" t="str">
        <x:v>Premium / (Discount) to Reference</x:v>
      </x:c>
      <x:c r="B23" s="54" t="n">
        <x:f>B22/B21-1</x:f>
        <x:v>0.11672351086853805</x:v>
      </x:c>
    </x:row>
  </x:sheetData>
  <x:mergeCells>
    <x:mergeCell ref="A1:H1"/>
    <x:mergeCell ref="A3:H3"/>
    <x:mergeCell ref="A11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60" hidden="0" customWidth="1"/>
    <x:col min="4" max="4" width="52" hidden="0" customWidth="1"/>
  </x:cols>
  <x:sheetData>
    <x:row r="1">
      <x:c r="A1" s="3" t="str">
        <x:v>Sources &amp; Notes</x:v>
      </x:c>
      <x:c r="B1" s="3"/>
      <x:c r="C1" s="3"/>
      <x:c r="D1" s="3"/>
    </x:row>
    <x:row r="3">
      <x:c r="A3" s="7" t="str">
        <x:v>Company / Data</x:v>
      </x:c>
      <x:c r="B3" s="7" t="str">
        <x:v>Source</x:v>
      </x:c>
      <x:c r="C3" s="7" t="str">
        <x:v>URL</x:v>
      </x:c>
      <x:c r="D3" s="7" t="str">
        <x:v>Notes</x:v>
      </x:c>
    </x:row>
    <x:row r="4" ht="34" customHeight="1">
      <x:c r="A4" s="62" t="str">
        <x:v>NVIDIA FY2026 Financials</x:v>
      </x:c>
      <x:c r="B4" s="62" t="str">
        <x:v>NVIDIA / SEC</x:v>
      </x:c>
      <x:c r="C4" s="70" t="str">
        <x:v>https://www.sec.gov/Archives/edgar/data/1045810/000104581026000021/nvda-20260125.htm</x:v>
      </x:c>
      <x:c r="D4" s="62" t="str">
        <x:v>FY2026 revenue $215.9B, operating income $130.4B, EPS $4.90.</x:v>
      </x:c>
    </x:row>
    <x:row r="5" ht="34" customHeight="1">
      <x:c r="A5" s="62" t="str">
        <x:v>NVIDIA Current Ratios</x:v>
      </x:c>
      <x:c r="B5" s="62" t="str">
        <x:v>StockAnalysis</x:v>
      </x:c>
      <x:c r="C5" s="70" t="str">
        <x:v>https://stockanalysis.com/stocks/nvda/financials/ratios/</x:v>
      </x:c>
      <x:c r="D5" s="62" t="str">
        <x:v>Current EV/Sales, EV/EBITDA and valuation metrics.</x:v>
      </x:c>
    </x:row>
    <x:row r="6" ht="34" customHeight="1">
      <x:c r="A6" s="62" t="str">
        <x:v>AMD FY2025 Financials</x:v>
      </x:c>
      <x:c r="B6" s="62" t="str">
        <x:v>AMD Investor Relations</x:v>
      </x:c>
      <x:c r="C6" s="70" t="str">
        <x:v>https://ir.amd.com/financial-information/sec-filings/content/0000002488-26-000018/amd-20251227.htm</x:v>
      </x:c>
      <x:c r="D6" s="62" t="str">
        <x:v>FY2025 revenue and segment performance.</x:v>
      </x:c>
    </x:row>
    <x:row r="7" ht="34" customHeight="1">
      <x:c r="A7" s="62" t="str">
        <x:v>AMD Current Ratios</x:v>
      </x:c>
      <x:c r="B7" s="62" t="str">
        <x:v>StockAnalysis</x:v>
      </x:c>
      <x:c r="C7" s="70" t="str">
        <x:v>https://stockanalysis.com/stocks/amd/financials/ratios/</x:v>
      </x:c>
      <x:c r="D7" s="62" t="str">
        <x:v>Current EV/Sales and EV/EBITDA.</x:v>
      </x:c>
    </x:row>
    <x:row r="8" ht="34" customHeight="1">
      <x:c r="A8" s="62" t="str">
        <x:v>Broadcom Current Ratios</x:v>
      </x:c>
      <x:c r="B8" s="62" t="str">
        <x:v>StockAnalysis</x:v>
      </x:c>
      <x:c r="C8" s="70" t="str">
        <x:v>https://stockanalysis.com/stocks/avgo/financials/ratios/</x:v>
      </x:c>
      <x:c r="D8" s="62" t="str">
        <x:v>Current EV/Sales, EV/EBITDA and P/E.</x:v>
      </x:c>
    </x:row>
    <x:row r="9" ht="34" customHeight="1">
      <x:c r="A9" s="62" t="str">
        <x:v>Marvell FY2026 Financials</x:v>
      </x:c>
      <x:c r="B9" s="62" t="str">
        <x:v>Marvell Investor Relations</x:v>
      </x:c>
      <x:c r="C9" s="70" t="str">
        <x:v>https://investor.marvell.com/sec-filings/all-sec-filings/content/0001835632-26-000011/mrvl-20260131.htm</x:v>
      </x:c>
      <x:c r="D9" s="62" t="str">
        <x:v>FY2026 revenue $8.195B and operating performance.</x:v>
      </x:c>
    </x:row>
    <x:row r="10" ht="34" customHeight="1">
      <x:c r="A10" s="62" t="str">
        <x:v>Marvell Current Ratios</x:v>
      </x:c>
      <x:c r="B10" s="62" t="str">
        <x:v>StockAnalysis</x:v>
      </x:c>
      <x:c r="C10" s="70" t="str">
        <x:v>https://stockanalysis.com/stocks/mrvl/financials/ratios/</x:v>
      </x:c>
      <x:c r="D10" s="62" t="str">
        <x:v>Current EV/Sales, EV/EBITDA and P/E.</x:v>
      </x:c>
    </x:row>
    <x:row r="11" ht="34" customHeight="1">
      <x:c r="A11" s="62" t="str">
        <x:v>Qualcomm Current Ratios</x:v>
      </x:c>
      <x:c r="B11" s="62" t="str">
        <x:v>StockAnalysis</x:v>
      </x:c>
      <x:c r="C11" s="70" t="str">
        <x:v>https://stockanalysis.com/stocks/qcom/financials/ratios/</x:v>
      </x:c>
      <x:c r="D11" s="62" t="str">
        <x:v>Current EV/Sales, EV/EBITDA and P/E.</x:v>
      </x:c>
    </x:row>
    <x:row r="12" ht="34" customHeight="1">
      <x:c r="A12" s="62" t="str">
        <x:v>Market Price Reference</x:v>
      </x:c>
      <x:c r="B12" s="62" t="str">
        <x:v>MarketBeat</x:v>
      </x:c>
      <x:c r="C12" s="70" t="str">
        <x:v>https://www.marketbeat.com/stocks/NASDAQ/NVDA/chart/</x:v>
      </x:c>
      <x:c r="D12" s="62" t="str">
        <x:v>NVDA 9/14/2026 close $210.96; market cap reference.</x:v>
      </x:c>
    </x:row>
  </x:sheetData>
  <x:mergeCells>
    <x:mergeCell ref="A1:D1"/>
  </x:mergeCells>
  <x:pageMargins left="0.7" right="0.7" top="0.75" bottom="0.75" header="0.3" footer="0.3"/>
</x:worksheet>
</file>