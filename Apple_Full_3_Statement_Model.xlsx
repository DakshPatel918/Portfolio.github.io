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2e9aff573347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79226ae85d345c1"/>
    <x:sheet xmlns:r="http://schemas.openxmlformats.org/officeDocument/2006/relationships" name="Assumptions" sheetId="2" r:id="Rae07e0507cac4902"/>
    <x:sheet xmlns:r="http://schemas.openxmlformats.org/officeDocument/2006/relationships" name="Income Statement" sheetId="3" r:id="R0bce03d6196f4909"/>
    <x:sheet xmlns:r="http://schemas.openxmlformats.org/officeDocument/2006/relationships" name="Balance Sheet" sheetId="4" r:id="R94e547576f0548bf"/>
    <x:sheet xmlns:r="http://schemas.openxmlformats.org/officeDocument/2006/relationships" name="Cash Flow" sheetId="5" r:id="R5aa3fb8da21a44da"/>
    <x:sheet xmlns:r="http://schemas.openxmlformats.org/officeDocument/2006/relationships" name="Working Capital" sheetId="6" r:id="R11f1db5f854d4b2a"/>
    <x:sheet xmlns:r="http://schemas.openxmlformats.org/officeDocument/2006/relationships" name="Debt &amp; Capital" sheetId="7" r:id="Rb3f9e691052a4e83"/>
    <x:sheet xmlns:r="http://schemas.openxmlformats.org/officeDocument/2006/relationships" name="Checks" sheetId="8" r:id="R504affcb7b744c87"/>
    <x:sheet xmlns:r="http://schemas.openxmlformats.org/officeDocument/2006/relationships" name="Sources" sheetId="9" r:id="R192125ff62864c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;[Red](0.0%);-"/>
    <x:numFmt numFmtId="201" formatCode="$#,##0;[Red]($#,##0);-"/>
    <x:numFmt numFmtId="202" formatCode="#,##0"/>
    <x:numFmt numFmtId="203" formatCode="$0.00"/>
    <x:numFmt numFmtId="204" formatCode="#,##0.0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i/>
      <x:sz val="11"/>
      <x:color rgb="FF666666"/>
      <x:name val="Carlito"/>
    </x:font>
    <x:font>
      <x:sz val="11"/>
      <x:color rgb="FF0563C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7E6E6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4">
    <x:border/>
    <x:border/>
    <x:border>
      <x:top style="thin">
        <x:color rgb="FF000000"/>
      </x:top>
    </x:border>
    <x:border>
      <x:top style="thin">
        <x:color rgb="FF000000"/>
      </x:top>
    </x:border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righ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0" fillId="0" borderId="0" xfId="0" applyNumberFormat="1" applyFont="1" applyFill="1" applyBorder="1"/>
    <x:xf numFmtId="200" fontId="4" fillId="5" borderId="0" xfId="0" applyNumberFormat="1" applyFont="1" applyFill="1" applyBorder="1"/>
    <x:xf numFmtId="200" fontId="0" fillId="0" borderId="1" xfId="0" applyNumberFormat="1" applyFont="1" applyFill="1" applyBorder="1"/>
    <x:xf numFmtId="200" fontId="4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0" fillId="0" borderId="3" xfId="0" applyNumberFormat="1" applyFont="1" applyFill="1" applyBorder="1"/>
    <x:xf numFmtId="201" fontId="0" fillId="0" borderId="3" xfId="0" applyNumberFormat="1" applyFont="1" applyFill="1" applyBorder="1"/>
    <x:xf numFmtId="203" fontId="4" fillId="5" borderId="0" xfId="0" applyNumberFormat="1" applyFont="1" applyFill="1" applyBorder="1"/>
    <x:xf numFmtId="203" fontId="4" fillId="5" borderId="1" xfId="0" applyNumberFormat="1" applyFont="1" applyFill="1" applyBorder="1"/>
    <x:xf numFmtId="201" fontId="4" fillId="5" borderId="0" xfId="0" applyNumberFormat="1" applyFont="1" applyFill="1" applyBorder="1"/>
    <x:xf numFmtId="201" fontId="4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204" fontId="0" fillId="0" borderId="0" xfId="0" applyNumberFormat="1" applyFont="1" applyFill="1" applyBorder="1"/>
    <x:xf numFmtId="204" fontId="4" fillId="5" borderId="0" xfId="0" applyNumberFormat="1" applyFont="1" applyFill="1" applyBorder="1"/>
  </x:cellXfs>
  <x:cellStyles count="1">
    <x:cellStyle name="Normal" xfId="0"/>
  </x:cellStyles>
  <x:dxfs count="2">
    <x:dxf>
      <x:font>
        <x:color rgb="FFC00000"/>
      </x:font>
    </x:dxf>
    <x:dxf>
      <x:font>
        <x:color rgb="FFC0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c76aefdfae4ee5" /><Relationship Type="http://schemas.openxmlformats.org/officeDocument/2006/relationships/theme" Target="/xl/theme/theme1.xml" Id="Rcedcf06efaa249e7" /><Relationship Type="http://schemas.openxmlformats.org/officeDocument/2006/relationships/sharedStrings" Target="/xl/sharedStrings.xml" Id="R4b66cdddab3c442b" /><Relationship Type="http://schemas.openxmlformats.org/officeDocument/2006/relationships/worksheet" Target="/xl/worksheets/sheet1.xml" Id="Rd79226ae85d345c1" /><Relationship Type="http://schemas.openxmlformats.org/officeDocument/2006/relationships/worksheet" Target="/xl/worksheets/sheet2.xml" Id="Rae07e0507cac4902" /><Relationship Type="http://schemas.openxmlformats.org/officeDocument/2006/relationships/worksheet" Target="/xl/worksheets/sheet3.xml" Id="R0bce03d6196f4909" /><Relationship Type="http://schemas.openxmlformats.org/officeDocument/2006/relationships/worksheet" Target="/xl/worksheets/sheet4.xml" Id="R94e547576f0548bf" /><Relationship Type="http://schemas.openxmlformats.org/officeDocument/2006/relationships/worksheet" Target="/xl/worksheets/sheet5.xml" Id="R5aa3fb8da21a44da" /><Relationship Type="http://schemas.openxmlformats.org/officeDocument/2006/relationships/worksheet" Target="/xl/worksheets/sheet6.xml" Id="R11f1db5f854d4b2a" /><Relationship Type="http://schemas.openxmlformats.org/officeDocument/2006/relationships/worksheet" Target="/xl/worksheets/sheet7.xml" Id="Rb3f9e691052a4e83" /><Relationship Type="http://schemas.openxmlformats.org/officeDocument/2006/relationships/worksheet" Target="/xl/worksheets/sheet8.xml" Id="R504affcb7b744c87" /><Relationship Type="http://schemas.openxmlformats.org/officeDocument/2006/relationships/worksheet" Target="/xl/worksheets/sheet9.xml" Id="R192125ff62864c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27" customHeight="1">
      <x:c r="A1" s="3" t="str">
        <x:v>Apple Inc. — Full 3-Statement Financial Model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39" t="str">
        <x:v>Historical 2023A–2025A | Forecast 2026E–2030E | Investment Banking Portfolio Project</x:v>
      </x:c>
      <x:c r="B2" s="39"/>
      <x:c r="C2" s="39"/>
      <x:c r="D2" s="39"/>
      <x:c r="E2" s="39"/>
      <x:c r="F2" s="39"/>
      <x:c r="G2" s="39"/>
      <x:c r="H2" s="39"/>
      <x:c r="I2" s="39"/>
    </x:row>
    <x:row r="4">
      <x:c r="A4" s="13" t="str">
        <x:v>Key Forecast Outputs</x:v>
      </x:c>
      <x:c r="B4" s="13"/>
      <x:c r="C4" s="13"/>
      <x:c r="D4" s="13"/>
      <x:c r="E4" s="13"/>
      <x:c r="F4" s="13"/>
      <x:c r="G4" s="13"/>
      <x:c r="H4" s="13"/>
      <x:c r="I4" s="13"/>
    </x:row>
    <x:row r="5">
      <x:c r="A5" s="7" t="str">
        <x:v>Metric</x:v>
      </x:c>
      <x:c r="B5" s="7" t="str">
        <x:v>2025A</x:v>
      </x:c>
      <x:c r="C5" s="7" t="str">
        <x:v>2026E</x:v>
      </x:c>
      <x:c r="D5" s="7" t="str">
        <x:v>2027E</x:v>
      </x:c>
      <x:c r="E5" s="7" t="str">
        <x:v>2028E</x:v>
      </x:c>
      <x:c r="F5" s="7" t="str">
        <x:v>2030E</x:v>
      </x:c>
    </x:row>
    <x:row r="6">
      <x:c r="A6" t="str">
        <x:v>Revenue ($mm)</x:v>
      </x:c>
      <x:c r="B6" s="24" t="n">
        <x:f>'Income Statement'!D5</x:f>
        <x:v>416161</x:v>
      </x:c>
      <x:c r="C6" s="24" t="n">
        <x:f>'Income Statement'!E5</x:f>
        <x:v>470261.92999999993</x:v>
      </x:c>
      <x:c r="D6" s="24" t="n">
        <x:f>'Income Statement'!F5</x:f>
        <x:v>517288.12299999996</x:v>
      </x:c>
      <x:c r="E6" s="24" t="n">
        <x:f>'Income Statement'!G5</x:f>
        <x:v>558671.17284</x:v>
      </x:c>
      <x:c r="F6" s="24" t="n">
        <x:f>'Income Statement'!I5</x:f>
        <x:v>633644.844235128</x:v>
      </x:c>
    </x:row>
    <x:row r="7">
      <x:c r="A7" t="str">
        <x:v>Net Income ($mm)</x:v>
      </x:c>
      <x:c r="B7" s="24" t="n">
        <x:f>'Income Statement'!D19</x:f>
        <x:v>112010</x:v>
      </x:c>
      <x:c r="C7" s="24" t="n">
        <x:f>'Income Statement'!E19</x:f>
        <x:v>138120.39690161997</x:v>
      </x:c>
      <x:c r="D7" s="24" t="n">
        <x:f>'Income Statement'!F19</x:f>
        <x:v>152610.05989030199</x:v>
      </x:c>
      <x:c r="E7" s="24" t="n">
        <x:f>'Income Statement'!G19</x:f>
        <x:v>164317.97929464455</x:v>
      </x:c>
      <x:c r="F7" s="24" t="n">
        <x:f>'Income Statement'!I19</x:f>
        <x:v>185799.99536163214</x:v>
      </x:c>
    </x:row>
    <x:row r="8">
      <x:c r="A8" t="str">
        <x:v>Diluted EPS</x:v>
      </x:c>
      <x:c r="B8" s="28" t="n">
        <x:f>'Income Statement'!D21</x:f>
        <x:v>7.49</x:v>
      </x:c>
      <x:c r="C8" s="28" t="n">
        <x:f>'Income Statement'!E21</x:f>
        <x:v>9.398652861653112</x:v>
      </x:c>
      <x:c r="D8" s="28" t="n">
        <x:f>'Income Statement'!F21</x:f>
        <x:v>10.585542345678904</x:v>
      </x:c>
      <x:c r="E8" s="28" t="n">
        <x:f>'Income Statement'!G21</x:f>
        <x:v>11.641520089163954</x:v>
      </x:c>
      <x:c r="F8" s="28" t="n">
        <x:f>'Income Statement'!I21</x:f>
        <x:v>13.814781225416185</x:v>
      </x:c>
    </x:row>
    <x:row r="9">
      <x:c r="A9" t="str">
        <x:v>Operating Margin</x:v>
      </x:c>
      <x:c r="B9" s="20" t="n">
        <x:f>'Income Statement'!D14</x:f>
        <x:v>0.31970799762591884</x:v>
      </x:c>
      <x:c r="C9" s="20" t="n">
        <x:f>'Income Statement'!E14</x:f>
        <x:v>0.347</x:v>
      </x:c>
      <x:c r="D9" s="20" t="n">
        <x:f>'Income Statement'!F14</x:f>
        <x:v>0.348</x:v>
      </x:c>
      <x:c r="E9" s="20" t="n">
        <x:f>'Income Statement'!G14</x:f>
        <x:v>0.3469999999999999</x:v>
      </x:c>
      <x:c r="F9" s="20" t="n">
        <x:f>'Income Statement'!I14</x:f>
        <x:v>0.346</x:v>
      </x:c>
    </x:row>
    <x:row r="10">
      <x:c r="A10" t="str">
        <x:v>Free Cash Flow ($mm)</x:v>
      </x:c>
      <x:c r="B10" s="24" t="n">
        <x:f>'Cash Flow'!D10+'Cash Flow'!D11</x:f>
        <x:v>98767</x:v>
      </x:c>
      <x:c r="C10" s="24" t="n">
        <x:f>'Cash Flow'!E10+'Cash Flow'!E11</x:f>
        <x:v>163849.64535616996</x:v>
      </x:c>
      <x:c r="D10" s="24" t="n">
        <x:f>'Cash Flow'!F10+'Cash Flow'!F11</x:f>
        <x:v>177342.78070575703</x:v>
      </x:c>
      <x:c r="E10" s="24" t="n">
        <x:f>'Cash Flow'!G10+'Cash Flow'!G11</x:f>
        <x:v>189005.38943262017</x:v>
      </x:c>
      <x:c r="F10" s="24" t="n">
        <x:f>'Cash Flow'!I10+'Cash Flow'!I11</x:f>
        <x:v>210745.66034524742</x:v>
      </x:c>
    </x:row>
    <x:row r="11">
      <x:c r="A11" t="str">
        <x:v>Ending Cash ($mm)</x:v>
      </x:c>
      <x:c r="B11" s="24" t="n">
        <x:f>'Balance Sheet'!D5</x:f>
        <x:v>35934</x:v>
      </x:c>
      <x:c r="C11" s="24" t="n">
        <x:f>'Balance Sheet'!E5</x:f>
        <x:v>-5684.635746109809</x:v>
      </x:c>
      <x:c r="D11" s="24" t="n">
        <x:f>'Balance Sheet'!F5</x:f>
        <x:v>49450.28089130866</x:v>
      </x:c>
      <x:c r="E11" s="24" t="n">
        <x:f>'Balance Sheet'!G5</x:f>
        <x:v>107196.05993675963</x:v>
      </x:c>
      <x:c r="F11" s="24" t="n">
        <x:f>'Balance Sheet'!I5</x:f>
        <x:v>230555.98479489124</x:v>
      </x:c>
    </x:row>
    <x:row r="13">
      <x:c r="A13" s="13" t="str">
        <x:v>Model Structure</x:v>
      </x:c>
      <x:c r="B13" s="13"/>
      <x:c r="C13" s="13"/>
      <x:c r="D13" s="13"/>
      <x:c r="E13" s="13"/>
      <x:c r="F13" s="13"/>
      <x:c r="G13" s="13"/>
      <x:c r="H13" s="13"/>
      <x:c r="I13" s="13"/>
    </x:row>
    <x:row r="14" ht="32" customHeight="1">
      <x:c r="A14" s="42" t="str">
        <x:v>Revenue &amp; Margins</x:v>
      </x:c>
      <x:c r="B14" s="44" t="str">
        <x:v>Revenue growth, gross margin, R&amp;D, SG&amp;A and tax assumptions drive the income statement.</x:v>
      </x:c>
    </x:row>
    <x:row r="15" ht="32" customHeight="1">
      <x:c r="A15" s="42" t="str">
        <x:v>Working Capital</x:v>
      </x:c>
      <x:c r="B15" s="44" t="str">
        <x:v>A/R, inventory, A/P and other operating accounts are forecast as revenue / COGS ratios.</x:v>
      </x:c>
    </x:row>
    <x:row r="16" ht="32" customHeight="1">
      <x:c r="A16" s="42" t="str">
        <x:v>PP&amp;E / Capex</x:v>
      </x:c>
      <x:c r="B16" s="44" t="str">
        <x:v>PP&amp;E rolls forward using capex less depreciation and amortization.</x:v>
      </x:c>
    </x:row>
    <x:row r="17" ht="32" customHeight="1">
      <x:c r="A17" s="42" t="str">
        <x:v>Debt &amp; Interest</x:v>
      </x:c>
      <x:c r="B17" s="44" t="str">
        <x:v>Debt is forecast as a revenue percentage; average debt drives interest expense.</x:v>
      </x:c>
    </x:row>
    <x:row r="18" ht="32" customHeight="1">
      <x:c r="A18" s="42" t="str">
        <x:v>Share Count</x:v>
      </x:c>
      <x:c r="B18" s="44" t="str">
        <x:v>Repurchases and SBC-driven issuance roll diluted shares forward.</x:v>
      </x:c>
    </x:row>
    <x:row r="19" ht="32" customHeight="1">
      <x:c r="A19" s="42" t="str">
        <x:v>Cash Flow</x:v>
      </x:c>
      <x:c r="B19" s="44" t="str">
        <x:v>Net income, non-cash items, working capital, investing and financing activities produce cash flow.</x:v>
      </x:c>
    </x:row>
    <x:row r="20" ht="32" customHeight="1">
      <x:c r="A20" s="42" t="str">
        <x:v>Balance Check</x:v>
      </x:c>
      <x:c r="B20" s="44" t="str">
        <x:v>Cash is the balancing item; the model includes explicit balance-sheet and cash-flow checks.</x:v>
      </x:c>
    </x:row>
    <x:row r="22">
      <x:c r="A22" s="49" t="str">
        <x:v>Portfolio talking point: I built an integrated Apple 3-statement model that links the income statement, balance sheet and cash flow statement through operating assumptions, working capital, capex/depreciation, debt/interest and share repurchases. The model forecasts 2026E–2030E and includes automated balance-sheet and cash-flow integrity checks.</x:v>
      </x:c>
      <x:c r="B22" s="49"/>
      <x:c r="C22" s="49"/>
      <x:c r="D22" s="49"/>
      <x:c r="E22" s="49"/>
      <x:c r="F22" s="49"/>
      <x:c r="G22" s="49"/>
      <x:c r="H22" s="49"/>
      <x:c r="I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</x:row>
  </x:sheetData>
  <x:mergeCells>
    <x:mergeCell ref="A1:I1"/>
    <x:mergeCell ref="A2:I2"/>
    <x:mergeCell ref="A4:I4"/>
    <x:mergeCell ref="A13:I13"/>
    <x:mergeCell ref="A22:I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27" customHeight="1">
      <x:c r="A1" s="3" t="str">
        <x:v>Apple Inc. — 3-Statement Model Assumptions</x:v>
      </x:c>
      <x:c r="B1" s="3"/>
      <x:c r="C1" s="3"/>
      <x:c r="D1" s="3"/>
      <x:c r="E1" s="3"/>
      <x:c r="F1" s="3"/>
      <x:c r="G1" s="3"/>
      <x:c r="H1" s="3"/>
      <x:c r="I1" s="3"/>
    </x:row>
    <x:row r="3">
      <x:c r="A3" s="8"/>
      <x:c r="B3" s="8" t="str">
        <x:v>2023A</x:v>
      </x:c>
      <x:c r="C3" s="8" t="str">
        <x:v>2024A</x:v>
      </x:c>
      <x:c r="D3" s="8" t="str">
        <x:v>2025A</x:v>
      </x:c>
      <x:c r="E3" s="8" t="str">
        <x:v>2026E</x:v>
      </x:c>
      <x:c r="F3" s="8" t="str">
        <x:v>2027E</x:v>
      </x:c>
      <x:c r="G3" s="8" t="str">
        <x:v>2028E</x:v>
      </x:c>
      <x:c r="H3" s="8" t="str">
        <x:v>2029E</x:v>
      </x:c>
      <x:c r="I3" s="8" t="str">
        <x:v>2030E</x:v>
      </x:c>
    </x:row>
    <x:row r="5">
      <x:c r="A5" s="13" t="str">
        <x:v>Operating Assumptions</x:v>
      </x:c>
      <x:c r="B5" s="13"/>
      <x:c r="C5" s="13"/>
      <x:c r="D5" s="13"/>
      <x:c r="E5" s="13"/>
      <x:c r="F5" s="13"/>
      <x:c r="G5" s="13"/>
      <x:c r="H5" s="13"/>
      <x:c r="I5" s="13"/>
    </x:row>
    <x:row r="6">
      <x:c r="A6" t="str">
        <x:v>Revenue Growth</x:v>
      </x:c>
      <x:c r="B6" s="20"/>
      <x:c r="C6" s="20" t="n">
        <x:v>0.02</x:v>
      </x:c>
      <x:c r="D6" s="21" t="n">
        <x:v>0.13</x:v>
      </x:c>
      <x:c r="E6" s="21" t="n">
        <x:v>0.1</x:v>
      </x:c>
      <x:c r="F6" s="21" t="n">
        <x:v>0.08</x:v>
      </x:c>
      <x:c r="G6" s="21" t="n">
        <x:v>0.07</x:v>
      </x:c>
      <x:c r="H6" s="21" t="n">
        <x:v>0.06</x:v>
      </x:c>
      <x:c r="I6" s="21" t="n">
        <x:v>0.05</x:v>
      </x:c>
    </x:row>
    <x:row r="7">
      <x:c r="A7" t="str">
        <x:v>Gross Margin</x:v>
      </x:c>
      <x:c r="B7" s="20" t="n">
        <x:v>0.45</x:v>
      </x:c>
      <x:c r="C7" s="20" t="n">
        <x:v>0.462</x:v>
      </x:c>
      <x:c r="D7" s="21" t="n">
        <x:v>0.495</x:v>
      </x:c>
      <x:c r="E7" s="21" t="n">
        <x:v>0.495</x:v>
      </x:c>
      <x:c r="F7" s="21" t="n">
        <x:v>0.492</x:v>
      </x:c>
      <x:c r="G7" s="21" t="n">
        <x:v>0.49</x:v>
      </x:c>
      <x:c r="H7" s="21" t="n">
        <x:v>0.488</x:v>
      </x:c>
      <x:c r="I7" s="21" t="n">
        <x:v>0.487</x:v>
      </x:c>
    </x:row>
    <x:row r="8">
      <x:c r="A8" t="str">
        <x:v>R&amp;D % Revenue</x:v>
      </x:c>
      <x:c r="B8" s="20" t="n">
        <x:v>0.078</x:v>
      </x:c>
      <x:c r="C8" s="20" t="n">
        <x:v>0.08</x:v>
      </x:c>
      <x:c r="D8" s="21" t="n">
        <x:v>0.083</x:v>
      </x:c>
      <x:c r="E8" s="21" t="n">
        <x:v>0.083</x:v>
      </x:c>
      <x:c r="F8" s="21" t="n">
        <x:v>0.082</x:v>
      </x:c>
      <x:c r="G8" s="21" t="n">
        <x:v>0.082</x:v>
      </x:c>
      <x:c r="H8" s="21" t="n">
        <x:v>0.081</x:v>
      </x:c>
      <x:c r="I8" s="21" t="n">
        <x:v>0.081</x:v>
      </x:c>
    </x:row>
    <x:row r="9">
      <x:c r="A9" t="str">
        <x:v>SG&amp;A % Revenue</x:v>
      </x:c>
      <x:c r="B9" s="20" t="n">
        <x:v>0.065</x:v>
      </x:c>
      <x:c r="C9" s="20" t="n">
        <x:v>0.067</x:v>
      </x:c>
      <x:c r="D9" s="21" t="n">
        <x:v>0.065</x:v>
      </x:c>
      <x:c r="E9" s="21" t="n">
        <x:v>0.064</x:v>
      </x:c>
      <x:c r="F9" s="21" t="n">
        <x:v>0.063</x:v>
      </x:c>
      <x:c r="G9" s="21" t="n">
        <x:v>0.062</x:v>
      </x:c>
      <x:c r="H9" s="21" t="n">
        <x:v>0.061</x:v>
      </x:c>
      <x:c r="I9" s="21" t="n">
        <x:v>0.06</x:v>
      </x:c>
    </x:row>
    <x:row r="10">
      <x:c r="A10" t="str">
        <x:v>Tax Rate</x:v>
      </x:c>
      <x:c r="B10" s="20" t="n">
        <x:v>0.147</x:v>
      </x:c>
      <x:c r="C10" s="20" t="n">
        <x:v>0.241</x:v>
      </x:c>
      <x:c r="D10" s="21" t="n">
        <x:v>0.16</x:v>
      </x:c>
      <x:c r="E10" s="21" t="n">
        <x:v>0.16</x:v>
      </x:c>
      <x:c r="F10" s="21" t="n">
        <x:v>0.16</x:v>
      </x:c>
      <x:c r="G10" s="21" t="n">
        <x:v>0.16</x:v>
      </x:c>
      <x:c r="H10" s="21" t="n">
        <x:v>0.16</x:v>
      </x:c>
      <x:c r="I10" s="21" t="n">
        <x:v>0.16</x:v>
      </x:c>
    </x:row>
    <x:row r="11">
      <x:c r="A11" t="str">
        <x:v>D&amp;A % Revenue</x:v>
      </x:c>
      <x:c r="B11" s="20" t="n">
        <x:v>0.03</x:v>
      </x:c>
      <x:c r="C11" s="20" t="n">
        <x:v>0.029</x:v>
      </x:c>
      <x:c r="D11" s="21" t="n">
        <x:v>0.027</x:v>
      </x:c>
      <x:c r="E11" s="21" t="n">
        <x:v>0.027</x:v>
      </x:c>
      <x:c r="F11" s="21" t="n">
        <x:v>0.027</x:v>
      </x:c>
      <x:c r="G11" s="21" t="n">
        <x:v>0.027</x:v>
      </x:c>
      <x:c r="H11" s="21" t="n">
        <x:v>0.027</x:v>
      </x:c>
      <x:c r="I11" s="21" t="n">
        <x:v>0.027</x:v>
      </x:c>
    </x:row>
    <x:row r="12">
      <x:c r="A12" t="str">
        <x:v>Capex % Revenue</x:v>
      </x:c>
      <x:c r="B12" s="20" t="n">
        <x:v>0.029</x:v>
      </x:c>
      <x:c r="C12" s="20" t="n">
        <x:v>0.024</x:v>
      </x:c>
      <x:c r="D12" s="21" t="n">
        <x:v>0.028</x:v>
      </x:c>
      <x:c r="E12" s="21" t="n">
        <x:v>0.028</x:v>
      </x:c>
      <x:c r="F12" s="21" t="n">
        <x:v>0.028</x:v>
      </x:c>
      <x:c r="G12" s="21" t="n">
        <x:v>0.028</x:v>
      </x:c>
      <x:c r="H12" s="21" t="n">
        <x:v>0.028</x:v>
      </x:c>
      <x:c r="I12" s="21" t="n">
        <x:v>0.028</x:v>
      </x:c>
    </x:row>
    <x:row r="13">
      <x:c r="A13" t="str">
        <x:v>SBC % Revenue</x:v>
      </x:c>
      <x:c r="B13" s="20" t="n">
        <x:v>0.028</x:v>
      </x:c>
      <x:c r="C13" s="20" t="n">
        <x:v>0.03</x:v>
      </x:c>
      <x:c r="D13" s="21" t="n">
        <x:v>0.03</x:v>
      </x:c>
      <x:c r="E13" s="21" t="n">
        <x:v>0.03</x:v>
      </x:c>
      <x:c r="F13" s="21" t="n">
        <x:v>0.029</x:v>
      </x:c>
      <x:c r="G13" s="21" t="n">
        <x:v>0.029</x:v>
      </x:c>
      <x:c r="H13" s="21" t="n">
        <x:v>0.028</x:v>
      </x:c>
      <x:c r="I13" s="21" t="n">
        <x:v>0.028</x:v>
      </x:c>
    </x:row>
    <x:row r="15">
      <x:c r="A15" s="13" t="str">
        <x:v>Balance Sheet / Cash Flow Assumptions</x:v>
      </x:c>
      <x:c r="B15" s="13"/>
      <x:c r="C15" s="13"/>
      <x:c r="D15" s="13"/>
      <x:c r="E15" s="13"/>
      <x:c r="F15" s="13"/>
      <x:c r="G15" s="13"/>
      <x:c r="H15" s="13"/>
      <x:c r="I15" s="13"/>
    </x:row>
    <x:row r="16">
      <x:c r="A16" t="str">
        <x:v>A/R % Revenue</x:v>
      </x:c>
      <x:c r="D16" s="21" t="n">
        <x:v>0.075</x:v>
      </x:c>
      <x:c r="E16" s="21" t="n">
        <x:v>0.075</x:v>
      </x:c>
      <x:c r="F16" s="21" t="n">
        <x:v>0.075</x:v>
      </x:c>
      <x:c r="G16" s="21" t="n">
        <x:v>0.075</x:v>
      </x:c>
      <x:c r="H16" s="21" t="n">
        <x:v>0.075</x:v>
      </x:c>
      <x:c r="I16" s="21" t="n">
        <x:v>0.075</x:v>
      </x:c>
    </x:row>
    <x:row r="17">
      <x:c r="A17" t="str">
        <x:v>Inventory % COGS</x:v>
      </x:c>
      <x:c r="D17" s="21" t="n">
        <x:v>0.028</x:v>
      </x:c>
      <x:c r="E17" s="21" t="n">
        <x:v>0.028</x:v>
      </x:c>
      <x:c r="F17" s="21" t="n">
        <x:v>0.028</x:v>
      </x:c>
      <x:c r="G17" s="21" t="n">
        <x:v>0.028</x:v>
      </x:c>
      <x:c r="H17" s="21" t="n">
        <x:v>0.028</x:v>
      </x:c>
      <x:c r="I17" s="21" t="n">
        <x:v>0.028</x:v>
      </x:c>
    </x:row>
    <x:row r="18">
      <x:c r="A18" t="str">
        <x:v>Other Current Assets % Revenue</x:v>
      </x:c>
      <x:c r="D18" s="21" t="n">
        <x:v>0.035</x:v>
      </x:c>
      <x:c r="E18" s="21" t="n">
        <x:v>0.035</x:v>
      </x:c>
      <x:c r="F18" s="21" t="n">
        <x:v>0.035</x:v>
      </x:c>
      <x:c r="G18" s="21" t="n">
        <x:v>0.035</x:v>
      </x:c>
      <x:c r="H18" s="21" t="n">
        <x:v>0.035</x:v>
      </x:c>
      <x:c r="I18" s="21" t="n">
        <x:v>0.035</x:v>
      </x:c>
    </x:row>
    <x:row r="19">
      <x:c r="A19" t="str">
        <x:v>A/P % COGS</x:v>
      </x:c>
      <x:c r="D19" s="21" t="n">
        <x:v>0.315</x:v>
      </x:c>
      <x:c r="E19" s="21" t="n">
        <x:v>0.315</x:v>
      </x:c>
      <x:c r="F19" s="21" t="n">
        <x:v>0.315</x:v>
      </x:c>
      <x:c r="G19" s="21" t="n">
        <x:v>0.315</x:v>
      </x:c>
      <x:c r="H19" s="21" t="n">
        <x:v>0.315</x:v>
      </x:c>
      <x:c r="I19" s="21" t="n">
        <x:v>0.315</x:v>
      </x:c>
    </x:row>
    <x:row r="20">
      <x:c r="A20" t="str">
        <x:v>Other Current Liab. % Revenue</x:v>
      </x:c>
      <x:c r="D20" s="21" t="n">
        <x:v>0.15</x:v>
      </x:c>
      <x:c r="E20" s="21" t="n">
        <x:v>0.15</x:v>
      </x:c>
      <x:c r="F20" s="21" t="n">
        <x:v>0.15</x:v>
      </x:c>
      <x:c r="G20" s="21" t="n">
        <x:v>0.15</x:v>
      </x:c>
      <x:c r="H20" s="21" t="n">
        <x:v>0.15</x:v>
      </x:c>
      <x:c r="I20" s="21" t="n">
        <x:v>0.15</x:v>
      </x:c>
    </x:row>
    <x:row r="21">
      <x:c r="A21" t="str">
        <x:v>Deferred Revenue % Revenue</x:v>
      </x:c>
      <x:c r="D21" s="21" t="n">
        <x:v>0.022</x:v>
      </x:c>
      <x:c r="E21" s="21" t="n">
        <x:v>0.022</x:v>
      </x:c>
      <x:c r="F21" s="21" t="n">
        <x:v>0.022</x:v>
      </x:c>
      <x:c r="G21" s="21" t="n">
        <x:v>0.022</x:v>
      </x:c>
      <x:c r="H21" s="21" t="n">
        <x:v>0.022</x:v>
      </x:c>
      <x:c r="I21" s="21" t="n">
        <x:v>0.022</x:v>
      </x:c>
    </x:row>
    <x:row r="22">
      <x:c r="A22" t="str">
        <x:v>Other Noncurrent Assets % Revenue</x:v>
      </x:c>
      <x:c r="D22" s="21" t="n">
        <x:v>0.18</x:v>
      </x:c>
      <x:c r="E22" s="21" t="n">
        <x:v>0.18</x:v>
      </x:c>
      <x:c r="F22" s="21" t="n">
        <x:v>0.18</x:v>
      </x:c>
      <x:c r="G22" s="21" t="n">
        <x:v>0.18</x:v>
      </x:c>
      <x:c r="H22" s="21" t="n">
        <x:v>0.18</x:v>
      </x:c>
      <x:c r="I22" s="21" t="n">
        <x:v>0.18</x:v>
      </x:c>
    </x:row>
    <x:row r="23">
      <x:c r="A23" t="str">
        <x:v>Other Noncurrent Liab. % Revenue</x:v>
      </x:c>
      <x:c r="D23" s="21" t="n">
        <x:v>0.12</x:v>
      </x:c>
      <x:c r="E23" s="21" t="n">
        <x:v>0.12</x:v>
      </x:c>
      <x:c r="F23" s="21" t="n">
        <x:v>0.12</x:v>
      </x:c>
      <x:c r="G23" s="21" t="n">
        <x:v>0.12</x:v>
      </x:c>
      <x:c r="H23" s="21" t="n">
        <x:v>0.12</x:v>
      </x:c>
      <x:c r="I23" s="21" t="n">
        <x:v>0.12</x:v>
      </x:c>
    </x:row>
    <x:row r="24">
      <x:c r="A24" t="str">
        <x:v>Marketable Securities % Revenue</x:v>
      </x:c>
      <x:c r="D24" s="21" t="n">
        <x:v>0.235</x:v>
      </x:c>
      <x:c r="E24" s="21" t="n">
        <x:v>0.235</x:v>
      </x:c>
      <x:c r="F24" s="21" t="n">
        <x:v>0.235</x:v>
      </x:c>
      <x:c r="G24" s="21" t="n">
        <x:v>0.235</x:v>
      </x:c>
      <x:c r="H24" s="21" t="n">
        <x:v>0.235</x:v>
      </x:c>
      <x:c r="I24" s="21" t="n">
        <x:v>0.235</x:v>
      </x:c>
    </x:row>
    <x:row r="25">
      <x:c r="A25" t="str">
        <x:v>Debt % Revenue</x:v>
      </x:c>
      <x:c r="D25" s="21" t="n">
        <x:v>0.2</x:v>
      </x:c>
      <x:c r="E25" s="21" t="n">
        <x:v>0.2</x:v>
      </x:c>
      <x:c r="F25" s="21" t="n">
        <x:v>0.2</x:v>
      </x:c>
      <x:c r="G25" s="21" t="n">
        <x:v>0.2</x:v>
      </x:c>
      <x:c r="H25" s="21" t="n">
        <x:v>0.2</x:v>
      </x:c>
      <x:c r="I25" s="21" t="n">
        <x:v>0.2</x:v>
      </x:c>
    </x:row>
    <x:row r="26">
      <x:c r="A26" t="str">
        <x:v>Dividend Payout % Net Income</x:v>
      </x:c>
      <x:c r="D26" s="21" t="n">
        <x:v>0.14</x:v>
      </x:c>
      <x:c r="E26" s="21" t="n">
        <x:v>0.14</x:v>
      </x:c>
      <x:c r="F26" s="21" t="n">
        <x:v>0.14</x:v>
      </x:c>
      <x:c r="G26" s="21" t="n">
        <x:v>0.14</x:v>
      </x:c>
      <x:c r="H26" s="21" t="n">
        <x:v>0.14</x:v>
      </x:c>
      <x:c r="I26" s="21" t="n">
        <x:v>0.14</x:v>
      </x:c>
    </x:row>
    <x:row r="27">
      <x:c r="A27" t="str">
        <x:v>Repurchases % Net Income</x:v>
      </x:c>
      <x:c r="D27" s="21" t="n">
        <x:v>0.65</x:v>
      </x:c>
      <x:c r="E27" s="21" t="n">
        <x:v>0.65</x:v>
      </x:c>
      <x:c r="F27" s="21" t="n">
        <x:v>0.65</x:v>
      </x:c>
      <x:c r="G27" s="21" t="n">
        <x:v>0.65</x:v>
      </x:c>
      <x:c r="H27" s="21" t="n">
        <x:v>0.65</x:v>
      </x:c>
      <x:c r="I27" s="21" t="n">
        <x:v>0.65</x:v>
      </x:c>
    </x:row>
  </x:sheetData>
  <x:mergeCells>
    <x:mergeCell ref="A1:I1"/>
    <x:mergeCell ref="A5:I5"/>
    <x:mergeCell ref="A15:I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27" customHeight="1">
      <x:c r="A1" s="3" t="str">
        <x:v>Apple Inc. — Income Statement ($mm)</x:v>
      </x:c>
      <x:c r="B1" s="3"/>
      <x:c r="C1" s="3"/>
      <x:c r="D1" s="3"/>
      <x:c r="E1" s="3"/>
      <x:c r="F1" s="3"/>
      <x:c r="G1" s="3"/>
      <x:c r="H1" s="3"/>
      <x:c r="I1" s="3"/>
    </x:row>
    <x:row r="3">
      <x:c r="A3" s="8"/>
      <x:c r="B3" s="8" t="str">
        <x:v>2023A</x:v>
      </x:c>
      <x:c r="C3" s="8" t="str">
        <x:v>2024A</x:v>
      </x:c>
      <x:c r="D3" s="8" t="str">
        <x:v>2025A</x:v>
      </x:c>
      <x:c r="E3" s="8" t="str">
        <x:v>2026E</x:v>
      </x:c>
      <x:c r="F3" s="8" t="str">
        <x:v>2027E</x:v>
      </x:c>
      <x:c r="G3" s="8" t="str">
        <x:v>2028E</x:v>
      </x:c>
      <x:c r="H3" s="8" t="str">
        <x:v>2029E</x:v>
      </x:c>
      <x:c r="I3" s="8" t="str">
        <x:v>2030E</x:v>
      </x:c>
    </x:row>
    <x:row r="5">
      <x:c r="A5" t="str">
        <x:v>Net Sales</x:v>
      </x:c>
      <x:c r="B5" s="24" t="n">
        <x:v>383285</x:v>
      </x:c>
      <x:c r="C5" s="24" t="n">
        <x:v>391035</x:v>
      </x:c>
      <x:c r="D5" s="24" t="n">
        <x:v>416161</x:v>
      </x:c>
      <x:c r="E5" s="24" t="n">
        <x:f>D5*(1+Assumptions!D6)</x:f>
        <x:v>470261.92999999993</x:v>
      </x:c>
      <x:c r="F5" s="24" t="n">
        <x:f>E5*(1+Assumptions!E6)</x:f>
        <x:v>517288.12299999996</x:v>
      </x:c>
      <x:c r="G5" s="24" t="n">
        <x:f>F5*(1+Assumptions!F6)</x:f>
        <x:v>558671.17284</x:v>
      </x:c>
      <x:c r="H5" s="24" t="n">
        <x:f>G5*(1+Assumptions!G6)</x:f>
        <x:v>597778.1549388</x:v>
      </x:c>
      <x:c r="I5" s="24" t="n">
        <x:f>H5*(1+Assumptions!H6)</x:f>
        <x:v>633644.844235128</x:v>
      </x:c>
    </x:row>
    <x:row r="6">
      <x:c r="A6" t="str">
        <x:v>% Growth</x:v>
      </x:c>
      <x:c r="B6" s="20"/>
      <x:c r="C6" s="20" t="n">
        <x:f>C5/B5-1</x:f>
        <x:v>0.02021994077514111</x:v>
      </x:c>
      <x:c r="D6" s="20" t="n">
        <x:f>D5/C5-1</x:f>
        <x:v>0.06425511782832749</x:v>
      </x:c>
      <x:c r="E6" s="20" t="n">
        <x:f>E5/D5-1</x:f>
        <x:v>0.1299999999999999</x:v>
      </x:c>
      <x:c r="F6" s="20" t="n">
        <x:f>F5/E5-1</x:f>
        <x:v>0.10000000000000009</x:v>
      </x:c>
      <x:c r="G6" s="20" t="n">
        <x:f>G5/F5-1</x:f>
        <x:v>0.08000000000000007</x:v>
      </x:c>
      <x:c r="H6" s="20" t="n">
        <x:f>H5/G5-1</x:f>
        <x:v>0.07000000000000006</x:v>
      </x:c>
      <x:c r="I6" s="20" t="n">
        <x:f>I5/H5-1</x:f>
        <x:v>0.06000000000000005</x:v>
      </x:c>
    </x:row>
    <x:row r="7">
      <x:c r="A7" t="str">
        <x:v>Cost of Sales</x:v>
      </x:c>
      <x:c r="B7" s="24" t="n">
        <x:v>214137</x:v>
      </x:c>
      <x:c r="C7" s="24" t="n">
        <x:v>210352</x:v>
      </x:c>
      <x:c r="D7" s="24" t="n">
        <x:v>220960</x:v>
      </x:c>
      <x:c r="E7" s="24" t="n">
        <x:f>E5-E8</x:f>
        <x:v>237482.27464999998</x:v>
      </x:c>
      <x:c r="F7" s="24" t="n">
        <x:f>F5-F8</x:f>
        <x:v>261230.50211499998</x:v>
      </x:c>
      <x:c r="G7" s="24" t="n">
        <x:f>G5-G8</x:f>
        <x:v>283804.95580272004</x:v>
      </x:c>
      <x:c r="H7" s="24" t="n">
        <x:f>H5-H8</x:f>
        <x:v>304866.85901878803</x:v>
      </x:c>
      <x:c r="I7" s="24" t="n">
        <x:f>I5-I8</x:f>
        <x:v>324426.16024838557</x:v>
      </x:c>
    </x:row>
    <x:row r="8">
      <x:c r="A8" s="30" t="str">
        <x:v>Gross Profit</x:v>
      </x:c>
      <x:c r="B8" s="31" t="n">
        <x:v>169148</x:v>
      </x:c>
      <x:c r="C8" s="31" t="n">
        <x:v>180683</x:v>
      </x:c>
      <x:c r="D8" s="31" t="n">
        <x:v>195201</x:v>
      </x:c>
      <x:c r="E8" s="31" t="n">
        <x:f>E5*Assumptions!D7</x:f>
        <x:v>232779.65534999996</x:v>
      </x:c>
      <x:c r="F8" s="31" t="n">
        <x:f>F5*Assumptions!E7</x:f>
        <x:v>256057.62088499998</x:v>
      </x:c>
      <x:c r="G8" s="31" t="n">
        <x:f>G5*Assumptions!F7</x:f>
        <x:v>274866.21703728</x:v>
      </x:c>
      <x:c r="H8" s="31" t="n">
        <x:f>H5*Assumptions!G7</x:f>
        <x:v>292911.295920012</x:v>
      </x:c>
      <x:c r="I8" s="31" t="n">
        <x:f>I5*Assumptions!H7</x:f>
        <x:v>309218.68398674246</x:v>
      </x:c>
    </x:row>
    <x:row r="9">
      <x:c r="A9" t="str">
        <x:v>Gross Margin</x:v>
      </x:c>
      <x:c r="B9" s="20" t="n">
        <x:f>B8/B5</x:f>
        <x:v>0.4413112957720756</x:v>
      </x:c>
      <x:c r="C9" s="20" t="n">
        <x:f>C8/C5</x:f>
        <x:v>0.4620634981523393</x:v>
      </x:c>
      <x:c r="D9" s="20" t="n">
        <x:f>D8/D5</x:f>
        <x:v>0.4690516410716045</x:v>
      </x:c>
      <x:c r="E9" s="20" t="n">
        <x:f>E8/E5</x:f>
        <x:v>0.495</x:v>
      </x:c>
      <x:c r="F9" s="20" t="n">
        <x:f>F8/F5</x:f>
        <x:v>0.495</x:v>
      </x:c>
      <x:c r="G9" s="20" t="n">
        <x:f>G8/G5</x:f>
        <x:v>0.49199999999999994</x:v>
      </x:c>
      <x:c r="H9" s="20" t="n">
        <x:f>H8/H5</x:f>
        <x:v>0.49</x:v>
      </x:c>
      <x:c r="I9" s="20" t="n">
        <x:f>I8/I5</x:f>
        <x:v>0.488</x:v>
      </x:c>
    </x:row>
    <x:row r="10">
      <x:c r="A10" t="str">
        <x:v>R&amp;D</x:v>
      </x:c>
      <x:c r="B10" s="24" t="n">
        <x:v>29915</x:v>
      </x:c>
      <x:c r="C10" s="24" t="n">
        <x:v>31370</x:v>
      </x:c>
      <x:c r="D10" s="24" t="n">
        <x:v>34550</x:v>
      </x:c>
      <x:c r="E10" s="24" t="n">
        <x:f>E5*Assumptions!D8</x:f>
        <x:v>39031.74019</x:v>
      </x:c>
      <x:c r="F10" s="24" t="n">
        <x:f>F5*Assumptions!E8</x:f>
        <x:v>42934.914209</x:v>
      </x:c>
      <x:c r="G10" s="24" t="n">
        <x:f>G5*Assumptions!F8</x:f>
        <x:v>45811.036172880005</x:v>
      </x:c>
      <x:c r="H10" s="24" t="n">
        <x:f>H5*Assumptions!G8</x:f>
        <x:v>49017.8087049816</x:v>
      </x:c>
      <x:c r="I10" s="24" t="n">
        <x:f>I5*Assumptions!H8</x:f>
        <x:v>51325.232383045375</x:v>
      </x:c>
    </x:row>
    <x:row r="11">
      <x:c r="A11" t="str">
        <x:v>SG&amp;A</x:v>
      </x:c>
      <x:c r="B11" s="24" t="n">
        <x:v>24932</x:v>
      </x:c>
      <x:c r="C11" s="24" t="n">
        <x:v>26097</x:v>
      </x:c>
      <x:c r="D11" s="24" t="n">
        <x:v>27601</x:v>
      </x:c>
      <x:c r="E11" s="24" t="n">
        <x:f>E5*Assumptions!D9</x:f>
        <x:v>30567.025449999997</x:v>
      </x:c>
      <x:c r="F11" s="24" t="n">
        <x:f>F5*Assumptions!E9</x:f>
        <x:v>33106.439871999995</x:v>
      </x:c>
      <x:c r="G11" s="24" t="n">
        <x:f>G5*Assumptions!F9</x:f>
        <x:v>35196.28388892</x:v>
      </x:c>
      <x:c r="H11" s="24" t="n">
        <x:f>H5*Assumptions!G9</x:f>
        <x:v>37062.2456062056</x:v>
      </x:c>
      <x:c r="I11" s="24" t="n">
        <x:f>I5*Assumptions!H9</x:f>
        <x:v>38652.33549834281</x:v>
      </x:c>
    </x:row>
    <x:row r="12">
      <x:c r="A12" t="str">
        <x:v>Operating Expenses</x:v>
      </x:c>
      <x:c r="B12" s="24" t="n">
        <x:v>54847</x:v>
      </x:c>
      <x:c r="C12" s="24" t="n">
        <x:v>57467</x:v>
      </x:c>
      <x:c r="D12" s="24" t="n">
        <x:v>62151</x:v>
      </x:c>
      <x:c r="E12" s="24" t="n">
        <x:f>SUM(E10:E11)</x:f>
        <x:v>69598.76564</x:v>
      </x:c>
      <x:c r="F12" s="24" t="n">
        <x:f>SUM(F10:F11)</x:f>
        <x:v>76041.354081</x:v>
      </x:c>
      <x:c r="G12" s="24" t="n">
        <x:f>SUM(G10:G11)</x:f>
        <x:v>81007.32006180001</x:v>
      </x:c>
      <x:c r="H12" s="24" t="n">
        <x:f>SUM(H10:H11)</x:f>
        <x:v>86080.05431118721</x:v>
      </x:c>
      <x:c r="I12" s="24" t="n">
        <x:f>SUM(I10:I11)</x:f>
        <x:v>89977.56788138818</x:v>
      </x:c>
    </x:row>
    <x:row r="13">
      <x:c r="A13" s="30" t="str">
        <x:v>Operating Income</x:v>
      </x:c>
      <x:c r="B13" s="31" t="n">
        <x:v>114301</x:v>
      </x:c>
      <x:c r="C13" s="31" t="n">
        <x:v>123216</x:v>
      </x:c>
      <x:c r="D13" s="31" t="n">
        <x:v>133050</x:v>
      </x:c>
      <x:c r="E13" s="31" t="n">
        <x:f>E8-E12</x:f>
        <x:v>163180.88970999996</x:v>
      </x:c>
      <x:c r="F13" s="31" t="n">
        <x:f>F8-F12</x:f>
        <x:v>180016.26680399998</x:v>
      </x:c>
      <x:c r="G13" s="31" t="n">
        <x:f>G8-G12</x:f>
        <x:v>193858.89697547996</x:v>
      </x:c>
      <x:c r="H13" s="31" t="n">
        <x:f>H8-H12</x:f>
        <x:v>206831.24160882478</x:v>
      </x:c>
      <x:c r="I13" s="31" t="n">
        <x:f>I8-I12</x:f>
        <x:v>219241.11610535427</x:v>
      </x:c>
    </x:row>
    <x:row r="14">
      <x:c r="A14" t="str">
        <x:v>Operating Margin</x:v>
      </x:c>
      <x:c r="B14" s="20" t="n">
        <x:f>B13/B5</x:f>
        <x:v>0.2982141226502472</x:v>
      </x:c>
      <x:c r="C14" s="20" t="n">
        <x:f>C13/C5</x:f>
        <x:v>0.31510222870075566</x:v>
      </x:c>
      <x:c r="D14" s="20" t="n">
        <x:f>D13/D5</x:f>
        <x:v>0.31970799762591884</x:v>
      </x:c>
      <x:c r="E14" s="20" t="n">
        <x:f>E13/E5</x:f>
        <x:v>0.347</x:v>
      </x:c>
      <x:c r="F14" s="20" t="n">
        <x:f>F13/F5</x:f>
        <x:v>0.348</x:v>
      </x:c>
      <x:c r="G14" s="20" t="n">
        <x:f>G13/G5</x:f>
        <x:v>0.3469999999999999</x:v>
      </x:c>
      <x:c r="H14" s="20" t="n">
        <x:f>H13/H5</x:f>
        <x:v>0.346</x:v>
      </x:c>
      <x:c r="I14" s="20" t="n">
        <x:f>I13/I5</x:f>
        <x:v>0.346</x:v>
      </x:c>
    </x:row>
    <x:row r="15">
      <x:c r="A15" t="str">
        <x:v>Other Income / (Expense)</x:v>
      </x:c>
      <x:c r="B15" s="24" t="n">
        <x:v>-565</x:v>
      </x:c>
      <x:c r="C15" s="24" t="n">
        <x:v>-134</x:v>
      </x:c>
      <x:c r="D15" s="24" t="n">
        <x:v>-321</x:v>
      </x:c>
      <x:c r="E15" s="24" t="n">
        <x:f>'Debt &amp; Capital'!E11</x:f>
        <x:v>1248.1542205000005</x:v>
      </x:c>
      <x:c r="F15" s="24" t="n">
        <x:f>'Debt &amp; Capital'!F11</x:f>
        <x:v>1662.3759225499998</x:v>
      </x:c>
      <x:c r="G15" s="24" t="n">
        <x:f>'Debt &amp; Capital'!G11</x:f>
        <x:v>1757.745041954</x:v>
      </x:c>
      <x:c r="H15" s="24" t="n">
        <x:f>'Debt &amp; Capital'!H11</x:f>
        <x:v>1860.0956699707795</x:v>
      </x:c>
      <x:c r="I15" s="24" t="n">
        <x:f>'Debt &amp; Capital'!I11</x:f>
        <x:v>1949.354563255426</x:v>
      </x:c>
    </x:row>
    <x:row r="16">
      <x:c r="A16" s="30" t="str">
        <x:v>Pre-Tax Income</x:v>
      </x:c>
      <x:c r="B16" s="31" t="n">
        <x:v>113736</x:v>
      </x:c>
      <x:c r="C16" s="31" t="n">
        <x:v>123082</x:v>
      </x:c>
      <x:c r="D16" s="31" t="n">
        <x:v>132729</x:v>
      </x:c>
      <x:c r="E16" s="31" t="n">
        <x:f>E13+E15</x:f>
        <x:v>164429.04393049996</x:v>
      </x:c>
      <x:c r="F16" s="31" t="n">
        <x:f>F13+F15</x:f>
        <x:v>181678.64272655</x:v>
      </x:c>
      <x:c r="G16" s="31" t="n">
        <x:f>G13+G15</x:f>
        <x:v>195616.64201743397</x:v>
      </x:c>
      <x:c r="H16" s="31" t="n">
        <x:f>H13+H15</x:f>
        <x:v>208691.33727879557</x:v>
      </x:c>
      <x:c r="I16" s="31" t="n">
        <x:f>I13+I15</x:f>
        <x:v>221190.4706686097</x:v>
      </x:c>
    </x:row>
    <x:row r="17">
      <x:c r="A17" t="str">
        <x:v>Taxes</x:v>
      </x:c>
      <x:c r="B17" s="24" t="n">
        <x:v>16741</x:v>
      </x:c>
      <x:c r="C17" s="24" t="n">
        <x:v>29749</x:v>
      </x:c>
      <x:c r="D17" s="24" t="n">
        <x:v>20719</x:v>
      </x:c>
      <x:c r="E17" s="24" t="n">
        <x:f>E16*Assumptions!D10</x:f>
        <x:v>26308.647028879994</x:v>
      </x:c>
      <x:c r="F17" s="24" t="n">
        <x:f>F16*Assumptions!E10</x:f>
        <x:v>29068.582836248</x:v>
      </x:c>
      <x:c r="G17" s="24" t="n">
        <x:f>G16*Assumptions!F10</x:f>
        <x:v>31298.662722789435</x:v>
      </x:c>
      <x:c r="H17" s="24" t="n">
        <x:f>H16*Assumptions!G10</x:f>
        <x:v>33390.61396460729</x:v>
      </x:c>
      <x:c r="I17" s="24" t="n">
        <x:f>I16*Assumptions!H10</x:f>
        <x:v>35390.475306977554</x:v>
      </x:c>
    </x:row>
    <x:row r="18">
      <x:c r="A18" t="str">
        <x:v>Tax Rate</x:v>
      </x:c>
      <x:c r="B18" s="20" t="n">
        <x:f>B17/B16</x:f>
        <x:v>0.14719174228036858</x:v>
      </x:c>
      <x:c r="C18" s="20" t="n">
        <x:f>C17/C16</x:f>
        <x:v>0.24170065484798753</x:v>
      </x:c>
      <x:c r="D18" s="20" t="n">
        <x:f>D17/D16</x:f>
        <x:v>0.15610002335586043</x:v>
      </x:c>
      <x:c r="E18" s="20" t="n">
        <x:f>E17/E16</x:f>
        <x:v>0.16</x:v>
      </x:c>
      <x:c r="F18" s="20" t="n">
        <x:f>F17/F16</x:f>
        <x:v>0.16</x:v>
      </x:c>
      <x:c r="G18" s="20" t="n">
        <x:f>G17/G16</x:f>
        <x:v>0.16</x:v>
      </x:c>
      <x:c r="H18" s="20" t="n">
        <x:f>H17/H16</x:f>
        <x:v>0.16</x:v>
      </x:c>
      <x:c r="I18" s="20" t="n">
        <x:f>I17/I16</x:f>
        <x:v>0.16</x:v>
      </x:c>
    </x:row>
    <x:row r="19">
      <x:c r="A19" s="30" t="str">
        <x:v>Net Income</x:v>
      </x:c>
      <x:c r="B19" s="31" t="n">
        <x:v>96995</x:v>
      </x:c>
      <x:c r="C19" s="31" t="n">
        <x:v>93736</x:v>
      </x:c>
      <x:c r="D19" s="31" t="n">
        <x:v>112010</x:v>
      </x:c>
      <x:c r="E19" s="31" t="n">
        <x:f>E16-E17</x:f>
        <x:v>138120.39690161997</x:v>
      </x:c>
      <x:c r="F19" s="31" t="n">
        <x:f>F16-F17</x:f>
        <x:v>152610.05989030199</x:v>
      </x:c>
      <x:c r="G19" s="31" t="n">
        <x:f>G16-G17</x:f>
        <x:v>164317.97929464455</x:v>
      </x:c>
      <x:c r="H19" s="31" t="n">
        <x:f>H16-H17</x:f>
        <x:v>175300.72331418828</x:v>
      </x:c>
      <x:c r="I19" s="31" t="n">
        <x:f>I16-I17</x:f>
        <x:v>185799.99536163214</x:v>
      </x:c>
    </x:row>
    <x:row r="20">
      <x:c r="A20" t="str">
        <x:v>Diluted Shares (mm)</x:v>
      </x:c>
      <x:c r="B20" s="26" t="n">
        <x:v>15812</x:v>
      </x:c>
      <x:c r="C20" s="26" t="n">
        <x:v>15204</x:v>
      </x:c>
      <x:c r="D20" s="26" t="n">
        <x:v>14948</x:v>
      </x:c>
      <x:c r="E20" s="26" t="n">
        <x:f>'Debt &amp; Capital'!E18</x:f>
        <x:v>14695.76533304649</x:v>
      </x:c>
      <x:c r="F20" s="26" t="n">
        <x:f>'Debt &amp; Capital'!F18</x:f>
        <x:v>14416.839015584168</x:v>
      </x:c>
      <x:c r="G20" s="26" t="n">
        <x:f>'Debt &amp; Capital'!G18</x:f>
        <x:v>14114.821607153639</x:v>
      </x:c>
      <x:c r="H20" s="26" t="n">
        <x:f>'Debt &amp; Capital'!H18</x:f>
        <x:v>13792.788594950316</x:v>
      </x:c>
      <x:c r="I20" s="26" t="n">
        <x:f>'Debt &amp; Capital'!I18</x:f>
        <x:v>13449.362123795392</x:v>
      </x:c>
    </x:row>
    <x:row r="21">
      <x:c r="A21" t="str">
        <x:v>Diluted EPS</x:v>
      </x:c>
      <x:c r="B21" s="28" t="n">
        <x:v>6.13</x:v>
      </x:c>
      <x:c r="C21" s="28" t="n">
        <x:v>6.16</x:v>
      </x:c>
      <x:c r="D21" s="28" t="n">
        <x:v>7.49</x:v>
      </x:c>
      <x:c r="E21" s="28" t="n">
        <x:f>E19/E20</x:f>
        <x:v>9.398652861653112</x:v>
      </x:c>
      <x:c r="F21" s="28" t="n">
        <x:f>F19/F20</x:f>
        <x:v>10.585542345678904</x:v>
      </x:c>
      <x:c r="G21" s="28" t="n">
        <x:f>G19/G20</x:f>
        <x:v>11.641520089163954</x:v>
      </x:c>
      <x:c r="H21" s="28" t="n">
        <x:f>H19/H20</x:f>
        <x:v>12.70959256044624</x:v>
      </x:c>
      <x:c r="I21" s="28" t="n">
        <x:f>I19/I20</x:f>
        <x:v>13.814781225416185</x:v>
      </x:c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27" customHeight="1">
      <x:c r="A1" s="3" t="str">
        <x:v>Apple Inc. — Balance Sheet ($mm)</x:v>
      </x:c>
      <x:c r="B1" s="3"/>
      <x:c r="C1" s="3"/>
      <x:c r="D1" s="3"/>
      <x:c r="E1" s="3"/>
      <x:c r="F1" s="3"/>
      <x:c r="G1" s="3"/>
      <x:c r="H1" s="3"/>
      <x:c r="I1" s="3"/>
    </x:row>
    <x:row r="3">
      <x:c r="A3" s="8"/>
      <x:c r="B3" s="8" t="str">
        <x:v>2023A</x:v>
      </x:c>
      <x:c r="C3" s="8" t="str">
        <x:v>2024A</x:v>
      </x:c>
      <x:c r="D3" s="8" t="str">
        <x:v>2025A</x:v>
      </x:c>
      <x:c r="E3" s="8" t="str">
        <x:v>2026E</x:v>
      </x:c>
      <x:c r="F3" s="8" t="str">
        <x:v>2027E</x:v>
      </x:c>
      <x:c r="G3" s="8" t="str">
        <x:v>2028E</x:v>
      </x:c>
      <x:c r="H3" s="8" t="str">
        <x:v>2029E</x:v>
      </x:c>
      <x:c r="I3" s="8" t="str">
        <x:v>2030E</x:v>
      </x:c>
    </x:row>
    <x:row r="5">
      <x:c r="A5" t="str">
        <x:v>Cash &amp; Cash Equivalents</x:v>
      </x:c>
      <x:c r="B5" s="24" t="n">
        <x:v>29965</x:v>
      </x:c>
      <x:c r="C5" s="24" t="n">
        <x:v>29943</x:v>
      </x:c>
      <x:c r="D5" s="24" t="n">
        <x:v>35934</x:v>
      </x:c>
      <x:c r="E5" s="24" t="n">
        <x:f>'Cash Flow'!E22</x:f>
        <x:v>-5684.635746109809</x:v>
      </x:c>
      <x:c r="F5" s="24" t="n">
        <x:f>'Cash Flow'!F22</x:f>
        <x:v>49450.28089130866</x:v>
      </x:c>
      <x:c r="G5" s="24" t="n">
        <x:f>'Cash Flow'!G22</x:f>
        <x:v>107196.05993675963</x:v>
      </x:c>
      <x:c r="H5" s="24" t="n">
        <x:f>'Cash Flow'!H22</x:f>
        <x:v>167847.65491070467</x:v>
      </x:c>
      <x:c r="I5" s="24" t="n">
        <x:f>'Cash Flow'!I22</x:f>
        <x:v>230555.98479489124</x:v>
      </x:c>
    </x:row>
    <x:row r="6">
      <x:c r="A6" t="str">
        <x:v>Marketable Securities</x:v>
      </x:c>
      <x:c r="B6" s="24" t="n">
        <x:v>31590</x:v>
      </x:c>
      <x:c r="C6" s="24" t="n">
        <x:v>35228</x:v>
      </x:c>
      <x:c r="D6" s="24" t="n">
        <x:v>18763</x:v>
      </x:c>
      <x:c r="E6" s="24" t="n">
        <x:f>'Income Statement'!E5*Assumptions!D24</x:f>
        <x:v>110511.55354999998</x:v>
      </x:c>
      <x:c r="F6" s="24" t="n">
        <x:f>'Income Statement'!F5*Assumptions!E24</x:f>
        <x:v>121562.70890499998</x:v>
      </x:c>
      <x:c r="G6" s="24" t="n">
        <x:f>'Income Statement'!G5*Assumptions!F24</x:f>
        <x:v>131287.7256174</x:v>
      </x:c>
      <x:c r="H6" s="24" t="n">
        <x:f>'Income Statement'!H5*Assumptions!G24</x:f>
        <x:v>140477.866410618</x:v>
      </x:c>
      <x:c r="I6" s="24" t="n">
        <x:f>'Income Statement'!I5*Assumptions!H24</x:f>
        <x:v>148906.53839525508</x:v>
      </x:c>
    </x:row>
    <x:row r="7">
      <x:c r="A7" t="str">
        <x:v>Accounts Receivable</x:v>
      </x:c>
      <x:c r="B7" s="24" t="n">
        <x:v>29508</x:v>
      </x:c>
      <x:c r="C7" s="24" t="n">
        <x:v>33410</x:v>
      </x:c>
      <x:c r="D7" s="24" t="n">
        <x:v>39777</x:v>
      </x:c>
      <x:c r="E7" s="24" t="n">
        <x:f>'Working Capital'!E5</x:f>
        <x:v>35269.64474999999</x:v>
      </x:c>
      <x:c r="F7" s="24" t="n">
        <x:f>'Working Capital'!F5</x:f>
        <x:v>38796.60922499999</x:v>
      </x:c>
      <x:c r="G7" s="24" t="n">
        <x:f>'Working Capital'!G5</x:f>
        <x:v>41900.337963</x:v>
      </x:c>
      <x:c r="H7" s="24" t="n">
        <x:f>'Working Capital'!H5</x:f>
        <x:v>44833.36162041</x:v>
      </x:c>
      <x:c r="I7" s="24" t="n">
        <x:f>'Working Capital'!I5</x:f>
        <x:v>47523.3633176346</x:v>
      </x:c>
    </x:row>
    <x:row r="8">
      <x:c r="A8" t="str">
        <x:v>Inventory</x:v>
      </x:c>
      <x:c r="B8" s="24" t="n">
        <x:v>6331</x:v>
      </x:c>
      <x:c r="C8" s="24" t="n">
        <x:v>7286</x:v>
      </x:c>
      <x:c r="D8" s="24" t="n">
        <x:v>5718</x:v>
      </x:c>
      <x:c r="E8" s="24" t="n">
        <x:f>'Working Capital'!E6</x:f>
        <x:v>6649.503690199999</x:v>
      </x:c>
      <x:c r="F8" s="24" t="n">
        <x:f>'Working Capital'!F6</x:f>
        <x:v>7314.454059219999</x:v>
      </x:c>
      <x:c r="G8" s="24" t="n">
        <x:f>'Working Capital'!G6</x:f>
        <x:v>7946.5387624761615</x:v>
      </x:c>
      <x:c r="H8" s="24" t="n">
        <x:f>'Working Capital'!H6</x:f>
        <x:v>8536.272052526065</x:v>
      </x:c>
      <x:c r="I8" s="24" t="n">
        <x:f>'Working Capital'!I6</x:f>
        <x:v>9083.932486954796</x:v>
      </x:c>
    </x:row>
    <x:row r="9">
      <x:c r="A9" t="str">
        <x:v>Other Current Assets</x:v>
      </x:c>
      <x:c r="B9" s="24" t="n">
        <x:v>14695</x:v>
      </x:c>
      <x:c r="C9" s="24" t="n">
        <x:v>14287</x:v>
      </x:c>
      <x:c r="D9" s="24" t="n">
        <x:v>14585</x:v>
      </x:c>
      <x:c r="E9" s="24" t="n">
        <x:f>'Working Capital'!E7</x:f>
        <x:v>16459.16755</x:v>
      </x:c>
      <x:c r="F9" s="24" t="n">
        <x:f>'Working Capital'!F7</x:f>
        <x:v>18105.084305</x:v>
      </x:c>
      <x:c r="G9" s="24" t="n">
        <x:f>'Working Capital'!G7</x:f>
        <x:v>19553.491049400003</x:v>
      </x:c>
      <x:c r="H9" s="24" t="n">
        <x:f>'Working Capital'!H7</x:f>
        <x:v>20922.235422858004</x:v>
      </x:c>
      <x:c r="I9" s="24" t="n">
        <x:f>'Working Capital'!I7</x:f>
        <x:v>22177.569548229483</x:v>
      </x:c>
    </x:row>
    <x:row r="10">
      <x:c r="A10" s="30" t="str">
        <x:v>Total Current Assets</x:v>
      </x:c>
      <x:c r="B10" s="31" t="n">
        <x:v>112089</x:v>
      </x:c>
      <x:c r="C10" s="31" t="n">
        <x:v>152987</x:v>
      </x:c>
      <x:c r="D10" s="31" t="n">
        <x:v>147957</x:v>
      </x:c>
      <x:c r="E10" s="31" t="n">
        <x:f>SUM(E5:E9)</x:f>
        <x:v>163205.23379409016</x:v>
      </x:c>
      <x:c r="F10" s="31" t="n">
        <x:f>SUM(F5:F9)</x:f>
        <x:v>235229.13738552862</x:v>
      </x:c>
      <x:c r="G10" s="31" t="n">
        <x:f>SUM(G5:G9)</x:f>
        <x:v>307884.1533290358</x:v>
      </x:c>
      <x:c r="H10" s="31" t="n">
        <x:f>SUM(H5:H9)</x:f>
        <x:v>382617.3904171167</x:v>
      </x:c>
      <x:c r="I10" s="31" t="n">
        <x:f>SUM(I5:I9)</x:f>
        <x:v>458247.3885429652</x:v>
      </x:c>
    </x:row>
    <x:row r="11">
      <x:c r="A11" t="str">
        <x:v>PP&amp;E, Net</x:v>
      </x:c>
      <x:c r="B11" s="24" t="n">
        <x:v>43715</x:v>
      </x:c>
      <x:c r="C11" s="24" t="n">
        <x:v>45680</x:v>
      </x:c>
      <x:c r="D11" s="24" t="n">
        <x:v>49834</x:v>
      </x:c>
      <x:c r="E11" s="24" t="n">
        <x:f>D11+'Cash Flow'!E10-'Income Statement'!E5*Assumptions!D11</x:f>
        <x:v>214153.90728616994</x:v>
      </x:c>
      <x:c r="F11" s="24" t="n">
        <x:f>E11+'Cash Flow'!F10-'Income Statement'!F5*Assumptions!E11</x:f>
        <x:v>392013.976114927</x:v>
      </x:c>
      <x:c r="G11" s="24" t="n">
        <x:f>F11+'Cash Flow'!G10-'Income Statement'!G5*Assumptions!F11</x:f>
        <x:v>581578.0367203872</x:v>
      </x:c>
      <x:c r="H11" s="24" t="n">
        <x:f>G11+'Cash Flow'!H10-'Income Statement'!H5*Assumptions!G11</x:f>
        <x:v>782683.7256409377</x:v>
      </x:c>
      <x:c r="I11" s="24" t="n">
        <x:f>H11+'Cash Flow'!I10-'Income Statement'!I5*Assumptions!H11</x:f>
        <x:v>994063.0308304202</x:v>
      </x:c>
    </x:row>
    <x:row r="12">
      <x:c r="A12" t="str">
        <x:v>Intangible Assets, Net</x:v>
      </x:c>
      <x:c r="B12" s="24"/>
      <x:c r="C12" s="24"/>
      <x:c r="D12" s="24" t="n">
        <x:v>11093</x:v>
      </x:c>
      <x:c r="E12" s="24" t="n">
        <x:f>D12</x:f>
        <x:v>11093</x:v>
      </x:c>
      <x:c r="F12" s="24" t="n">
        <x:f>E12</x:f>
        <x:v>11093</x:v>
      </x:c>
      <x:c r="G12" s="24" t="n">
        <x:f>F12</x:f>
        <x:v>11093</x:v>
      </x:c>
      <x:c r="H12" s="24" t="n">
        <x:f>G12</x:f>
        <x:v>11093</x:v>
      </x:c>
      <x:c r="I12" s="24" t="n">
        <x:f>H12</x:f>
        <x:v>11093</x:v>
      </x:c>
    </x:row>
    <x:row r="13">
      <x:c r="A13" t="str">
        <x:v>Other Noncurrent Assets</x:v>
      </x:c>
      <x:c r="B13" s="24" t="n">
        <x:v>64758</x:v>
      </x:c>
      <x:c r="C13" s="24" t="n">
        <x:v>74939</x:v>
      </x:c>
      <x:c r="D13" s="24" t="n">
        <x:v>72634</x:v>
      </x:c>
      <x:c r="E13" s="24" t="n">
        <x:f>'Income Statement'!E5*Assumptions!D22</x:f>
        <x:v>84647.14739999999</x:v>
      </x:c>
      <x:c r="F13" s="24" t="n">
        <x:f>'Income Statement'!F5*Assumptions!E22</x:f>
        <x:v>93111.86213999998</x:v>
      </x:c>
      <x:c r="G13" s="24" t="n">
        <x:f>'Income Statement'!G5*Assumptions!F22</x:f>
        <x:v>100560.8111112</x:v>
      </x:c>
      <x:c r="H13" s="24" t="n">
        <x:f>'Income Statement'!H5*Assumptions!G22</x:f>
        <x:v>107600.067888984</x:v>
      </x:c>
      <x:c r="I13" s="24" t="n">
        <x:f>'Income Statement'!I5*Assumptions!H22</x:f>
        <x:v>114056.07196232304</x:v>
      </x:c>
    </x:row>
    <x:row r="14">
      <x:c r="A14" s="30" t="str">
        <x:v>Total Assets</x:v>
      </x:c>
      <x:c r="B14" s="31" t="n">
        <x:v>352583</x:v>
      </x:c>
      <x:c r="C14" s="31" t="n">
        <x:v>364980</x:v>
      </x:c>
      <x:c r="D14" s="31" t="n">
        <x:v>359241</x:v>
      </x:c>
      <x:c r="E14" s="31" t="n">
        <x:f>E10+SUM(E11:E13)</x:f>
        <x:v>473099.2884802601</x:v>
      </x:c>
      <x:c r="F14" s="31" t="n">
        <x:f>F10+SUM(F11:F13)</x:f>
        <x:v>731447.9756404556</x:v>
      </x:c>
      <x:c r="G14" s="31" t="n">
        <x:f>G10+SUM(G11:G13)</x:f>
        <x:v>1001116.001160623</x:v>
      </x:c>
      <x:c r="H14" s="31" t="n">
        <x:f>H10+SUM(H11:H13)</x:f>
        <x:v>1283994.1839470384</x:v>
      </x:c>
      <x:c r="I14" s="31" t="n">
        <x:f>I10+SUM(I11:I13)</x:f>
        <x:v>1577459.4913357082</x:v>
      </x:c>
    </x:row>
    <x:row r="15">
      <x:c r="A15" t="str">
        <x:v>Accounts Payable</x:v>
      </x:c>
      <x:c r="B15" s="24" t="n">
        <x:v>62611</x:v>
      </x:c>
      <x:c r="C15" s="24" t="n">
        <x:v>68960</x:v>
      </x:c>
      <x:c r="D15" s="24" t="n">
        <x:v>69860</x:v>
      </x:c>
      <x:c r="E15" s="24" t="n">
        <x:f>'Working Capital'!E8</x:f>
        <x:v>74806.91651474999</x:v>
      </x:c>
      <x:c r="F15" s="24" t="n">
        <x:f>'Working Capital'!F8</x:f>
        <x:v>82287.60816622499</x:v>
      </x:c>
      <x:c r="G15" s="24" t="n">
        <x:f>'Working Capital'!G8</x:f>
        <x:v>89398.56107785681</x:v>
      </x:c>
      <x:c r="H15" s="24" t="n">
        <x:f>'Working Capital'!H8</x:f>
        <x:v>96033.06059091823</x:v>
      </x:c>
      <x:c r="I15" s="24" t="n">
        <x:f>'Working Capital'!I8</x:f>
        <x:v>102194.24047824145</x:v>
      </x:c>
    </x:row>
    <x:row r="16">
      <x:c r="A16" t="str">
        <x:v>Other Current Liabilities</x:v>
      </x:c>
      <x:c r="B16" s="24" t="n">
        <x:v>58829</x:v>
      </x:c>
      <x:c r="C16" s="24" t="n">
        <x:v>78304</x:v>
      </x:c>
      <x:c r="D16" s="24" t="n">
        <x:v>66387</x:v>
      </x:c>
      <x:c r="E16" s="24" t="n">
        <x:f>'Working Capital'!E9</x:f>
        <x:v>70539.28949999998</x:v>
      </x:c>
      <x:c r="F16" s="24" t="n">
        <x:f>'Working Capital'!F9</x:f>
        <x:v>77593.21844999999</x:v>
      </x:c>
      <x:c r="G16" s="24" t="n">
        <x:f>'Working Capital'!G9</x:f>
        <x:v>83800.675926</x:v>
      </x:c>
      <x:c r="H16" s="24" t="n">
        <x:f>'Working Capital'!H9</x:f>
        <x:v>89666.72324082</x:v>
      </x:c>
      <x:c r="I16" s="24" t="n">
        <x:f>'Working Capital'!I9</x:f>
        <x:v>95046.7266352692</x:v>
      </x:c>
    </x:row>
    <x:row r="17">
      <x:c r="A17" t="str">
        <x:v>Deferred Revenue</x:v>
      </x:c>
      <x:c r="B17" s="24" t="n">
        <x:v>8061</x:v>
      </x:c>
      <x:c r="C17" s="24" t="n">
        <x:v>8249</x:v>
      </x:c>
      <x:c r="D17" s="24" t="n">
        <x:v>9055</x:v>
      </x:c>
      <x:c r="E17" s="24" t="n">
        <x:f>'Working Capital'!E10</x:f>
        <x:v>10345.762459999998</x:v>
      </x:c>
      <x:c r="F17" s="24" t="n">
        <x:f>'Working Capital'!F10</x:f>
        <x:v>11380.338705999999</x:v>
      </x:c>
      <x:c r="G17" s="24" t="n">
        <x:f>'Working Capital'!G10</x:f>
        <x:v>12290.76580248</x:v>
      </x:c>
      <x:c r="H17" s="24" t="n">
        <x:f>'Working Capital'!H10</x:f>
        <x:v>13151.1194086536</x:v>
      </x:c>
      <x:c r="I17" s="24" t="n">
        <x:f>'Working Capital'!I10</x:f>
        <x:v>13940.186573172816</x:v>
      </x:c>
    </x:row>
    <x:row r="18">
      <x:c r="A18" t="str">
        <x:v>Commercial Paper &amp; Current Debt</x:v>
      </x:c>
      <x:c r="B18" s="24" t="n">
        <x:v>15807</x:v>
      </x:c>
      <x:c r="C18" s="24" t="n">
        <x:v>20879</x:v>
      </x:c>
      <x:c r="D18" s="24" t="n">
        <x:v>20329</x:v>
      </x:c>
      <x:c r="E18" s="24" t="n">
        <x:f>0.20*'Debt &amp; Capital'!E7</x:f>
        <x:v>18810.4772</x:v>
      </x:c>
      <x:c r="F18" s="24" t="n">
        <x:f>0.20*'Debt &amp; Capital'!F7</x:f>
        <x:v>20691.52492</x:v>
      </x:c>
      <x:c r="G18" s="24" t="n">
        <x:f>0.20*'Debt &amp; Capital'!G7</x:f>
        <x:v>22346.846913600006</x:v>
      </x:c>
      <x:c r="H18" s="24" t="n">
        <x:f>0.20*'Debt &amp; Capital'!H7</x:f>
        <x:v>23911.126197552003</x:v>
      </x:c>
      <x:c r="I18" s="24" t="n">
        <x:f>0.20*'Debt &amp; Capital'!I7</x:f>
        <x:v>25345.79376940512</x:v>
      </x:c>
    </x:row>
    <x:row r="19">
      <x:c r="A19" t="str">
        <x:v>Other Noncurrent Liabilities</x:v>
      </x:c>
      <x:c r="B19" s="24" t="n">
        <x:v>49848</x:v>
      </x:c>
      <x:c r="C19" s="24" t="n">
        <x:v>45888</x:v>
      </x:c>
      <x:c r="D19" s="24" t="n">
        <x:v>41549</x:v>
      </x:c>
      <x:c r="E19" s="24" t="n">
        <x:f>E14-SUM(E15:E18)-E20-SUM(E22:E24)</x:f>
        <x:v>-8290.956542219647</x:v>
      </x:c>
      <x:c r="F19" s="24" t="n">
        <x:f>F14-SUM(F15:F18)-F20-SUM(F22:F24)</x:f>
        <x:v>106404.8724815076</x:v>
      </x:c>
      <x:c r="G19" s="24" t="n">
        <x:f>G14-SUM(G15:G18)-G20-SUM(G22:G24)</x:f>
        <x:v>280244.0671793184</x:v>
      </x:c>
      <x:c r="H19" s="24" t="n">
        <x:f>H14-SUM(H15:H18)-H20-SUM(H22:H24)</x:f>
        <x:v>517151.3182152097</x:v>
      </x:c>
      <x:c r="I19" s="24" t="n">
        <x:f>I14-SUM(I15:I18)-I20-SUM(I22:I24)</x:f>
        <x:v>818126.9710929978</x:v>
      </x:c>
    </x:row>
    <x:row r="20">
      <x:c r="A20" t="str">
        <x:v>Long-Term Debt</x:v>
      </x:c>
      <x:c r="B20" s="24" t="n">
        <x:v>95281</x:v>
      </x:c>
      <x:c r="C20" s="24" t="n">
        <x:v>85750</x:v>
      </x:c>
      <x:c r="D20" s="24" t="n">
        <x:v>78328</x:v>
      </x:c>
      <x:c r="E20" s="24" t="n">
        <x:f>0.80*'Debt &amp; Capital'!E7</x:f>
        <x:v>75241.9088</x:v>
      </x:c>
      <x:c r="F20" s="24" t="n">
        <x:f>0.80*'Debt &amp; Capital'!F7</x:f>
        <x:v>82766.09968</x:v>
      </x:c>
      <x:c r="G20" s="24" t="n">
        <x:f>0.80*'Debt &amp; Capital'!G7</x:f>
        <x:v>89387.38765440002</x:v>
      </x:c>
      <x:c r="H20" s="24" t="n">
        <x:f>0.80*'Debt &amp; Capital'!H7</x:f>
        <x:v>95644.50479020801</x:v>
      </x:c>
      <x:c r="I20" s="24" t="n">
        <x:f>0.80*'Debt &amp; Capital'!I7</x:f>
        <x:v>101383.17507762049</x:v>
      </x:c>
    </x:row>
    <x:row r="21">
      <x:c r="A21" s="30" t="str">
        <x:v>Total Liabilities</x:v>
      </x:c>
      <x:c r="B21" s="31" t="n">
        <x:v>290437</x:v>
      </x:c>
      <x:c r="C21" s="31" t="n">
        <x:v>308030</x:v>
      </x:c>
      <x:c r="D21" s="31" t="n">
        <x:v>285508</x:v>
      </x:c>
      <x:c r="E21" s="31" t="n">
        <x:f>SUM(E15:E20)</x:f>
        <x:v>241453.39793253032</x:v>
      </x:c>
      <x:c r="F21" s="31" t="n">
        <x:f>SUM(F15:F20)</x:f>
        <x:v>381123.66240373254</x:v>
      </x:c>
      <x:c r="G21" s="31" t="n">
        <x:f>SUM(G15:G20)</x:f>
        <x:v>577468.3045536552</x:v>
      </x:c>
      <x:c r="H21" s="31" t="n">
        <x:f>SUM(H15:H20)</x:f>
        <x:v>835557.8524433617</x:v>
      </x:c>
      <x:c r="I21" s="31" t="n">
        <x:f>SUM(I15:I20)</x:f>
        <x:v>1156037.0936267069</x:v>
      </x:c>
    </x:row>
    <x:row r="22">
      <x:c r="A22" t="str">
        <x:v>Common Stock / APIC</x:v>
      </x:c>
      <x:c r="B22" s="24" t="n">
        <x:v>73812</x:v>
      </x:c>
      <x:c r="C22" s="24" t="n">
        <x:v>83276</x:v>
      </x:c>
      <x:c r="D22" s="24" t="n">
        <x:v>93568</x:v>
      </x:c>
      <x:c r="E22" s="24" t="n">
        <x:f>D22+'Income Statement'!E5*Assumptions!D13</x:f>
        <x:v>107675.8579</x:v>
      </x:c>
      <x:c r="F22" s="24" t="n">
        <x:f>E22+'Income Statement'!F5*Assumptions!E13</x:f>
        <x:v>123194.50159</x:v>
      </x:c>
      <x:c r="G22" s="24" t="n">
        <x:f>F22+'Income Statement'!G5*Assumptions!F13</x:f>
        <x:v>139395.96560236</x:v>
      </x:c>
      <x:c r="H22" s="24" t="n">
        <x:f>G22+'Income Statement'!H5*Assumptions!G13</x:f>
        <x:v>156731.5320955852</x:v>
      </x:c>
      <x:c r="I22" s="24" t="n">
        <x:f>H22+'Income Statement'!I5*Assumptions!H13</x:f>
        <x:v>174473.58773416877</x:v>
      </x:c>
    </x:row>
    <x:row r="23">
      <x:c r="A23" t="str">
        <x:v>Retained Earnings / Accum. Deficit</x:v>
      </x:c>
      <x:c r="B23" s="24" t="n">
        <x:v>-214</x:v>
      </x:c>
      <x:c r="C23" s="24" t="n">
        <x:v>-19154</x:v>
      </x:c>
      <x:c r="D23" s="24" t="n">
        <x:v>-14264</x:v>
      </x:c>
      <x:c r="E23" s="24" t="n">
        <x:f>D23+'Income Statement'!E19-'Cash Flow'!E20-'Cash Flow'!E21</x:f>
        <x:v>129541.0326477298</x:v>
      </x:c>
      <x:c r="F23" s="24" t="n">
        <x:f>E23+'Income Statement'!F19-'Cash Flow'!F20-'Cash Flow'!F21</x:f>
        <x:v>232700.81164672307</x:v>
      </x:c>
      <x:c r="G23" s="24" t="n">
        <x:f>F23+'Income Statement'!G19-'Cash Flow'!G20-'Cash Flow'!G21</x:f>
        <x:v>289822.731004608</x:v>
      </x:c>
      <x:c r="H23" s="24" t="n">
        <x:f>G23+'Income Statement'!H19-'Cash Flow'!H20-'Cash Flow'!H21</x:f>
        <x:v>297275.7994080916</x:v>
      </x:c>
      <x:c r="I23" s="24" t="n">
        <x:f>H23+'Income Statement'!I19-'Cash Flow'!I20-'Cash Flow'!I21</x:f>
        <x:v>252519.8099748325</x:v>
      </x:c>
    </x:row>
    <x:row r="24">
      <x:c r="A24" t="str">
        <x:v>AOCI</x:v>
      </x:c>
      <x:c r="B24" s="24" t="n">
        <x:v>-11452</x:v>
      </x:c>
      <x:c r="C24" s="24" t="n">
        <x:v>-7172</x:v>
      </x:c>
      <x:c r="D24" s="24" t="n">
        <x:v>-5571</x:v>
      </x:c>
      <x:c r="E24" s="24" t="n">
        <x:f>D24</x:f>
        <x:v>-5571</x:v>
      </x:c>
      <x:c r="F24" s="24" t="n">
        <x:f>E24</x:f>
        <x:v>-5571</x:v>
      </x:c>
      <x:c r="G24" s="24" t="n">
        <x:f>F24</x:f>
        <x:v>-5571</x:v>
      </x:c>
      <x:c r="H24" s="24" t="n">
        <x:f>G24</x:f>
        <x:v>-5571</x:v>
      </x:c>
      <x:c r="I24" s="24" t="n">
        <x:f>H24</x:f>
        <x:v>-5571</x:v>
      </x:c>
    </x:row>
    <x:row r="25">
      <x:c r="A25" s="30" t="str">
        <x:v>Total Shareholders' Equity</x:v>
      </x:c>
      <x:c r="B25" s="31" t="n">
        <x:v>62146</x:v>
      </x:c>
      <x:c r="C25" s="31" t="n">
        <x:v>56950</x:v>
      </x:c>
      <x:c r="D25" s="31" t="n">
        <x:v>73733</x:v>
      </x:c>
      <x:c r="E25" s="31" t="n">
        <x:f>SUM(E22:E24)</x:f>
        <x:v>231645.8905477298</x:v>
      </x:c>
      <x:c r="F25" s="31" t="n">
        <x:f>SUM(F22:F24)</x:f>
        <x:v>350324.3132367231</x:v>
      </x:c>
      <x:c r="G25" s="31" t="n">
        <x:f>SUM(G22:G24)</x:f>
        <x:v>423647.69660696795</x:v>
      </x:c>
      <x:c r="H25" s="31" t="n">
        <x:f>SUM(H22:H24)</x:f>
        <x:v>448436.3315036768</x:v>
      </x:c>
      <x:c r="I25" s="31" t="n">
        <x:f>SUM(I22:I24)</x:f>
        <x:v>421422.39770900126</x:v>
      </x:c>
    </x:row>
    <x:row r="26">
      <x:c r="A26" s="30" t="str">
        <x:v>Total Liabilities &amp; Equity</x:v>
      </x:c>
      <x:c r="B26" s="31" t="n">
        <x:v>352583</x:v>
      </x:c>
      <x:c r="C26" s="31" t="n">
        <x:v>364980</x:v>
      </x:c>
      <x:c r="D26" s="31" t="n">
        <x:v>359241</x:v>
      </x:c>
      <x:c r="E26" s="31" t="n">
        <x:f>E21+E25</x:f>
        <x:v>473099.2884802601</x:v>
      </x:c>
      <x:c r="F26" s="31" t="n">
        <x:f>F21+F25</x:f>
        <x:v>731447.9756404556</x:v>
      </x:c>
      <x:c r="G26" s="31" t="n">
        <x:f>G21+G25</x:f>
        <x:v>1001116.0011606232</x:v>
      </x:c>
      <x:c r="H26" s="31" t="n">
        <x:f>H21+H25</x:f>
        <x:v>1283994.1839470384</x:v>
      </x:c>
      <x:c r="I26" s="31" t="n">
        <x:f>I21+I25</x:f>
        <x:v>1577459.4913357082</x:v>
      </x:c>
    </x:row>
    <x:row r="27">
      <x:c r="A27" t="str">
        <x:v>Balance Check</x:v>
      </x:c>
      <x:c r="B27" s="24"/>
      <x:c r="C27" s="24"/>
      <x:c r="D27" s="24"/>
      <x:c r="E27" s="24" t="n">
        <x:f>E14-E26</x:f>
        <x:v>0</x:v>
      </x:c>
      <x:c r="F27" s="24" t="n">
        <x:f>F14-F26</x:f>
        <x:v>0</x:v>
      </x:c>
      <x:c r="G27" s="24" t="n">
        <x:f>G14-G26</x:f>
        <x:v>-1.1641532182693481e-10</x:v>
      </x:c>
      <x:c r="H27" s="24" t="n">
        <x:f>H14-H26</x:f>
        <x:v>0</x:v>
      </x:c>
      <x:c r="I27" s="24" t="n">
        <x:f>I14-I26</x:f>
        <x:v>0</x:v>
      </x:c>
    </x:row>
  </x:sheetData>
  <x:mergeCells>
    <x:mergeCell ref="A1:I1"/>
  </x:mergeCells>
  <x:conditionalFormatting sqref="E27:I27">
    <x:cfRule type="expression" dxfId="0" priority="1">
      <x:formula>ABS(E27)&gt;1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27" customHeight="1">
      <x:c r="A1" s="3" t="str">
        <x:v>Apple Inc. — Cash Flow Statement ($mm)</x:v>
      </x:c>
      <x:c r="B1" s="3"/>
      <x:c r="C1" s="3"/>
      <x:c r="D1" s="3"/>
      <x:c r="E1" s="3"/>
      <x:c r="F1" s="3"/>
      <x:c r="G1" s="3"/>
      <x:c r="H1" s="3"/>
      <x:c r="I1" s="3"/>
    </x:row>
    <x:row r="3">
      <x:c r="A3" s="8"/>
      <x:c r="B3" s="8" t="str">
        <x:v>2023A</x:v>
      </x:c>
      <x:c r="C3" s="8" t="str">
        <x:v>2024A</x:v>
      </x:c>
      <x:c r="D3" s="8" t="str">
        <x:v>2025A</x:v>
      </x:c>
      <x:c r="E3" s="8" t="str">
        <x:v>2026E</x:v>
      </x:c>
      <x:c r="F3" s="8" t="str">
        <x:v>2027E</x:v>
      </x:c>
      <x:c r="G3" s="8" t="str">
        <x:v>2028E</x:v>
      </x:c>
      <x:c r="H3" s="8" t="str">
        <x:v>2029E</x:v>
      </x:c>
      <x:c r="I3" s="8" t="str">
        <x:v>2030E</x:v>
      </x:c>
    </x:row>
    <x:row r="5">
      <x:c r="A5" t="str">
        <x:v>Net Income</x:v>
      </x:c>
      <x:c r="B5" s="24" t="n">
        <x:v>96995</x:v>
      </x:c>
      <x:c r="C5" s="24" t="n">
        <x:v>93736</x:v>
      </x:c>
      <x:c r="D5" s="24" t="n">
        <x:v>112010</x:v>
      </x:c>
      <x:c r="E5" s="24" t="n">
        <x:f>'Income Statement'!E19</x:f>
        <x:v>138120.39690161997</x:v>
      </x:c>
      <x:c r="F5" s="24" t="n">
        <x:f>'Income Statement'!F19</x:f>
        <x:v>152610.05989030199</x:v>
      </x:c>
      <x:c r="G5" s="24" t="n">
        <x:f>'Income Statement'!G19</x:f>
        <x:v>164317.97929464455</x:v>
      </x:c>
      <x:c r="H5" s="24" t="n">
        <x:f>'Income Statement'!H19</x:f>
        <x:v>175300.72331418828</x:v>
      </x:c>
      <x:c r="I5" s="24" t="n">
        <x:f>'Income Statement'!I19</x:f>
        <x:v>185799.99536163214</x:v>
      </x:c>
    </x:row>
    <x:row r="6">
      <x:c r="A6" t="str">
        <x:v>D&amp;A</x:v>
      </x:c>
      <x:c r="B6" s="24" t="n">
        <x:v>11519</x:v>
      </x:c>
      <x:c r="C6" s="24" t="n">
        <x:v>11445</x:v>
      </x:c>
      <x:c r="D6" s="24" t="n">
        <x:v>11698</x:v>
      </x:c>
      <x:c r="E6" s="24" t="n">
        <x:f>'Income Statement'!E5*Assumptions!D11</x:f>
        <x:v>12697.072109999997</x:v>
      </x:c>
      <x:c r="F6" s="24" t="n">
        <x:f>'Income Statement'!F5*Assumptions!E11</x:f>
        <x:v>13966.779320999998</x:v>
      </x:c>
      <x:c r="G6" s="24" t="n">
        <x:f>'Income Statement'!G5*Assumptions!F11</x:f>
        <x:v>15084.121666680001</x:v>
      </x:c>
      <x:c r="H6" s="24" t="n">
        <x:f>'Income Statement'!H5*Assumptions!G11</x:f>
        <x:v>16140.0101833476</x:v>
      </x:c>
      <x:c r="I6" s="24" t="n">
        <x:f>'Income Statement'!I5*Assumptions!H11</x:f>
        <x:v>17108.410794348456</x:v>
      </x:c>
    </x:row>
    <x:row r="7">
      <x:c r="A7" t="str">
        <x:v>Share-Based Compensation</x:v>
      </x:c>
      <x:c r="B7" s="24" t="n">
        <x:v>10833</x:v>
      </x:c>
      <x:c r="C7" s="24" t="n">
        <x:v>11688</x:v>
      </x:c>
      <x:c r="D7" s="24" t="n">
        <x:v>12863</x:v>
      </x:c>
      <x:c r="E7" s="24" t="n">
        <x:f>'Income Statement'!E5*Assumptions!D13</x:f>
        <x:v>14107.857899999997</x:v>
      </x:c>
      <x:c r="F7" s="24" t="n">
        <x:f>'Income Statement'!F5*Assumptions!E13</x:f>
        <x:v>15518.643689999999</x:v>
      </x:c>
      <x:c r="G7" s="24" t="n">
        <x:f>'Income Statement'!G5*Assumptions!F13</x:f>
        <x:v>16201.464012360002</x:v>
      </x:c>
      <x:c r="H7" s="24" t="n">
        <x:f>'Income Statement'!H5*Assumptions!G13</x:f>
        <x:v>17335.5664932252</x:v>
      </x:c>
      <x:c r="I7" s="24" t="n">
        <x:f>'Income Statement'!I5*Assumptions!H13</x:f>
        <x:v>17742.055638583584</x:v>
      </x:c>
    </x:row>
    <x:row r="8">
      <x:c r="A8" t="str">
        <x:v>Change in NWC</x:v>
      </x:c>
      <x:c r="B8" s="24"/>
      <x:c r="C8" s="24"/>
      <x:c r="D8" s="24"/>
      <x:c r="E8" s="24" t="n">
        <x:f>'Working Capital'!E13</x:f>
        <x:v>12091.65248454998</x:v>
      </x:c>
      <x:c r="F8" s="24" t="n">
        <x:f>'Working Capital'!F13</x:f>
        <x:v>9731.365248455011</x:v>
      </x:c>
      <x:c r="G8" s="24" t="n">
        <x:f>'Working Capital'!G13</x:f>
        <x:v>9044.617298455632</x:v>
      </x:c>
      <x:c r="H8" s="24" t="n">
        <x:f>'Working Capital'!H13</x:f>
        <x:v>8469.399113137144</x:v>
      </x:c>
      <x:c r="I8" s="24" t="n">
        <x:f>'Working Capital'!I13</x:f>
        <x:v>7837.254189266823</x:v>
      </x:c>
    </x:row>
    <x:row r="9">
      <x:c r="A9" t="str">
        <x:v>Other Operating Items</x:v>
      </x:c>
      <x:c r="B9" s="24"/>
      <x:c r="C9" s="24"/>
      <x:c r="D9" s="24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v>0</x:v>
      </x:c>
    </x:row>
    <x:row r="10">
      <x:c r="A10" s="30" t="str">
        <x:v>Cash Flow from Operations</x:v>
      </x:c>
      <x:c r="B10" s="31" t="n">
        <x:v>110543</x:v>
      </x:c>
      <x:c r="C10" s="31" t="n">
        <x:v>118254</x:v>
      </x:c>
      <x:c r="D10" s="31" t="n">
        <x:v>111482</x:v>
      </x:c>
      <x:c r="E10" s="31" t="n">
        <x:f>SUM(E5:E9)</x:f>
        <x:v>177016.97939616995</x:v>
      </x:c>
      <x:c r="F10" s="31" t="n">
        <x:f>SUM(F5:F9)</x:f>
        <x:v>191826.84814975702</x:v>
      </x:c>
      <x:c r="G10" s="31" t="n">
        <x:f>SUM(G5:G9)</x:f>
        <x:v>204648.18227214017</x:v>
      </x:c>
      <x:c r="H10" s="31" t="n">
        <x:f>SUM(H5:H9)</x:f>
        <x:v>217245.6991038982</x:v>
      </x:c>
      <x:c r="I10" s="31" t="n">
        <x:f>SUM(I5:I9)</x:f>
        <x:v>228487.715983831</x:v>
      </x:c>
    </x:row>
    <x:row r="11">
      <x:c r="A11" t="str">
        <x:v>Capital Expenditures</x:v>
      </x:c>
      <x:c r="B11" s="24" t="n">
        <x:v>-10959</x:v>
      </x:c>
      <x:c r="C11" s="24" t="n">
        <x:v>-9447</x:v>
      </x:c>
      <x:c r="D11" s="24" t="n">
        <x:v>-12715</x:v>
      </x:c>
      <x:c r="E11" s="24" t="n">
        <x:f>-'Income Statement'!E5*Assumptions!D12</x:f>
        <x:v>-13167.334039999998</x:v>
      </x:c>
      <x:c r="F11" s="24" t="n">
        <x:f>-'Income Statement'!F5*Assumptions!E12</x:f>
        <x:v>-14484.067443999998</x:v>
      </x:c>
      <x:c r="G11" s="24" t="n">
        <x:f>-'Income Statement'!G5*Assumptions!F12</x:f>
        <x:v>-15642.792839520002</x:v>
      </x:c>
      <x:c r="H11" s="24" t="n">
        <x:f>-'Income Statement'!H5*Assumptions!G12</x:f>
        <x:v>-16737.788338286402</x:v>
      </x:c>
      <x:c r="I11" s="24" t="n">
        <x:f>-'Income Statement'!I5*Assumptions!H12</x:f>
        <x:v>-17742.055638583584</x:v>
      </x:c>
    </x:row>
    <x:row r="12">
      <x:c r="A12" t="str">
        <x:v>Net Marketable Securities / Investing</x:v>
      </x:c>
      <x:c r="B12" s="24"/>
      <x:c r="C12" s="24"/>
      <x:c r="D12" s="24"/>
      <x:c r="E12" s="24" t="n">
        <x:f>-('Balance Sheet'!E6-'Balance Sheet'!D6)</x:f>
        <x:v>-91748.55354999998</x:v>
      </x:c>
      <x:c r="F12" s="24" t="n">
        <x:f>-('Balance Sheet'!F6-'Balance Sheet'!E6)</x:f>
        <x:v>-11051.155354999995</x:v>
      </x:c>
      <x:c r="G12" s="24" t="n">
        <x:f>-('Balance Sheet'!G6-'Balance Sheet'!F6)</x:f>
        <x:v>-9725.016712400015</x:v>
      </x:c>
      <x:c r="H12" s="24" t="n">
        <x:f>-('Balance Sheet'!H6-'Balance Sheet'!G6)</x:f>
        <x:v>-9190.140793218015</x:v>
      </x:c>
      <x:c r="I12" s="24" t="n">
        <x:f>-('Balance Sheet'!I6-'Balance Sheet'!H6)</x:f>
        <x:v>-8428.671984637069</x:v>
      </x:c>
    </x:row>
    <x:row r="13">
      <x:c r="A13" t="str">
        <x:v>Other Investing</x:v>
      </x:c>
      <x:c r="B13" s="24"/>
      <x:c r="C13" s="24"/>
      <x:c r="D13" s="24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v>0</x:v>
      </x:c>
    </x:row>
    <x:row r="14">
      <x:c r="A14" s="30" t="str">
        <x:v>Cash Flow from Investing</x:v>
      </x:c>
      <x:c r="B14" s="31" t="n">
        <x:v>3705</x:v>
      </x:c>
      <x:c r="C14" s="31" t="n">
        <x:v>2935</x:v>
      </x:c>
      <x:c r="D14" s="31" t="n">
        <x:v>15195</x:v>
      </x:c>
      <x:c r="E14" s="31" t="n">
        <x:f>SUM(E11:E13)</x:f>
        <x:v>-104915.88758999998</x:v>
      </x:c>
      <x:c r="F14" s="31" t="n">
        <x:f>SUM(F11:F13)</x:f>
        <x:v>-25535.222798999996</x:v>
      </x:c>
      <x:c r="G14" s="31" t="n">
        <x:f>SUM(G11:G13)</x:f>
        <x:v>-25367.809551920014</x:v>
      </x:c>
      <x:c r="H14" s="31" t="n">
        <x:f>SUM(H11:H13)</x:f>
        <x:v>-25927.929131504417</x:v>
      </x:c>
      <x:c r="I14" s="31" t="n">
        <x:f>SUM(I11:I13)</x:f>
        <x:v>-26170.727623220653</x:v>
      </x:c>
    </x:row>
    <x:row r="15">
      <x:c r="A15" t="str">
        <x:v>Debt Issuance / (Repayment)</x:v>
      </x:c>
      <x:c r="B15" s="24" t="n">
        <x:v>-3705</x:v>
      </x:c>
      <x:c r="C15" s="24" t="n">
        <x:v>-22354</x:v>
      </x:c>
      <x:c r="D15" s="24" t="n">
        <x:v>15270</x:v>
      </x:c>
      <x:c r="E15" s="24" t="n">
        <x:f>'Debt &amp; Capital'!E6</x:f>
        <x:v>-4604.614000000001</x:v>
      </x:c>
      <x:c r="F15" s="24" t="n">
        <x:f>'Debt &amp; Capital'!F6</x:f>
        <x:v>9405.238599999997</x:v>
      </x:c>
      <x:c r="G15" s="24" t="n">
        <x:f>'Debt &amp; Capital'!G6</x:f>
        <x:v>8276.609968000019</x:v>
      </x:c>
      <x:c r="H15" s="24" t="n">
        <x:f>'Debt &amp; Capital'!H6</x:f>
        <x:v>7821.39641976</x:v>
      </x:c>
      <x:c r="I15" s="24" t="n">
        <x:f>'Debt &amp; Capital'!I6</x:f>
        <x:v>7173.337859265594</x:v>
      </x:c>
    </x:row>
    <x:row r="16">
      <x:c r="A16" t="str">
        <x:v>Dividends</x:v>
      </x:c>
      <x:c r="B16" s="24"/>
      <x:c r="C16" s="24"/>
      <x:c r="D16" s="24"/>
      <x:c r="E16" s="24" t="n">
        <x:f>-'Income Statement'!E19*Assumptions!D26</x:f>
        <x:v>-19336.855566226797</x:v>
      </x:c>
      <x:c r="F16" s="24" t="n">
        <x:f>-'Income Statement'!F19*Assumptions!E26</x:f>
        <x:v>-21365.40838464228</x:v>
      </x:c>
      <x:c r="G16" s="24" t="n">
        <x:f>-'Income Statement'!G19*Assumptions!F26</x:f>
        <x:v>-23004.51710125024</x:v>
      </x:c>
      <x:c r="H16" s="24" t="n">
        <x:f>-'Income Statement'!H19*Assumptions!G26</x:f>
        <x:v>-24542.101263986362</x:v>
      </x:c>
      <x:c r="I16" s="24" t="n">
        <x:f>-'Income Statement'!I19*Assumptions!H26</x:f>
        <x:v>-26011.999350628503</x:v>
      </x:c>
    </x:row>
    <x:row r="17">
      <x:c r="A17" t="str">
        <x:v>Share Repurchases</x:v>
      </x:c>
      <x:c r="B17" s="24" t="n">
        <x:v>-9908</x:v>
      </x:c>
      <x:c r="C17" s="24" t="n">
        <x:v>-5998</x:v>
      </x:c>
      <x:c r="D17" s="24" t="n">
        <x:v>-10644</x:v>
      </x:c>
      <x:c r="E17" s="24" t="n">
        <x:f>-'Debt &amp; Capital'!E14</x:f>
        <x:v>-89778.25798605298</x:v>
      </x:c>
      <x:c r="F17" s="24" t="n">
        <x:f>-'Debt &amp; Capital'!F14</x:f>
        <x:v>-99196.53892869629</x:v>
      </x:c>
      <x:c r="G17" s="24" t="n">
        <x:f>-'Debt &amp; Capital'!G14</x:f>
        <x:v>-106806.68654151897</x:v>
      </x:c>
      <x:c r="H17" s="24" t="n">
        <x:f>-'Debt &amp; Capital'!H14</x:f>
        <x:v>-113945.47015422238</x:v>
      </x:c>
      <x:c r="I17" s="24" t="n">
        <x:f>-'Debt &amp; Capital'!I14</x:f>
        <x:v>-120769.99698506089</x:v>
      </x:c>
    </x:row>
    <x:row r="18">
      <x:c r="A18" t="str">
        <x:v>Other Financing</x:v>
      </x:c>
      <x:c r="B18" s="24" t="n">
        <x:v>-15025</x:v>
      </x:c>
      <x:c r="C18" s="24" t="n">
        <x:v>-15234</x:v>
      </x:c>
      <x:c r="D18" s="24" t="n">
        <x:v>-15421</x:v>
      </x:c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v>0</x:v>
      </x:c>
    </x:row>
    <x:row r="19">
      <x:c r="A19" s="30" t="str">
        <x:v>Cash Flow from Financing</x:v>
      </x:c>
      <x:c r="B19" s="31" t="n">
        <x:v>-77550</x:v>
      </x:c>
      <x:c r="C19" s="31" t="n">
        <x:v>-94949</x:v>
      </x:c>
      <x:c r="D19" s="31" t="n">
        <x:v>-90052</x:v>
      </x:c>
      <x:c r="E19" s="31" t="n">
        <x:f>SUM(E15:E18)</x:f>
        <x:v>-113719.72755227977</x:v>
      </x:c>
      <x:c r="F19" s="31" t="n">
        <x:f>SUM(F15:F18)</x:f>
        <x:v>-111156.70871333856</x:v>
      </x:c>
      <x:c r="G19" s="31" t="n">
        <x:f>SUM(G15:G18)</x:f>
        <x:v>-121534.59367476919</x:v>
      </x:c>
      <x:c r="H19" s="31" t="n">
        <x:f>SUM(H15:H18)</x:f>
        <x:v>-130666.17499844874</x:v>
      </x:c>
      <x:c r="I19" s="31" t="n">
        <x:f>SUM(I15:I18)</x:f>
        <x:v>-139608.6584764238</x:v>
      </x:c>
    </x:row>
    <x:row r="20">
      <x:c r="A20" t="str">
        <x:v>Net Change in Cash</x:v>
      </x:c>
      <x:c r="B20" s="24"/>
      <x:c r="C20" s="24"/>
      <x:c r="D20" s="24"/>
      <x:c r="E20" s="24" t="n">
        <x:f>SUM(E10,E14,E19)</x:f>
        <x:v>-41618.63574610981</x:v>
      </x:c>
      <x:c r="F20" s="24" t="n">
        <x:f>SUM(F10,F14,F19)</x:f>
        <x:v>55134.91663741847</x:v>
      </x:c>
      <x:c r="G20" s="24" t="n">
        <x:f>SUM(G10,G14,G19)</x:f>
        <x:v>57745.77904545097</x:v>
      </x:c>
      <x:c r="H20" s="24" t="n">
        <x:f>SUM(H10,H14,H19)</x:f>
        <x:v>60651.594973945044</x:v>
      </x:c>
      <x:c r="I20" s="24" t="n">
        <x:f>SUM(I10,I14,I19)</x:f>
        <x:v>62708.32988418656</x:v>
      </x:c>
    </x:row>
    <x:row r="21">
      <x:c r="A21" t="str">
        <x:v>Beginning Cash</x:v>
      </x:c>
      <x:c r="B21" s="24" t="n">
        <x:v>-108488</x:v>
      </x:c>
      <x:c r="C21" s="24" t="n">
        <x:v>-121983</x:v>
      </x:c>
      <x:c r="D21" s="24" t="n">
        <x:v>-120686</x:v>
      </x:c>
      <x:c r="E21" s="24" t="n">
        <x:f>'Balance Sheet'!D5</x:f>
        <x:v>35934</x:v>
      </x:c>
      <x:c r="F21" s="24" t="n">
        <x:f>'Balance Sheet'!E5</x:f>
        <x:v>-5684.635746109809</x:v>
      </x:c>
      <x:c r="G21" s="24" t="n">
        <x:f>'Balance Sheet'!F5</x:f>
        <x:v>49450.28089130866</x:v>
      </x:c>
      <x:c r="H21" s="24" t="n">
        <x:f>'Balance Sheet'!G5</x:f>
        <x:v>107196.05993675963</x:v>
      </x:c>
      <x:c r="I21" s="24" t="n">
        <x:f>'Balance Sheet'!H5</x:f>
        <x:v>167847.65491070467</x:v>
      </x:c>
    </x:row>
    <x:row r="22">
      <x:c r="A22" s="30" t="str">
        <x:v>Ending Cash</x:v>
      </x:c>
      <x:c r="B22" s="31" t="n">
        <x:v>5760</x:v>
      </x:c>
      <x:c r="C22" s="31" t="n">
        <x:v>-794</x:v>
      </x:c>
      <x:c r="D22" s="31" t="n">
        <x:v>5991</x:v>
      </x:c>
      <x:c r="E22" s="31" t="n">
        <x:f>E21+E20</x:f>
        <x:v>-5684.635746109809</x:v>
      </x:c>
      <x:c r="F22" s="31" t="n">
        <x:f>F21+F20</x:f>
        <x:v>49450.28089130866</x:v>
      </x:c>
      <x:c r="G22" s="31" t="n">
        <x:f>G21+G20</x:f>
        <x:v>107196.05993675963</x:v>
      </x:c>
      <x:c r="H22" s="31" t="n">
        <x:f>H21+H20</x:f>
        <x:v>167847.65491070467</x:v>
      </x:c>
      <x:c r="I22" s="31" t="n">
        <x:f>I21+I20</x:f>
        <x:v>230555.98479489124</x:v>
      </x:c>
    </x:row>
  </x:sheetData>
  <x:mergeCells>
    <x:mergeCell ref="A1:I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27" customHeight="1">
      <x:c r="A1" s="3" t="str">
        <x:v>Apple Inc. — Working Capital Schedule ($mm)</x:v>
      </x:c>
      <x:c r="B1" s="3"/>
      <x:c r="C1" s="3"/>
      <x:c r="D1" s="3"/>
      <x:c r="E1" s="3"/>
      <x:c r="F1" s="3"/>
      <x:c r="G1" s="3"/>
      <x:c r="H1" s="3"/>
      <x:c r="I1" s="3"/>
    </x:row>
    <x:row r="3">
      <x:c r="A3" s="8"/>
      <x:c r="B3" s="8" t="str">
        <x:v>2023A</x:v>
      </x:c>
      <x:c r="C3" s="8" t="str">
        <x:v>2024A</x:v>
      </x:c>
      <x:c r="D3" s="8" t="str">
        <x:v>2025A</x:v>
      </x:c>
      <x:c r="E3" s="8" t="str">
        <x:v>2026E</x:v>
      </x:c>
      <x:c r="F3" s="8" t="str">
        <x:v>2027E</x:v>
      </x:c>
      <x:c r="G3" s="8" t="str">
        <x:v>2028E</x:v>
      </x:c>
      <x:c r="H3" s="8" t="str">
        <x:v>2029E</x:v>
      </x:c>
      <x:c r="I3" s="8" t="str">
        <x:v>2030E</x:v>
      </x:c>
    </x:row>
    <x:row r="5">
      <x:c r="A5" t="str">
        <x:v>Accounts Receivable</x:v>
      </x:c>
      <x:c r="B5" s="24" t="n">
        <x:v>29508</x:v>
      </x:c>
      <x:c r="C5" s="24" t="n">
        <x:v>33410</x:v>
      </x:c>
      <x:c r="D5" s="24" t="n">
        <x:v>39777</x:v>
      </x:c>
      <x:c r="E5" s="24" t="n">
        <x:f>'Income Statement'!E5*Assumptions!D16</x:f>
        <x:v>35269.64474999999</x:v>
      </x:c>
      <x:c r="F5" s="24" t="n">
        <x:f>'Income Statement'!F5*Assumptions!E16</x:f>
        <x:v>38796.60922499999</x:v>
      </x:c>
      <x:c r="G5" s="24" t="n">
        <x:f>'Income Statement'!G5*Assumptions!F16</x:f>
        <x:v>41900.337963</x:v>
      </x:c>
      <x:c r="H5" s="24" t="n">
        <x:f>'Income Statement'!H5*Assumptions!G16</x:f>
        <x:v>44833.36162041</x:v>
      </x:c>
      <x:c r="I5" s="24" t="n">
        <x:f>'Income Statement'!I5*Assumptions!H16</x:f>
        <x:v>47523.3633176346</x:v>
      </x:c>
    </x:row>
    <x:row r="6">
      <x:c r="A6" t="str">
        <x:v>Inventory</x:v>
      </x:c>
      <x:c r="B6" s="24" t="n">
        <x:v>6331</x:v>
      </x:c>
      <x:c r="C6" s="24" t="n">
        <x:v>7286</x:v>
      </x:c>
      <x:c r="D6" s="24" t="n">
        <x:v>5718</x:v>
      </x:c>
      <x:c r="E6" s="24" t="n">
        <x:f>'Income Statement'!E7*Assumptions!D17</x:f>
        <x:v>6649.503690199999</x:v>
      </x:c>
      <x:c r="F6" s="24" t="n">
        <x:f>'Income Statement'!F7*Assumptions!E17</x:f>
        <x:v>7314.454059219999</x:v>
      </x:c>
      <x:c r="G6" s="24" t="n">
        <x:f>'Income Statement'!G7*Assumptions!F17</x:f>
        <x:v>7946.5387624761615</x:v>
      </x:c>
      <x:c r="H6" s="24" t="n">
        <x:f>'Income Statement'!H7*Assumptions!G17</x:f>
        <x:v>8536.272052526065</x:v>
      </x:c>
      <x:c r="I6" s="24" t="n">
        <x:f>'Income Statement'!I7*Assumptions!H17</x:f>
        <x:v>9083.932486954796</x:v>
      </x:c>
    </x:row>
    <x:row r="7">
      <x:c r="A7" t="str">
        <x:v>Other Current Assets</x:v>
      </x:c>
      <x:c r="B7" s="24" t="n">
        <x:v>14695</x:v>
      </x:c>
      <x:c r="C7" s="24" t="n">
        <x:v>14287</x:v>
      </x:c>
      <x:c r="D7" s="24" t="n">
        <x:v>14585</x:v>
      </x:c>
      <x:c r="E7" s="24" t="n">
        <x:f>'Income Statement'!E5*Assumptions!D18</x:f>
        <x:v>16459.16755</x:v>
      </x:c>
      <x:c r="F7" s="24" t="n">
        <x:f>'Income Statement'!F5*Assumptions!E18</x:f>
        <x:v>18105.084305</x:v>
      </x:c>
      <x:c r="G7" s="24" t="n">
        <x:f>'Income Statement'!G5*Assumptions!F18</x:f>
        <x:v>19553.491049400003</x:v>
      </x:c>
      <x:c r="H7" s="24" t="n">
        <x:f>'Income Statement'!H5*Assumptions!G18</x:f>
        <x:v>20922.235422858004</x:v>
      </x:c>
      <x:c r="I7" s="24" t="n">
        <x:f>'Income Statement'!I5*Assumptions!H18</x:f>
        <x:v>22177.569548229483</x:v>
      </x:c>
    </x:row>
    <x:row r="8">
      <x:c r="A8" t="str">
        <x:v>Accounts Payable</x:v>
      </x:c>
      <x:c r="B8" s="24" t="n">
        <x:v>62611</x:v>
      </x:c>
      <x:c r="C8" s="24" t="n">
        <x:v>68960</x:v>
      </x:c>
      <x:c r="D8" s="24" t="n">
        <x:v>69860</x:v>
      </x:c>
      <x:c r="E8" s="24" t="n">
        <x:f>'Income Statement'!E7*Assumptions!D19</x:f>
        <x:v>74806.91651474999</x:v>
      </x:c>
      <x:c r="F8" s="24" t="n">
        <x:f>'Income Statement'!F7*Assumptions!E19</x:f>
        <x:v>82287.60816622499</x:v>
      </x:c>
      <x:c r="G8" s="24" t="n">
        <x:f>'Income Statement'!G7*Assumptions!F19</x:f>
        <x:v>89398.56107785681</x:v>
      </x:c>
      <x:c r="H8" s="24" t="n">
        <x:f>'Income Statement'!H7*Assumptions!G19</x:f>
        <x:v>96033.06059091823</x:v>
      </x:c>
      <x:c r="I8" s="24" t="n">
        <x:f>'Income Statement'!I7*Assumptions!H19</x:f>
        <x:v>102194.24047824145</x:v>
      </x:c>
    </x:row>
    <x:row r="9">
      <x:c r="A9" t="str">
        <x:v>Other Current Liabilities</x:v>
      </x:c>
      <x:c r="B9" s="24" t="n">
        <x:v>58829</x:v>
      </x:c>
      <x:c r="C9" s="24" t="n">
        <x:v>78304</x:v>
      </x:c>
      <x:c r="D9" s="24" t="n">
        <x:v>66387</x:v>
      </x:c>
      <x:c r="E9" s="24" t="n">
        <x:f>'Income Statement'!E5*Assumptions!D20</x:f>
        <x:v>70539.28949999998</x:v>
      </x:c>
      <x:c r="F9" s="24" t="n">
        <x:f>'Income Statement'!F5*Assumptions!E20</x:f>
        <x:v>77593.21844999999</x:v>
      </x:c>
      <x:c r="G9" s="24" t="n">
        <x:f>'Income Statement'!G5*Assumptions!F20</x:f>
        <x:v>83800.675926</x:v>
      </x:c>
      <x:c r="H9" s="24" t="n">
        <x:f>'Income Statement'!H5*Assumptions!G20</x:f>
        <x:v>89666.72324082</x:v>
      </x:c>
      <x:c r="I9" s="24" t="n">
        <x:f>'Income Statement'!I5*Assumptions!H20</x:f>
        <x:v>95046.7266352692</x:v>
      </x:c>
    </x:row>
    <x:row r="10">
      <x:c r="A10" t="str">
        <x:v>Deferred Revenue</x:v>
      </x:c>
      <x:c r="B10" s="24" t="n">
        <x:v>8061</x:v>
      </x:c>
      <x:c r="C10" s="24" t="n">
        <x:v>8249</x:v>
      </x:c>
      <x:c r="D10" s="24" t="n">
        <x:v>9055</x:v>
      </x:c>
      <x:c r="E10" s="24" t="n">
        <x:f>'Income Statement'!E5*Assumptions!D21</x:f>
        <x:v>10345.762459999998</x:v>
      </x:c>
      <x:c r="F10" s="24" t="n">
        <x:f>'Income Statement'!F5*Assumptions!E21</x:f>
        <x:v>11380.338705999999</x:v>
      </x:c>
      <x:c r="G10" s="24" t="n">
        <x:f>'Income Statement'!G5*Assumptions!F21</x:f>
        <x:v>12290.76580248</x:v>
      </x:c>
      <x:c r="H10" s="24" t="n">
        <x:f>'Income Statement'!H5*Assumptions!G21</x:f>
        <x:v>13151.1194086536</x:v>
      </x:c>
      <x:c r="I10" s="24" t="n">
        <x:f>'Income Statement'!I5*Assumptions!H21</x:f>
        <x:v>13940.186573172816</x:v>
      </x:c>
    </x:row>
    <x:row r="11">
      <x:c r="A11" t="str">
        <x:v>Net Working Capital</x:v>
      </x:c>
      <x:c r="B11" s="24" t="n">
        <x:f>SUM(B5:B7)-SUM(B8:B10)</x:f>
        <x:v>-78967</x:v>
      </x:c>
      <x:c r="C11" s="24" t="n">
        <x:f>SUM(C5:C7)-SUM(C8:C10)</x:f>
        <x:v>-100530</x:v>
      </x:c>
      <x:c r="D11" s="24" t="n">
        <x:f>SUM(D5:D7)-SUM(D8:D10)</x:f>
        <x:v>-85222</x:v>
      </x:c>
      <x:c r="E11" s="24" t="n">
        <x:f>SUM(E5:E7)-SUM(E8:E10)</x:f>
        <x:v>-97313.65248454998</x:v>
      </x:c>
      <x:c r="F11" s="24" t="n">
        <x:f>SUM(F5:F7)-SUM(F8:F10)</x:f>
        <x:v>-107045.01773300499</x:v>
      </x:c>
      <x:c r="G11" s="24" t="n">
        <x:f>SUM(G5:G7)-SUM(G8:G10)</x:f>
        <x:v>-116089.63503146062</x:v>
      </x:c>
      <x:c r="H11" s="24" t="n">
        <x:f>SUM(H5:H7)-SUM(H8:H10)</x:f>
        <x:v>-124559.03414459777</x:v>
      </x:c>
      <x:c r="I11" s="24" t="n">
        <x:f>SUM(I5:I7)-SUM(I8:I10)</x:f>
        <x:v>-132396.2883338646</x:v>
      </x:c>
    </x:row>
    <x:row r="12">
      <x:c r="A12" t="str">
        <x:v>Change in NWC</x:v>
      </x:c>
      <x:c r="B12" s="24"/>
      <x:c r="C12" s="24" t="n">
        <x:f>C11-B11</x:f>
        <x:v>-21563</x:v>
      </x:c>
      <x:c r="D12" s="24" t="n">
        <x:f>D11-C11</x:f>
        <x:v>15308</x:v>
      </x:c>
      <x:c r="E12" s="24" t="n">
        <x:f>E11-D11</x:f>
        <x:v>-12091.65248454998</x:v>
      </x:c>
      <x:c r="F12" s="24" t="n">
        <x:f>F11-E11</x:f>
        <x:v>-9731.365248455011</x:v>
      </x:c>
      <x:c r="G12" s="24" t="n">
        <x:f>G11-F11</x:f>
        <x:v>-9044.617298455632</x:v>
      </x:c>
      <x:c r="H12" s="24" t="n">
        <x:f>H11-G11</x:f>
        <x:v>-8469.399113137144</x:v>
      </x:c>
      <x:c r="I12" s="24" t="n">
        <x:f>I11-H11</x:f>
        <x:v>-7837.254189266823</x:v>
      </x:c>
    </x:row>
    <x:row r="13">
      <x:c r="A13" t="str">
        <x:v>Cash Flow Impact</x:v>
      </x:c>
      <x:c r="B13" s="24"/>
      <x:c r="C13" s="24" t="n">
        <x:f>-C12</x:f>
        <x:v>21563</x:v>
      </x:c>
      <x:c r="D13" s="24" t="n">
        <x:f>-D12</x:f>
        <x:v>-15308</x:v>
      </x:c>
      <x:c r="E13" s="24" t="n">
        <x:f>-E12</x:f>
        <x:v>12091.65248454998</x:v>
      </x:c>
      <x:c r="F13" s="24" t="n">
        <x:f>-F12</x:f>
        <x:v>9731.365248455011</x:v>
      </x:c>
      <x:c r="G13" s="24" t="n">
        <x:f>-G12</x:f>
        <x:v>9044.617298455632</x:v>
      </x:c>
      <x:c r="H13" s="24" t="n">
        <x:f>-H12</x:f>
        <x:v>8469.399113137144</x:v>
      </x:c>
      <x:c r="I13" s="24" t="n">
        <x:f>-I12</x:f>
        <x:v>7837.254189266823</x:v>
      </x:c>
    </x:row>
  </x:sheetData>
  <x:mergeCells>
    <x:mergeCell ref="A1:I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27" customHeight="1">
      <x:c r="A1" s="3" t="str">
        <x:v>Apple Inc. — Debt, Interest &amp; Share Count Schedule ($mm)</x:v>
      </x:c>
      <x:c r="B1" s="3"/>
      <x:c r="C1" s="3"/>
      <x:c r="D1" s="3"/>
      <x:c r="E1" s="3"/>
      <x:c r="F1" s="3"/>
      <x:c r="G1" s="3"/>
      <x:c r="H1" s="3"/>
      <x:c r="I1" s="3"/>
    </x:row>
    <x:row r="3">
      <x:c r="A3" s="8"/>
      <x:c r="B3" s="8" t="str">
        <x:v>2023A</x:v>
      </x:c>
      <x:c r="C3" s="8" t="str">
        <x:v>2024A</x:v>
      </x:c>
      <x:c r="D3" s="8" t="str">
        <x:v>2025A</x:v>
      </x:c>
      <x:c r="E3" s="8" t="str">
        <x:v>2026E</x:v>
      </x:c>
      <x:c r="F3" s="8" t="str">
        <x:v>2027E</x:v>
      </x:c>
      <x:c r="G3" s="8" t="str">
        <x:v>2028E</x:v>
      </x:c>
      <x:c r="H3" s="8" t="str">
        <x:v>2029E</x:v>
      </x:c>
      <x:c r="I3" s="8" t="str">
        <x:v>2030E</x:v>
      </x:c>
    </x:row>
    <x:row r="5">
      <x:c r="A5" t="str">
        <x:v>Beginning Debt</x:v>
      </x:c>
      <x:c r="B5" s="24"/>
      <x:c r="C5" s="24"/>
      <x:c r="D5" s="24"/>
      <x:c r="E5" s="24" t="n">
        <x:f>D7</x:f>
        <x:v>98657</x:v>
      </x:c>
      <x:c r="F5" s="24" t="n">
        <x:f>E7</x:f>
        <x:v>94052.386</x:v>
      </x:c>
      <x:c r="G5" s="24" t="n">
        <x:f>F7</x:f>
        <x:v>103457.6246</x:v>
      </x:c>
      <x:c r="H5" s="24" t="n">
        <x:f>G7</x:f>
        <x:v>111734.23456800001</x:v>
      </x:c>
      <x:c r="I5" s="24" t="n">
        <x:f>H7</x:f>
        <x:v>119555.63098776001</x:v>
      </x:c>
    </x:row>
    <x:row r="6">
      <x:c r="A6" t="str">
        <x:v>Debt Issuance / (Repayment)</x:v>
      </x:c>
      <x:c r="B6" s="24"/>
      <x:c r="C6" s="24"/>
      <x:c r="D6" s="24"/>
      <x:c r="E6" s="24" t="n">
        <x:f>E7-E5</x:f>
        <x:v>-4604.614000000001</x:v>
      </x:c>
      <x:c r="F6" s="24" t="n">
        <x:f>F7-F5</x:f>
        <x:v>9405.238599999997</x:v>
      </x:c>
      <x:c r="G6" s="24" t="n">
        <x:f>G7-G5</x:f>
        <x:v>8276.609968000019</x:v>
      </x:c>
      <x:c r="H6" s="24" t="n">
        <x:f>H7-H5</x:f>
        <x:v>7821.39641976</x:v>
      </x:c>
      <x:c r="I6" s="24" t="n">
        <x:f>I7-I5</x:f>
        <x:v>7173.337859265594</x:v>
      </x:c>
    </x:row>
    <x:row r="7">
      <x:c r="A7" t="str">
        <x:v>Ending Debt</x:v>
      </x:c>
      <x:c r="B7" s="24" t="n">
        <x:v>111088</x:v>
      </x:c>
      <x:c r="C7" s="24" t="n">
        <x:v>106629</x:v>
      </x:c>
      <x:c r="D7" s="24" t="n">
        <x:v>98657</x:v>
      </x:c>
      <x:c r="E7" s="24" t="n">
        <x:f>'Income Statement'!E5*Assumptions!D25</x:f>
        <x:v>94052.386</x:v>
      </x:c>
      <x:c r="F7" s="24" t="n">
        <x:f>'Income Statement'!F5*Assumptions!E25</x:f>
        <x:v>103457.6246</x:v>
      </x:c>
      <x:c r="G7" s="24" t="n">
        <x:f>'Income Statement'!G5*Assumptions!F25</x:f>
        <x:v>111734.23456800001</x:v>
      </x:c>
      <x:c r="H7" s="24" t="n">
        <x:f>'Income Statement'!H5*Assumptions!G25</x:f>
        <x:v>119555.63098776001</x:v>
      </x:c>
      <x:c r="I7" s="24" t="n">
        <x:f>'Income Statement'!I5*Assumptions!H25</x:f>
        <x:v>126728.96884702561</x:v>
      </x:c>
    </x:row>
    <x:row r="8">
      <x:c r="A8" t="str">
        <x:v>Average Debt</x:v>
      </x:c>
      <x:c r="B8" s="24"/>
      <x:c r="C8" s="24"/>
      <x:c r="D8" s="24"/>
      <x:c r="E8" s="24" t="n">
        <x:f>AVERAGE(E5,E7)</x:f>
        <x:v>96354.693</x:v>
      </x:c>
      <x:c r="F8" s="24" t="n">
        <x:f>AVERAGE(F5,F7)</x:f>
        <x:v>98755.00529999999</x:v>
      </x:c>
      <x:c r="G8" s="24" t="n">
        <x:f>AVERAGE(G5,G7)</x:f>
        <x:v>107595.929584</x:v>
      </x:c>
      <x:c r="H8" s="24" t="n">
        <x:f>AVERAGE(H5,H7)</x:f>
        <x:v>115644.93277788002</x:v>
      </x:c>
      <x:c r="I8" s="24" t="n">
        <x:f>AVERAGE(I5,I7)</x:f>
        <x:v>123142.29991739281</x:v>
      </x:c>
    </x:row>
    <x:row r="9">
      <x:c r="A9" t="str">
        <x:v>Interest Rate</x:v>
      </x:c>
      <x:c r="B9" s="24"/>
      <x:c r="C9" s="24"/>
      <x:c r="D9" s="24"/>
      <x:c r="E9" s="36" t="n">
        <x:v>0.04</x:v>
      </x:c>
      <x:c r="F9" s="36" t="n">
        <x:v>0.04</x:v>
      </x:c>
      <x:c r="G9" s="36" t="n">
        <x:v>0.04</x:v>
      </x:c>
      <x:c r="H9" s="36" t="n">
        <x:v>0.04</x:v>
      </x:c>
      <x:c r="I9" s="36" t="n">
        <x:v>0.04</x:v>
      </x:c>
    </x:row>
    <x:row r="10">
      <x:c r="A10" t="str">
        <x:v>Interest Expense</x:v>
      </x:c>
      <x:c r="B10" s="24" t="n">
        <x:v>3933</x:v>
      </x:c>
      <x:c r="C10" s="24" t="n">
        <x:v>4773</x:v>
      </x:c>
      <x:c r="D10" s="24" t="n">
        <x:v>3877</x:v>
      </x:c>
      <x:c r="E10" s="24" t="n">
        <x:f>E8*E9</x:f>
        <x:v>3854.18772</x:v>
      </x:c>
      <x:c r="F10" s="24" t="n">
        <x:f>F8*F9</x:f>
        <x:v>3950.2002119999997</x:v>
      </x:c>
      <x:c r="G10" s="24" t="n">
        <x:f>G8*G9</x:f>
        <x:v>4303.83718336</x:v>
      </x:c>
      <x:c r="H10" s="24" t="n">
        <x:f>H8*H9</x:f>
        <x:v>4625.797311115201</x:v>
      </x:c>
      <x:c r="I10" s="24" t="n">
        <x:f>I8*I9</x:f>
        <x:v>4925.691996695713</x:v>
      </x:c>
    </x:row>
    <x:row r="11">
      <x:c r="A11" t="str">
        <x:v>Interest Income / Other</x:v>
      </x:c>
      <x:c r="B11" s="24"/>
      <x:c r="C11" s="24"/>
      <x:c r="D11" s="24"/>
      <x:c r="E11" s="24" t="n">
        <x:f>-E10+('Balance Sheet'!E6+'Balance Sheet'!E7)*0.035</x:f>
        <x:v>1248.1542205000005</x:v>
      </x:c>
      <x:c r="F11" s="24" t="n">
        <x:f>-F10+('Balance Sheet'!F6+'Balance Sheet'!F7)*0.035</x:f>
        <x:v>1662.3759225499998</x:v>
      </x:c>
      <x:c r="G11" s="24" t="n">
        <x:f>-G10+('Balance Sheet'!G6+'Balance Sheet'!G7)*0.035</x:f>
        <x:v>1757.745041954</x:v>
      </x:c>
      <x:c r="H11" s="24" t="n">
        <x:f>-H10+('Balance Sheet'!H6+'Balance Sheet'!H7)*0.035</x:f>
        <x:v>1860.0956699707795</x:v>
      </x:c>
      <x:c r="I11" s="24" t="n">
        <x:f>-I10+('Balance Sheet'!I6+'Balance Sheet'!I7)*0.035</x:f>
        <x:v>1949.354563255426</x:v>
      </x:c>
    </x:row>
    <x:row r="12">
      <x:c r="A12" t="str">
        <x:v>Net Other Income / (Expense)</x:v>
      </x:c>
      <x:c r="B12" s="24"/>
      <x:c r="C12" s="24"/>
      <x:c r="D12" s="24"/>
      <x:c r="E12" s="24" t="n">
        <x:f>D18</x:f>
        <x:v>14948</x:v>
      </x:c>
      <x:c r="F12" s="24" t="n">
        <x:f>E18</x:f>
        <x:v>14695.76533304649</x:v>
      </x:c>
      <x:c r="G12" s="24" t="n">
        <x:f>F18</x:f>
        <x:v>14416.839015584168</x:v>
      </x:c>
      <x:c r="H12" s="24" t="n">
        <x:f>G18</x:f>
        <x:v>14114.821607153639</x:v>
      </x:c>
      <x:c r="I12" s="24" t="n">
        <x:f>H18</x:f>
        <x:v>13792.788594950316</x:v>
      </x:c>
    </x:row>
    <x:row r="13">
      <x:c r="A13" t="str">
        <x:v>Beginning Shares (mm)</x:v>
      </x:c>
      <x:c r="B13" s="24"/>
      <x:c r="C13" s="24"/>
      <x:c r="D13" s="24"/>
      <x:c r="E13" s="62" t="n">
        <x:f>D18</x:f>
        <x:v>14948</x:v>
      </x:c>
      <x:c r="F13" s="62" t="n">
        <x:f>E18</x:f>
        <x:v>14695.76533304649</x:v>
      </x:c>
      <x:c r="G13" s="62" t="n">
        <x:f>F18</x:f>
        <x:v>14416.839015584168</x:v>
      </x:c>
      <x:c r="H13" s="62" t="n">
        <x:f>G18</x:f>
        <x:v>14114.821607153639</x:v>
      </x:c>
      <x:c r="I13" s="62" t="n">
        <x:f>H18</x:f>
        <x:v>13792.788594950316</x:v>
      </x:c>
    </x:row>
    <x:row r="14">
      <x:c r="A14" t="str">
        <x:v>Repurchase Spend</x:v>
      </x:c>
      <x:c r="B14" s="24"/>
      <x:c r="C14" s="24"/>
      <x:c r="D14" s="24"/>
      <x:c r="E14" s="63" t="n">
        <x:f>'Income Statement'!E19*Assumptions!D27</x:f>
        <x:v>89778.25798605298</x:v>
      </x:c>
      <x:c r="F14" s="63" t="n">
        <x:f>'Income Statement'!F19*Assumptions!E27</x:f>
        <x:v>99196.53892869629</x:v>
      </x:c>
      <x:c r="G14" s="63" t="n">
        <x:f>'Income Statement'!G19*Assumptions!F27</x:f>
        <x:v>106806.68654151897</x:v>
      </x:c>
      <x:c r="H14" s="63" t="n">
        <x:f>'Income Statement'!H19*Assumptions!G27</x:f>
        <x:v>113945.47015422238</x:v>
      </x:c>
      <x:c r="I14" s="63" t="n">
        <x:f>'Income Statement'!I19*Assumptions!H27</x:f>
        <x:v>120769.99698506089</x:v>
      </x:c>
    </x:row>
    <x:row r="15">
      <x:c r="A15" t="str">
        <x:v>Average Repurchase Price</x:v>
      </x:c>
      <x:c r="B15" s="24" t="n">
        <x:v>77550</x:v>
      </x:c>
      <x:c r="C15" s="24" t="n">
        <x:v>94949</x:v>
      </x:c>
      <x:c r="D15" s="24" t="n">
        <x:v>90052</x:v>
      </x:c>
      <x:c r="E15" s="63" t="n">
        <x:v>300</x:v>
      </x:c>
      <x:c r="F15" s="63" t="n">
        <x:v>300</x:v>
      </x:c>
      <x:c r="G15" s="63" t="n">
        <x:v>300</x:v>
      </x:c>
      <x:c r="H15" s="63" t="n">
        <x:v>300</x:v>
      </x:c>
      <x:c r="I15" s="63" t="n">
        <x:v>300</x:v>
      </x:c>
    </x:row>
    <x:row r="16">
      <x:c r="A16" t="str">
        <x:v>Shares Repurchased (mm)</x:v>
      </x:c>
      <x:c r="B16" s="26"/>
      <x:c r="C16" s="26"/>
      <x:c r="D16" s="26"/>
      <x:c r="E16" s="62" t="n">
        <x:f>E14/E15</x:f>
        <x:v>299.2608599535099</x:v>
      </x:c>
      <x:c r="F16" s="62" t="n">
        <x:f>F14/F15</x:f>
        <x:v>330.65512976232094</x:v>
      </x:c>
      <x:c r="G16" s="62" t="n">
        <x:f>G14/G15</x:f>
        <x:v>356.0222884717299</x:v>
      </x:c>
      <x:c r="H16" s="62" t="n">
        <x:f>H14/H15</x:f>
        <x:v>379.81823384740795</x:v>
      </x:c>
      <x:c r="I16" s="62" t="n">
        <x:f>I14/I15</x:f>
        <x:v>402.56665661686964</x:v>
      </x:c>
    </x:row>
    <x:row r="17">
      <x:c r="A17" t="str">
        <x:v>SBC / Other Share Issuance (mm)</x:v>
      </x:c>
      <x:c r="B17" s="26"/>
      <x:c r="C17" s="26"/>
      <x:c r="D17" s="26"/>
      <x:c r="E17" s="62" t="n">
        <x:f>'Income Statement'!E5*Assumptions!D13/E15</x:f>
        <x:v>47.02619299999999</x:v>
      </x:c>
      <x:c r="F17" s="62" t="n">
        <x:f>'Income Statement'!F5*Assumptions!E13/F15</x:f>
        <x:v>51.728812299999994</x:v>
      </x:c>
      <x:c r="G17" s="62" t="n">
        <x:f>'Income Statement'!G5*Assumptions!F13/G15</x:f>
        <x:v>54.0048800412</x:v>
      </x:c>
      <x:c r="H17" s="62" t="n">
        <x:f>'Income Statement'!H5*Assumptions!G13/H15</x:f>
        <x:v>57.785221644084004</x:v>
      </x:c>
      <x:c r="I17" s="62" t="n">
        <x:f>'Income Statement'!I5*Assumptions!H13/I15</x:f>
        <x:v>59.14018546194528</x:v>
      </x:c>
    </x:row>
    <x:row r="18">
      <x:c r="A18" t="str">
        <x:v>Ending Shares (mm)</x:v>
      </x:c>
      <x:c r="B18" s="26" t="n">
        <x:v>15812</x:v>
      </x:c>
      <x:c r="C18" s="26" t="n">
        <x:v>15204</x:v>
      </x:c>
      <x:c r="D18" s="26" t="n">
        <x:v>14948</x:v>
      </x:c>
      <x:c r="E18" s="62" t="n">
        <x:f>E13-E16+E17</x:f>
        <x:v>14695.76533304649</x:v>
      </x:c>
      <x:c r="F18" s="62" t="n">
        <x:f>F13-F16+F17</x:f>
        <x:v>14416.839015584168</x:v>
      </x:c>
      <x:c r="G18" s="62" t="n">
        <x:f>G13-G16+G17</x:f>
        <x:v>14114.821607153639</x:v>
      </x:c>
      <x:c r="H18" s="62" t="n">
        <x:f>H13-H16+H17</x:f>
        <x:v>13792.788594950316</x:v>
      </x:c>
      <x:c r="I18" s="62" t="n">
        <x:f>I13-I16+I17</x:f>
        <x:v>13449.362123795392</x:v>
      </x:c>
    </x:row>
  </x:sheetData>
  <x:mergeCells>
    <x:mergeCell ref="A1:I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27" customHeight="1">
      <x:c r="A1" s="3" t="str">
        <x:v>Model Checks &amp; Key KPIs</x:v>
      </x:c>
      <x:c r="B1" s="3"/>
      <x:c r="C1" s="3"/>
      <x:c r="D1" s="3"/>
      <x:c r="E1" s="3"/>
      <x:c r="F1" s="3"/>
      <x:c r="G1" s="3"/>
      <x:c r="H1" s="3"/>
      <x:c r="I1" s="3"/>
    </x:row>
    <x:row r="3">
      <x:c r="A3" s="8"/>
      <x:c r="B3" s="8" t="str">
        <x:v>2023A</x:v>
      </x:c>
      <x:c r="C3" s="8" t="str">
        <x:v>2024A</x:v>
      </x:c>
      <x:c r="D3" s="8" t="str">
        <x:v>2025A</x:v>
      </x:c>
      <x:c r="E3" s="8" t="str">
        <x:v>2026E</x:v>
      </x:c>
      <x:c r="F3" s="8" t="str">
        <x:v>2027E</x:v>
      </x:c>
      <x:c r="G3" s="8" t="str">
        <x:v>2028E</x:v>
      </x:c>
      <x:c r="H3" s="8" t="str">
        <x:v>2029E</x:v>
      </x:c>
      <x:c r="I3" s="8" t="str">
        <x:v>2030E</x:v>
      </x:c>
    </x:row>
    <x:row r="5">
      <x:c r="A5" t="str">
        <x:v>Balance Sheet Check</x:v>
      </x:c>
      <x:c r="E5" s="24" t="n">
        <x:f>'Balance Sheet'!E27</x:f>
        <x:v>0</x:v>
      </x:c>
      <x:c r="F5" s="24" t="n">
        <x:f>'Balance Sheet'!F27</x:f>
        <x:v>0</x:v>
      </x:c>
      <x:c r="G5" s="24" t="n">
        <x:f>'Balance Sheet'!G27</x:f>
        <x:v>-1.1641532182693481e-10</x:v>
      </x:c>
      <x:c r="H5" s="24" t="n">
        <x:f>'Balance Sheet'!H27</x:f>
        <x:v>0</x:v>
      </x:c>
      <x:c r="I5" s="24" t="n">
        <x:f>'Balance Sheet'!I27</x:f>
        <x:v>0</x:v>
      </x:c>
    </x:row>
    <x:row r="6">
      <x:c r="A6" t="str">
        <x:v>Cash Flow vs. BS Cash Check</x:v>
      </x:c>
      <x:c r="E6" s="24" t="n">
        <x:f>'Cash Flow'!E22-'Balance Sheet'!E5</x:f>
        <x:v>0</x:v>
      </x:c>
      <x:c r="F6" s="24" t="n">
        <x:f>'Cash Flow'!F22-'Balance Sheet'!F5</x:f>
        <x:v>0</x:v>
      </x:c>
      <x:c r="G6" s="24" t="n">
        <x:f>'Cash Flow'!G22-'Balance Sheet'!G5</x:f>
        <x:v>0</x:v>
      </x:c>
      <x:c r="H6" s="24" t="n">
        <x:f>'Cash Flow'!H22-'Balance Sheet'!H5</x:f>
        <x:v>0</x:v>
      </x:c>
      <x:c r="I6" s="24" t="n">
        <x:f>'Cash Flow'!I22-'Balance Sheet'!I5</x:f>
        <x:v>0</x:v>
      </x:c>
    </x:row>
    <x:row r="7">
      <x:c r="A7" t="str">
        <x:v>Revenue Growth</x:v>
      </x:c>
      <x:c r="E7" s="20" t="n">
        <x:f>'Income Statement'!E6</x:f>
        <x:v>0.1299999999999999</x:v>
      </x:c>
      <x:c r="F7" s="20" t="n">
        <x:f>'Income Statement'!F6</x:f>
        <x:v>0.10000000000000009</x:v>
      </x:c>
      <x:c r="G7" s="20" t="n">
        <x:f>'Income Statement'!G6</x:f>
        <x:v>0.08000000000000007</x:v>
      </x:c>
      <x:c r="H7" s="20" t="n">
        <x:f>'Income Statement'!H6</x:f>
        <x:v>0.07000000000000006</x:v>
      </x:c>
      <x:c r="I7" s="20" t="n">
        <x:f>'Income Statement'!I6</x:f>
        <x:v>0.06000000000000005</x:v>
      </x:c>
    </x:row>
    <x:row r="8">
      <x:c r="A8" t="str">
        <x:v>Operating Margin</x:v>
      </x:c>
      <x:c r="E8" s="20" t="n">
        <x:f>'Income Statement'!E14</x:f>
        <x:v>0.347</x:v>
      </x:c>
      <x:c r="F8" s="20" t="n">
        <x:f>'Income Statement'!F14</x:f>
        <x:v>0.348</x:v>
      </x:c>
      <x:c r="G8" s="20" t="n">
        <x:f>'Income Statement'!G14</x:f>
        <x:v>0.3469999999999999</x:v>
      </x:c>
      <x:c r="H8" s="20" t="n">
        <x:f>'Income Statement'!H14</x:f>
        <x:v>0.346</x:v>
      </x:c>
      <x:c r="I8" s="20" t="n">
        <x:f>'Income Statement'!I14</x:f>
        <x:v>0.346</x:v>
      </x:c>
    </x:row>
    <x:row r="9">
      <x:c r="A9" t="str">
        <x:v>Net Margin</x:v>
      </x:c>
      <x:c r="E9" s="20" t="n">
        <x:f>'Income Statement'!E19/'Income Statement'!E5</x:f>
        <x:v>0.29370950121694944</x:v>
      </x:c>
      <x:c r="F9" s="20" t="n">
        <x:f>'Income Statement'!F19/'Income Statement'!F5</x:f>
        <x:v>0.29501945454545453</x:v>
      </x:c>
      <x:c r="G9" s="20" t="n">
        <x:f>'Income Statement'!G19/'Income Statement'!G5</x:f>
        <x:v>0.2941228888888889</x:v>
      </x:c>
      <x:c r="H9" s="20" t="n">
        <x:f>'Income Statement'!H19/'Income Statement'!H5</x:f>
        <x:v>0.29325381308411214</x:v>
      </x:c>
      <x:c r="I9" s="20" t="n">
        <x:f>'Income Statement'!I19/'Income Statement'!I5</x:f>
        <x:v>0.29322418867924527</x:v>
      </x:c>
    </x:row>
    <x:row r="10">
      <x:c r="A10" t="str">
        <x:v>Free Cash Flow</x:v>
      </x:c>
      <x:c r="E10" s="24" t="n">
        <x:f>'Cash Flow'!E10+'Cash Flow'!E11</x:f>
        <x:v>163849.64535616996</x:v>
      </x:c>
      <x:c r="F10" s="24" t="n">
        <x:f>'Cash Flow'!F10+'Cash Flow'!F11</x:f>
        <x:v>177342.78070575703</x:v>
      </x:c>
      <x:c r="G10" s="24" t="n">
        <x:f>'Cash Flow'!G10+'Cash Flow'!G11</x:f>
        <x:v>189005.38943262017</x:v>
      </x:c>
      <x:c r="H10" s="24" t="n">
        <x:f>'Cash Flow'!H10+'Cash Flow'!H11</x:f>
        <x:v>200507.9107656118</x:v>
      </x:c>
      <x:c r="I10" s="24" t="n">
        <x:f>'Cash Flow'!I10+'Cash Flow'!I11</x:f>
        <x:v>210745.66034524742</x:v>
      </x:c>
    </x:row>
    <x:row r="11">
      <x:c r="A11" t="str">
        <x:v>FCF Margin</x:v>
      </x:c>
      <x:c r="E11" s="20" t="n">
        <x:f>E10/'Income Statement'!E5</x:f>
        <x:v>0.34842209182480494</x:v>
      </x:c>
      <x:c r="F11" s="20" t="n">
        <x:f>F10/'Income Statement'!F5</x:f>
        <x:v>0.34283172727272737</x:v>
      </x:c>
      <x:c r="G11" s="20" t="n">
        <x:f>G10/'Income Statement'!G5</x:f>
        <x:v>0.33831240740740737</x:v>
      </x:c>
      <x:c r="H11" s="20" t="n">
        <x:f>H10/'Income Statement'!H5</x:f>
        <x:v>0.3354219439252336</x:v>
      </x:c>
      <x:c r="I11" s="20" t="n">
        <x:f>I10/'Income Statement'!I5</x:f>
        <x:v>0.332592716981132</x:v>
      </x:c>
    </x:row>
    <x:row r="12">
      <x:c r="A12" t="str">
        <x:v>Net Cash / (Debt)</x:v>
      </x:c>
      <x:c r="E12" s="24" t="n">
        <x:f>'Balance Sheet'!E5+'Balance Sheet'!E6-'Debt &amp; Capital'!E7</x:f>
        <x:v>10774.531803890175</x:v>
      </x:c>
      <x:c r="F12" s="24" t="n">
        <x:f>'Balance Sheet'!F5+'Balance Sheet'!F6-'Debt &amp; Capital'!F7</x:f>
        <x:v>67555.36519630863</x:v>
      </x:c>
      <x:c r="G12" s="24" t="n">
        <x:f>'Balance Sheet'!G5+'Balance Sheet'!G6-'Debt &amp; Capital'!G7</x:f>
        <x:v>126749.5509861596</x:v>
      </x:c>
      <x:c r="H12" s="24" t="n">
        <x:f>'Balance Sheet'!H5+'Balance Sheet'!H6-'Debt &amp; Capital'!H7</x:f>
        <x:v>188769.89033356262</x:v>
      </x:c>
      <x:c r="I12" s="24" t="n">
        <x:f>'Balance Sheet'!I5+'Balance Sheet'!I6-'Debt &amp; Capital'!I7</x:f>
        <x:v>252733.55434312072</x:v>
      </x:c>
    </x:row>
  </x:sheetData>
  <x:mergeCells>
    <x:mergeCell ref="A1:I1"/>
  </x:mergeCells>
  <x:conditionalFormatting sqref="E5:I6">
    <x:cfRule type="expression" dxfId="1" priority="1">
      <x:formula>ABS(E5)&gt;1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8" hidden="0" customWidth="1"/>
    <x:col min="3" max="3" width="42" hidden="0" customWidth="1"/>
    <x:col min="4" max="4" width="42" hidden="0" customWidth="1"/>
  </x:cols>
  <x:sheetData>
    <x:row r="1" ht="27" customHeight="1">
      <x:c r="A1" s="3" t="str">
        <x:v>Sources &amp; Modeling Notes</x:v>
      </x:c>
      <x:c r="B1" s="3"/>
      <x:c r="C1" s="3"/>
      <x:c r="D1" s="3"/>
    </x:row>
    <x:row r="3">
      <x:c r="A3" s="13" t="str">
        <x:v>Source</x:v>
      </x:c>
      <x:c r="B3" s="13" t="str">
        <x:v>URL</x:v>
      </x:c>
      <x:c r="C3" s="13" t="str">
        <x:v>Data Used</x:v>
      </x:c>
      <x:c r="D3" s="13" t="str">
        <x:v>Notes</x:v>
      </x:c>
    </x:row>
    <x:row r="4" ht="40" customHeight="1">
      <x:c r="A4" s="44" t="str">
        <x:v>Apple 2025 Form 10-K</x:v>
      </x:c>
      <x:c r="B4" s="56" t="str">
        <x:v>https://www.sec.gov/Archives/edgar/data/320193/000032019325000079/aapl-20250927.htm</x:v>
      </x:c>
      <x:c r="C4" s="44" t="str">
        <x:v>2023–2025 income statement, balance sheet, cash flow</x:v>
      </x:c>
      <x:c r="D4" s="44" t="str">
        <x:v>Primary historical source</x:v>
      </x:c>
    </x:row>
    <x:row r="5" ht="40" customHeight="1">
      <x:c r="A5" s="44" t="str">
        <x:v>Apple 2026 Q3 Form 10-Q</x:v>
      </x:c>
      <x:c r="B5" s="56" t="str">
        <x:v>https://www.sec.gov/Archives/edgar/data/320193/000032019326000020/aapl-20260627.htm</x:v>
      </x:c>
      <x:c r="C5" s="44" t="str">
        <x:v>2026 YTD performance, June 2026 balance sheet, debt and share data</x:v>
      </x:c>
      <x:c r="D5" s="44" t="str">
        <x:v>Used to calibrate 2026E assumptions</x:v>
      </x:c>
    </x:row>
    <x:row r="6" ht="40" customHeight="1">
      <x:c r="A6" s="44" t="str">
        <x:v>Apple Q3 2026 Results</x:v>
      </x:c>
      <x:c r="B6" s="56" t="str">
        <x:v>https://www.apple.com/newsroom/2026/07/apple-reports-third-quarter-results/</x:v>
      </x:c>
      <x:c r="C6" s="44" t="str">
        <x:v>Q3 revenue, margin, EPS and management context</x:v>
      </x:c>
      <x:c r="D6" s="44" t="str">
        <x:v>2026 forecast calibration</x:v>
      </x:c>
    </x:row>
    <x:row r="7" ht="40" customHeight="1">
      <x:c r="A7" s="44" t="str">
        <x:v>Apple Investor Relations</x:v>
      </x:c>
      <x:c r="B7" s="56" t="str">
        <x:v>https://investor.apple.com/</x:v>
      </x:c>
      <x:c r="C7" s="44" t="str">
        <x:v>Filings and investor materials</x:v>
      </x:c>
      <x:c r="D7" s="44" t="str">
        <x:v>Official company source</x:v>
      </x:c>
    </x:row>
    <x:row r="9">
      <x:c r="A9" s="13" t="str">
        <x:v>Modeling Notes</x:v>
      </x:c>
      <x:c r="B9" s="13"/>
      <x:c r="C9" s="13"/>
      <x:c r="D9" s="13"/>
    </x:row>
    <x:row r="10">
      <x:c r="A10" s="58" t="str">
        <x:v>Historical 2023A–2025A data is based primarily on Apple SEC filings. Forecasts are illustrative and intended for recruiting / educational use. Blue-font yellow-fill cells are hardcoded forecast assumptions. Derived values are formula-driven. 2026E is calibrated using Apple's first nine months of fiscal 2026, including Q3 revenue of $109.4B and nine-month net income of $101.5B. This model is not investment advice.</x:v>
      </x:c>
      <x:c r="B10" s="58"/>
      <x:c r="C10" s="58"/>
      <x:c r="D10" s="58"/>
    </x:row>
    <x:row r="11">
      <x:c r="A11" s="58"/>
      <x:c r="B11" s="58"/>
      <x:c r="C11" s="58"/>
      <x:c r="D11" s="58"/>
    </x:row>
    <x:row r="12">
      <x:c r="A12" s="58"/>
      <x:c r="B12" s="58"/>
      <x:c r="C12" s="58"/>
      <x:c r="D12" s="58"/>
    </x:row>
    <x:row r="13">
      <x:c r="A13" s="58"/>
      <x:c r="B13" s="58"/>
      <x:c r="C13" s="58"/>
      <x:c r="D13" s="58"/>
    </x:row>
    <x:row r="14">
      <x:c r="A14" s="58"/>
      <x:c r="B14" s="58"/>
      <x:c r="C14" s="58"/>
      <x:c r="D14" s="58"/>
    </x:row>
    <x:row r="15">
      <x:c r="A15" s="58"/>
      <x:c r="B15" s="58"/>
      <x:c r="C15" s="58"/>
      <x:c r="D15" s="58"/>
    </x:row>
  </x:sheetData>
  <x:mergeCells>
    <x:mergeCell ref="A1:D1"/>
    <x:mergeCell ref="A9:D9"/>
    <x:mergeCell ref="A10:D15"/>
  </x:mergeCells>
  <x:pageMargins left="0.7" right="0.7" top="0.75" bottom="0.75" header="0.3" footer="0.3"/>
</x:worksheet>
</file>