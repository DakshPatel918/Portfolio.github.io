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ba33f0798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6a6b515a76b4d74"/>
    <x:sheet xmlns:r="http://schemas.openxmlformats.org/officeDocument/2006/relationships" name="Holdings" sheetId="2" r:id="Raeda30cce5134d1c"/>
    <x:sheet xmlns:r="http://schemas.openxmlformats.org/officeDocument/2006/relationships" name="Risk Metrics" sheetId="3" r:id="R60cc2498504045f6"/>
    <x:sheet xmlns:r="http://schemas.openxmlformats.org/officeDocument/2006/relationships" name="Correlation" sheetId="4" r:id="R24af7b035c7a4156"/>
    <x:sheet xmlns:r="http://schemas.openxmlformats.org/officeDocument/2006/relationships" name="Return Data" sheetId="5" r:id="Ra9c5e7b3e29841bd"/>
    <x:sheet xmlns:r="http://schemas.openxmlformats.org/officeDocument/2006/relationships" name="Methodology &amp; Sources" sheetId="6" r:id="Ra785caf60caa4a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-yy"/>
    <x:numFmt numFmtId="201" formatCode="0.00%;[Red](0.00%);-"/>
    <x:numFmt numFmtId="202" formatCode="0.0%;[Red](0.0%);-"/>
    <x:numFmt numFmtId="203" formatCode="0.00;[Red](0.00);-"/>
    <x:numFmt numFmtId="204" formatCode="0.0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2"/>
      <x:name val="Carlito"/>
    </x:font>
    <x:font>
      <x:sz val="11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7365D"/>
      </x:patternFill>
    </x:fill>
    <x:fill>
      <x:patternFill patternType="solid">
        <x:fgColor rgb="FFFFFF00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EAF0F6"/>
      </x:patternFill>
    </x:fill>
    <x:fill>
      <x:patternFill patternType="solid">
        <x:fgColor rgb="FFFFF2CC"/>
      </x:patternFill>
    </x:fill>
  </x:fills>
  <x:borders count="4">
    <x:border/>
    <x:border/>
    <x:border>
      <x:top style="thin">
        <x:color rgb="FF000000"/>
      </x:top>
    </x:border>
    <x:border>
      <x:top style="thin">
        <x:color rgb="FF000000"/>
      </x:top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1" xfId="0" applyNumberFormat="1" applyFont="1" applyFill="1" applyBorder="1"/>
    <x:xf numFmtId="201" fontId="4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2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202" fontId="5" fillId="0" borderId="2" xfId="0" applyNumberFormat="1" applyFont="1" applyFill="1" applyBorder="1"/>
    <x:xf numFmtId="202" fontId="5" fillId="0" borderId="3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3" fillId="4" borderId="0" xfId="0" applyNumberFormat="1" applyFont="1" applyFill="1" applyBorder="1"/>
    <x:xf numFmtId="0" fontId="6" fillId="4" borderId="0" xfId="0" applyNumberFormat="1" applyFont="1" applyFill="1" applyBorder="1"/>
    <x:xf numFmtId="202" fontId="6" fillId="4" borderId="0" xfId="0" applyNumberFormat="1" applyFont="1" applyFill="1" applyBorder="1"/>
    <x:xf numFmtId="0" fontId="3" fillId="4" borderId="1" xfId="0" applyNumberFormat="1" applyFont="1" applyFill="1" applyBorder="1"/>
    <x:xf numFmtId="0" fontId="6" fillId="4" borderId="1" xfId="0" applyNumberFormat="1" applyFont="1" applyFill="1" applyBorder="1"/>
    <x:xf numFmtId="202" fontId="6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202" fontId="0" fillId="6" borderId="0" xfId="0" applyNumberFormat="1" applyFont="1" applyFill="1" applyBorder="1"/>
    <x:xf numFmtId="203" fontId="0" fillId="6" borderId="0" xfId="0" applyNumberFormat="1" applyFont="1" applyFill="1" applyBorder="1"/>
    <x:xf numFmtId="202" fontId="7" fillId="6" borderId="0" xfId="0" applyNumberFormat="1" applyFont="1" applyFill="1" applyBorder="1"/>
    <x:xf numFmtId="203" fontId="7" fillId="6" borderId="0" xfId="0" applyNumberFormat="1" applyFont="1" applyFill="1" applyBorder="1"/>
    <x:xf numFmtId="202" fontId="7" fillId="6" borderId="0" xfId="0" applyNumberFormat="1" applyFont="1" applyFill="1" applyBorder="1" applyAlignment="1">
      <x:alignment horizontal="center"/>
    </x:xf>
    <x:xf numFmtId="203" fontId="7" fillId="6" borderId="0" xfId="0" applyNumberFormat="1" applyFont="1" applyFill="1" applyBorder="1" applyAlignment="1">
      <x:alignment horizontal="center"/>
    </x:xf>
    <x:xf numFmtId="202" fontId="0" fillId="6" borderId="1" xfId="0" applyNumberFormat="1" applyFont="1" applyFill="1" applyBorder="1"/>
    <x:xf numFmtId="203" fontId="0" fillId="6" borderId="1" xfId="0" applyNumberFormat="1" applyFont="1" applyFill="1" applyBorder="1"/>
    <x:xf numFmtId="202" fontId="7" fillId="6" borderId="1" xfId="0" applyNumberFormat="1" applyFont="1" applyFill="1" applyBorder="1"/>
    <x:xf numFmtId="203" fontId="7" fillId="6" borderId="1" xfId="0" applyNumberFormat="1" applyFont="1" applyFill="1" applyBorder="1"/>
    <x:xf numFmtId="202" fontId="7" fillId="6" borderId="1" xfId="0" applyNumberFormat="1" applyFont="1" applyFill="1" applyBorder="1" applyAlignment="1">
      <x:alignment horizontal="center"/>
    </x:xf>
    <x:xf numFmtId="203" fontId="7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415f17179497c" /><Relationship Type="http://schemas.openxmlformats.org/officeDocument/2006/relationships/theme" Target="/xl/theme/theme1.xml" Id="Ra1229f58c9bc49c5" /><Relationship Type="http://schemas.openxmlformats.org/officeDocument/2006/relationships/sharedStrings" Target="/xl/sharedStrings.xml" Id="Ra42f698f61b6407d" /><Relationship Type="http://schemas.openxmlformats.org/officeDocument/2006/relationships/worksheet" Target="/xl/worksheets/sheet1.xml" Id="Rd6a6b515a76b4d74" /><Relationship Type="http://schemas.openxmlformats.org/officeDocument/2006/relationships/worksheet" Target="/xl/worksheets/sheet2.xml" Id="Raeda30cce5134d1c" /><Relationship Type="http://schemas.openxmlformats.org/officeDocument/2006/relationships/worksheet" Target="/xl/worksheets/sheet3.xml" Id="R60cc2498504045f6" /><Relationship Type="http://schemas.openxmlformats.org/officeDocument/2006/relationships/worksheet" Target="/xl/worksheets/sheet4.xml" Id="R24af7b035c7a4156" /><Relationship Type="http://schemas.openxmlformats.org/officeDocument/2006/relationships/worksheet" Target="/xl/worksheets/sheet5.xml" Id="Ra9c5e7b3e29841bd" /><Relationship Type="http://schemas.openxmlformats.org/officeDocument/2006/relationships/worksheet" Target="/xl/worksheets/sheet6.xml" Id="Ra785caf60caa4a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e60678cf274a5d" /><Relationship Type="http://schemas.openxmlformats.org/officeDocument/2006/relationships/chart" Target="/xl/drawings/charts/chart2.xml" Id="Ra1729970198448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Portfolio Weights</a:t>
            </a:r>
          </a:p>
        </c:rich>
      </c:tx>
    </c:title>
    <c:plotArea>
      <c:pieChart>
        <c:ser>
          <c:idx val="0"/>
          <c:order val="0"/>
          <c:tx>
            <c:v>Sector</c:v>
          </c:tx>
          <c:cat>
            <c:strRef>
              <c:f>'Dashboard'!$A$10:$A$19</c:f>
              <c:strCache>
                <c:ptCount val="0"/>
              </c:strCache>
            </c:strRef>
          </c:cat>
          <c:val>
            <c:numRef>
              <c:f>'Dashboard'!$B$10:$B$19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Weight</c:v>
          </c:tx>
          <c:cat>
            <c:strRef>
              <c:f>'Dashboard'!$A$10:$A$19</c:f>
              <c:strCache>
                <c:ptCount val="0"/>
              </c:strCache>
            </c:strRef>
          </c:cat>
          <c:val>
            <c:numRef>
              <c:f>'Dashboard'!$C$10:$C$19</c:f>
              <c:numCache>
                <c:formatCode>0.0%;[Red](0.0%);-</c:formatCode>
                <c:ptCount val="0"/>
              </c:numCache>
            </c:numRef>
          </c:val>
        </c:ser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Risk Contribution by Holding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Sector</c:v>
          </c:tx>
          <c:cat>
            <c:strRef>
              <c:f>'Dashboard'!$A$10:$A$19</c:f>
              <c:strCache>
                <c:ptCount val="0"/>
              </c:strCache>
            </c:strRef>
          </c:cat>
          <c:val>
            <c:numRef>
              <c:f>'Dashboard'!$B$10:$B$19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Weight</c:v>
          </c:tx>
          <c:cat>
            <c:strRef>
              <c:f>'Dashboard'!$A$10:$A$19</c:f>
              <c:strCache>
                <c:ptCount val="0"/>
              </c:strCache>
            </c:strRef>
          </c:cat>
          <c:val>
            <c:numRef>
              <c:f>'Dashboard'!$C$10:$C$19</c:f>
              <c:numCache>
                <c:formatCode>0.0%;[Red](0.0%);-</c:formatCode>
                <c:ptCount val="0"/>
              </c:numCache>
            </c:numRef>
          </c:val>
        </c:ser>
        <c:ser>
          <c:idx val="2"/>
          <c:order val="2"/>
          <c:tx>
            <c:v>Risk Contribution</c:v>
          </c:tx>
          <c:cat>
            <c:strRef>
              <c:f>'Dashboard'!$A$10:$A$19</c:f>
              <c:strCache>
                <c:ptCount val="0"/>
              </c:strCache>
            </c:strRef>
          </c:cat>
          <c:val>
            <c:numRef>
              <c:f>'Dashboard'!$D$10:$D$19</c:f>
              <c:numCache>
                <c:formatCode>0.0%;[Red](0.0%);-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e60678cf274a5d"/>
        </a:graphicData>
      </a:graphic>
    </xdr:graphicFrame>
    <xdr:clientData/>
  </xdr:twoCellAnchor>
  <xdr:twoCellAnchor>
    <xdr:from>
      <xdr:col>10</xdr:col>
      <xdr:colOff>0</xdr:colOff>
      <xdr:row>8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729970198448a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bfa3c90c5974b7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3" t="str">
        <x:v>Portfolio Risk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52" t="str">
        <x:v>10-stock model portfolio vs. SPY | 60-month illustrative risk dataset | Portfolio-management recruiting project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</x:row>
    <x:row r="4">
      <x:c r="A4" s="11" t="str">
        <x:v>Risk &amp; Performance Snapshot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54" t="str">
        <x:v>Ann. Return</x:v>
      </x:c>
      <x:c r="B5" s="54" t="str">
        <x:v>Ann. Volatility</x:v>
      </x:c>
      <x:c r="C5" s="54" t="str">
        <x:v>Sharpe</x:v>
      </x:c>
      <x:c r="D5" s="54" t="str">
        <x:v>Beta</x:v>
      </x:c>
      <x:c r="E5" s="54" t="str">
        <x:v>95% VaR</x:v>
      </x:c>
      <x:c r="F5" s="54" t="str">
        <x:v>95% CVaR</x:v>
      </x:c>
      <x:c r="G5" s="54" t="str">
        <x:v>Max Drawdown</x:v>
      </x:c>
      <x:c r="H5" s="54" t="str">
        <x:v>Diversification</x:v>
      </x:c>
    </x:row>
    <x:row r="6" ht="26" customHeight="1">
      <x:c r="A6" s="60" t="n">
        <x:f>'Risk Metrics'!B5</x:f>
        <x:v>0.12856400183494876</x:v>
      </x:c>
      <x:c r="B6" s="60" t="n">
        <x:f>'Risk Metrics'!B6</x:f>
        <x:v>0.2011437671455688</x:v>
      </x:c>
      <x:c r="C6" s="61" t="n">
        <x:f>'Risk Metrics'!B7</x:f>
        <x:v>0.4403019943981387</x:v>
      </x:c>
      <x:c r="D6" s="61" t="n">
        <x:f>'Risk Metrics'!B8</x:f>
        <x:v>1.2151704706583386</x:v>
      </x:c>
      <x:c r="E6" s="60" t="n">
        <x:f>'Risk Metrics'!B9</x:f>
        <x:v>0.08180553009184</x:v>
      </x:c>
      <x:c r="F6" s="60" t="n">
        <x:f>'Risk Metrics'!B10</x:f>
        <x:v>0.09277219486978504</x:v>
      </x:c>
      <x:c r="G6" s="60" t="n">
        <x:f>'Risk Metrics'!B11</x:f>
        <x:v>0.24395913757588172</x:v>
      </x:c>
      <x:c r="H6" s="60" t="n">
        <x:f>'Risk Metrics'!B21</x:f>
        <x:v>0.950570342205323</x:v>
      </x:c>
    </x:row>
    <x:row r="8">
      <x:c r="A8" s="11" t="str">
        <x:v>Portfolio Allocation</x:v>
      </x:c>
      <x:c r="B8" s="11"/>
      <x:c r="C8" s="11"/>
      <x:c r="D8" s="11"/>
      <x:c r="E8" s="11"/>
      <x:c r="F8" s="11"/>
      <x:c r="G8" s="11"/>
    </x:row>
    <x:row r="9">
      <x:c r="A9" s="39" t="str">
        <x:v>Ticker</x:v>
      </x:c>
      <x:c r="B9" s="39" t="str">
        <x:v>Sector</x:v>
      </x:c>
      <x:c r="C9" s="39" t="str">
        <x:v>Weight</x:v>
      </x:c>
      <x:c r="D9" s="39" t="str">
        <x:v>Risk Contribution</x:v>
      </x:c>
    </x:row>
    <x:row r="10">
      <x:c r="A10" t="str">
        <x:f>Holdings!A5</x:f>
        <x:v>AAPL</x:v>
      </x:c>
      <x:c r="B10" t="str">
        <x:f>Holdings!C5</x:f>
        <x:v>Technology</x:v>
      </x:c>
      <x:c r="C10" s="34" t="n">
        <x:f>Holdings!D5</x:f>
        <x:v>0.14</x:v>
      </x:c>
      <x:c r="D10" s="34" t="n">
        <x:f>Holdings!H5</x:f>
        <x:v>0.12989903252536292</x:v>
      </x:c>
    </x:row>
    <x:row r="11">
      <x:c r="A11" t="str">
        <x:f>Holdings!A6</x:f>
        <x:v>MSFT</x:v>
      </x:c>
      <x:c r="B11" t="str">
        <x:f>Holdings!C6</x:f>
        <x:v>Technology</x:v>
      </x:c>
      <x:c r="C11" s="34" t="n">
        <x:f>Holdings!D6</x:f>
        <x:v>0.13</x:v>
      </x:c>
      <x:c r="D11" s="34" t="n">
        <x:f>Holdings!H6</x:f>
        <x:v>0.11659325228113358</x:v>
      </x:c>
    </x:row>
    <x:row r="12">
      <x:c r="A12" t="str">
        <x:f>Holdings!A7</x:f>
        <x:v>NVDA</x:v>
      </x:c>
      <x:c r="B12" t="str">
        <x:f>Holdings!C7</x:f>
        <x:v>Technology</x:v>
      </x:c>
      <x:c r="C12" s="34" t="n">
        <x:f>Holdings!D7</x:f>
        <x:v>0.12</x:v>
      </x:c>
      <x:c r="D12" s="34" t="n">
        <x:f>Holdings!H7</x:f>
        <x:v>0.21696052529211068</x:v>
      </x:c>
    </x:row>
    <x:row r="13">
      <x:c r="A13" t="str">
        <x:f>Holdings!A8</x:f>
        <x:v>JPM</x:v>
      </x:c>
      <x:c r="B13" t="str">
        <x:f>Holdings!C8</x:f>
        <x:v>Financials</x:v>
      </x:c>
      <x:c r="C13" s="34" t="n">
        <x:f>Holdings!D8</x:f>
        <x:v>0.1</x:v>
      </x:c>
      <x:c r="D13" s="34" t="n">
        <x:f>Holdings!H8</x:f>
        <x:v>0.08120223590165555</x:v>
      </x:c>
    </x:row>
    <x:row r="14">
      <x:c r="A14" t="str">
        <x:f>Holdings!A9</x:f>
        <x:v>AMZN</x:v>
      </x:c>
      <x:c r="B14" t="str">
        <x:f>Holdings!C9</x:f>
        <x:v>Consumer Discretionary</x:v>
      </x:c>
      <x:c r="C14" s="34" t="n">
        <x:f>Holdings!D9</x:f>
        <x:v>0.1</x:v>
      </x:c>
      <x:c r="D14" s="34" t="n">
        <x:f>Holdings!H9</x:f>
        <x:v>0.08347027959346846</x:v>
      </x:c>
    </x:row>
    <x:row r="15">
      <x:c r="A15" t="str">
        <x:f>Holdings!A10</x:f>
        <x:v>GOOGL</x:v>
      </x:c>
      <x:c r="B15" t="str">
        <x:f>Holdings!C10</x:f>
        <x:v>Communication Services</x:v>
      </x:c>
      <x:c r="C15" s="34" t="n">
        <x:f>Holdings!D10</x:f>
        <x:v>0.09</x:v>
      </x:c>
      <x:c r="D15" s="34" t="n">
        <x:f>Holdings!H10</x:f>
        <x:v>0.08635946324542386</x:v>
      </x:c>
    </x:row>
    <x:row r="16">
      <x:c r="A16" t="str">
        <x:f>Holdings!A11</x:f>
        <x:v>XOM</x:v>
      </x:c>
      <x:c r="B16" t="str">
        <x:f>Holdings!C11</x:f>
        <x:v>Energy</x:v>
      </x:c>
      <x:c r="C16" s="34" t="n">
        <x:f>Holdings!D11</x:f>
        <x:v>0.07</x:v>
      </x:c>
      <x:c r="D16" s="34" t="n">
        <x:f>Holdings!H11</x:f>
        <x:v>0.08690100003882811</x:v>
      </x:c>
    </x:row>
    <x:row r="17">
      <x:c r="A17" t="str">
        <x:f>Holdings!A12</x:f>
        <x:v>JNJ</x:v>
      </x:c>
      <x:c r="B17" t="str">
        <x:f>Holdings!C12</x:f>
        <x:v>Health Care</x:v>
      </x:c>
      <x:c r="C17" s="34" t="n">
        <x:f>Holdings!D12</x:f>
        <x:v>0.07</x:v>
      </x:c>
      <x:c r="D17" s="34" t="n">
        <x:f>Holdings!H12</x:f>
        <x:v>0.04210015828971563</x:v>
      </x:c>
    </x:row>
    <x:row r="18">
      <x:c r="A18" t="str">
        <x:f>Holdings!A13</x:f>
        <x:v>COST</x:v>
      </x:c>
      <x:c r="B18" t="str">
        <x:f>Holdings!C13</x:f>
        <x:v>Consumer Staples</x:v>
      </x:c>
      <x:c r="C18" s="34" t="n">
        <x:f>Holdings!D13</x:f>
        <x:v>0.08</x:v>
      </x:c>
      <x:c r="D18" s="34" t="n">
        <x:f>Holdings!H13</x:f>
        <x:v>0.06768442900872852</x:v>
      </x:c>
    </x:row>
    <x:row r="19">
      <x:c r="A19" t="str">
        <x:f>Holdings!A14</x:f>
        <x:v>V</x:v>
      </x:c>
      <x:c r="B19" t="str">
        <x:f>Holdings!C14</x:f>
        <x:v>Financials</x:v>
      </x:c>
      <x:c r="C19" s="34" t="n">
        <x:f>Holdings!D14</x:f>
        <x:v>0.1</x:v>
      </x:c>
      <x:c r="D19" s="34" t="n">
        <x:f>Holdings!H14</x:f>
        <x:v>0.08882962382357266</x:v>
      </x:c>
    </x:row>
    <x:row r="22">
      <x:c r="A22" s="11" t="str">
        <x:v>Portfolio Manager Takeaways</x:v>
      </x:c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</x:row>
    <x:row r="23">
      <x:c r="A23" s="70" t="str">
        <x:v>The model portfolio is intentionally diversified across technology, financials, consumer, energy and health care, while maintaining a growth tilt. The dashboard evaluates total volatility, market beta, downside tail risk (VaR/CVaR), maximum drawdown, concentration and asset-level risk contribution. The largest practical risk is concentration in correlated mega-cap growth exposures, so the dashboard highlights both position weights and correlations rather than relying on volatility alone.</x:v>
      </x:c>
      <x:c r="B23" s="70"/>
      <x:c r="C23" s="70"/>
      <x:c r="D23" s="70"/>
      <x:c r="E23" s="70"/>
      <x:c r="F23" s="70"/>
      <x:c r="G23" s="70"/>
      <x:c r="H23" s="70"/>
      <x:c r="I23" s="70"/>
      <x:c r="J23" s="70"/>
      <x:c r="K23" s="70"/>
      <x:c r="L23" s="70"/>
      <x:c r="M23" s="70"/>
      <x:c r="N23" s="70"/>
    </x:row>
    <x:row r="24">
      <x:c r="A24" s="70"/>
      <x:c r="B24" s="70"/>
      <x:c r="C24" s="70"/>
      <x:c r="D24" s="70"/>
      <x:c r="E24" s="70"/>
      <x:c r="F24" s="70"/>
      <x:c r="G24" s="70"/>
      <x:c r="H24" s="70"/>
      <x:c r="I24" s="70"/>
      <x:c r="J24" s="70"/>
      <x:c r="K24" s="70"/>
      <x:c r="L24" s="70"/>
      <x:c r="M24" s="70"/>
      <x:c r="N24" s="70"/>
    </x:row>
    <x:row r="25">
      <x:c r="A25" s="70"/>
      <x:c r="B25" s="70"/>
      <x:c r="C25" s="70"/>
      <x:c r="D25" s="70"/>
      <x:c r="E25" s="70"/>
      <x:c r="F25" s="70"/>
      <x:c r="G25" s="70"/>
      <x:c r="H25" s="70"/>
      <x:c r="I25" s="70"/>
      <x:c r="J25" s="70"/>
      <x:c r="K25" s="70"/>
      <x:c r="L25" s="70"/>
      <x:c r="M25" s="70"/>
      <x:c r="N25" s="70"/>
    </x:row>
    <x:row r="26">
      <x:c r="A26" s="70"/>
      <x:c r="B26" s="70"/>
      <x:c r="C26" s="70"/>
      <x:c r="D26" s="70"/>
      <x:c r="E26" s="70"/>
      <x:c r="F26" s="70"/>
      <x:c r="G26" s="70"/>
      <x:c r="H26" s="70"/>
      <x:c r="I26" s="70"/>
      <x:c r="J26" s="70"/>
      <x:c r="K26" s="70"/>
      <x:c r="L26" s="70"/>
      <x:c r="M26" s="70"/>
      <x:c r="N26" s="70"/>
    </x:row>
    <x:row r="27">
      <x:c r="A27" s="70"/>
      <x:c r="B27" s="70"/>
      <x:c r="C27" s="70"/>
      <x:c r="D27" s="70"/>
      <x:c r="E27" s="70"/>
      <x:c r="F27" s="70"/>
      <x:c r="G27" s="70"/>
      <x:c r="H27" s="70"/>
      <x:c r="I27" s="70"/>
      <x:c r="J27" s="70"/>
      <x:c r="K27" s="70"/>
      <x:c r="L27" s="70"/>
      <x:c r="M27" s="70"/>
      <x:c r="N27" s="70"/>
    </x:row>
  </x:sheetData>
  <x:mergeCells>
    <x:mergeCell ref="A1:N1"/>
    <x:mergeCell ref="A2:N2"/>
    <x:mergeCell ref="A4:N4"/>
    <x:mergeCell ref="A8:G8"/>
    <x:mergeCell ref="A22:N22"/>
    <x:mergeCell ref="A23:N27"/>
  </x:mergeCells>
  <x:pageMargins left="0.7" right="0.7" top="0.75" bottom="0.75" header="0.3" footer="0.3"/>
  <x:drawing xmlns:r="http://schemas.openxmlformats.org/officeDocument/2006/relationships" r:id="R5bfa3c90c5974b71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24" hidden="0" customWidth="1"/>
    <x:col min="4" max="4" width="12" hidden="0" customWidth="1"/>
    <x:col min="5" max="5" width="14" hidden="0" customWidth="1"/>
    <x:col min="6" max="6" width="14" hidden="0" customWidth="1"/>
    <x:col min="7" max="7" width="13" hidden="0" customWidth="1"/>
    <x:col min="8" max="8" width="16" hidden="0" customWidth="1"/>
  </x:cols>
  <x:sheetData>
    <x:row r="1" ht="28" customHeight="1">
      <x:c r="A1" s="3" t="str">
        <x:v>Model Portfolio Holdings &amp; Risk Inputs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Diversified 10-stock model portfolio | SPY benchmark | editable weights in blue/yellow cells</x:v>
      </x:c>
      <x:c r="B2" s="6"/>
      <x:c r="C2" s="6"/>
      <x:c r="D2" s="6"/>
      <x:c r="E2" s="6"/>
      <x:c r="F2" s="6"/>
      <x:c r="G2" s="6"/>
      <x:c r="H2" s="6"/>
    </x:row>
    <x:row r="4">
      <x:c r="A4" s="11" t="str">
        <x:v>Ticker</x:v>
      </x:c>
      <x:c r="B4" s="11" t="str">
        <x:v>Company</x:v>
      </x:c>
      <x:c r="C4" s="11" t="str">
        <x:v>Sector</x:v>
      </x:c>
      <x:c r="D4" s="11" t="str">
        <x:v>Weight</x:v>
      </x:c>
      <x:c r="E4" s="11" t="str">
        <x:v>Ann. Return</x:v>
      </x:c>
      <x:c r="F4" s="11" t="str">
        <x:v>Ann. Volatility</x:v>
      </x:c>
      <x:c r="G4" s="11" t="str">
        <x:v>Beta vs SPY</x:v>
      </x:c>
      <x:c r="H4" s="11" t="str">
        <x:v>Risk Contribution</x:v>
      </x:c>
    </x:row>
    <x:row r="5">
      <x:c r="A5" t="str">
        <x:v>AAPL</x:v>
      </x:c>
      <x:c r="B5" t="str">
        <x:v>Apple</x:v>
      </x:c>
      <x:c r="C5" t="str">
        <x:v>Technology</x:v>
      </x:c>
      <x:c r="D5" s="24" t="n">
        <x:v>0.14</x:v>
      </x:c>
      <x:c r="E5" s="34" t="n">
        <x:f>(PRODUCT(1+'Return Data'!B$5:B$64)^(12/60))-1</x:f>
        <x:v>0.0784633482266992</x:v>
      </x:c>
      <x:c r="F5" s="34" t="n">
        <x:f>STDEV.S('Return Data'!B$5:B$64)*SQRT(12)</x:f>
        <x:v>0.258424005435579</x:v>
      </x:c>
      <x:c r="G5" s="36" t="n">
        <x:f>COVARIANCE.S('Return Data'!B$5:B$64,'Return Data'!$L$5:$L$64)/VAR.S('Return Data'!$L$5:$L$64)</x:f>
        <x:v>1.2802085783497106</x:v>
      </x:c>
      <x:c r="H5" s="34" t="n">
        <x:f>D5*F5/SUMPRODUCT($D$5:$D$14,$F$5:$F$14)</x:f>
        <x:v>0.12989903252536292</x:v>
      </x:c>
    </x:row>
    <x:row r="6">
      <x:c r="A6" t="str">
        <x:v>MSFT</x:v>
      </x:c>
      <x:c r="B6" t="str">
        <x:v>Microsoft</x:v>
      </x:c>
      <x:c r="C6" t="str">
        <x:v>Technology</x:v>
      </x:c>
      <x:c r="D6" s="24" t="n">
        <x:v>0.13</x:v>
      </x:c>
      <x:c r="E6" s="34" t="n">
        <x:f>(PRODUCT(1+'Return Data'!C$5:C$64)^(12/60))-1</x:f>
        <x:v>0.1660641010752102</x:v>
      </x:c>
      <x:c r="F6" s="34" t="n">
        <x:f>STDEV.S('Return Data'!C$5:C$64)*SQRT(12)</x:f>
        <x:v>0.24979574547352842</x:v>
      </x:c>
      <x:c r="G6" s="36" t="n">
        <x:f>COVARIANCE.S('Return Data'!C$5:C$64,'Return Data'!$L$5:$L$64)/VAR.S('Return Data'!$L$5:$L$64)</x:f>
        <x:v>1.2184703803941346</x:v>
      </x:c>
      <x:c r="H6" s="34" t="n">
        <x:f>D6*F6/SUMPRODUCT($D$5:$D$14,$F$5:$F$14)</x:f>
        <x:v>0.11659325228113358</x:v>
      </x:c>
    </x:row>
    <x:row r="7">
      <x:c r="A7" t="str">
        <x:v>NVDA</x:v>
      </x:c>
      <x:c r="B7" t="str">
        <x:v>NVIDIA</x:v>
      </x:c>
      <x:c r="C7" t="str">
        <x:v>Technology</x:v>
      </x:c>
      <x:c r="D7" s="24" t="n">
        <x:v>0.12</x:v>
      </x:c>
      <x:c r="E7" s="34" t="n">
        <x:f>(PRODUCT(1+'Return Data'!D$5:D$64)^(12/60))-1</x:f>
        <x:v>0.1126801893346534</x:v>
      </x:c>
      <x:c r="F7" s="34" t="n">
        <x:f>STDEV.S('Return Data'!D$5:D$64)*SQRT(12)</x:f>
        <x:v>0.5035637399058769</x:v>
      </x:c>
      <x:c r="G7" s="36" t="n">
        <x:f>COVARIANCE.S('Return Data'!D$5:D$64,'Return Data'!$L$5:$L$64)/VAR.S('Return Data'!$L$5:$L$64)</x:f>
        <x:v>2.086832653213936</x:v>
      </x:c>
      <x:c r="H7" s="34" t="n">
        <x:f>D7*F7/SUMPRODUCT($D$5:$D$14,$F$5:$F$14)</x:f>
        <x:v>0.21696052529211068</x:v>
      </x:c>
    </x:row>
    <x:row r="8">
      <x:c r="A8" t="str">
        <x:v>JPM</x:v>
      </x:c>
      <x:c r="B8" t="str">
        <x:v>JPMorgan Chase</x:v>
      </x:c>
      <x:c r="C8" t="str">
        <x:v>Financials</x:v>
      </x:c>
      <x:c r="D8" s="24" t="n">
        <x:v>0.1</x:v>
      </x:c>
      <x:c r="E8" s="34" t="n">
        <x:f>(PRODUCT(1+'Return Data'!E$5:E$64)^(12/60))-1</x:f>
        <x:v>0.05263093909412597</x:v>
      </x:c>
      <x:c r="F8" s="34" t="n">
        <x:f>STDEV.S('Return Data'!E$5:E$64)*SQRT(12)</x:f>
        <x:v>0.2261637311818059</x:v>
      </x:c>
      <x:c r="G8" s="36" t="n">
        <x:f>COVARIANCE.S('Return Data'!E$5:E$64,'Return Data'!$L$5:$L$64)/VAR.S('Return Data'!$L$5:$L$64)</x:f>
        <x:v>1.024544999959897</x:v>
      </x:c>
      <x:c r="H8" s="34" t="n">
        <x:f>D8*F8/SUMPRODUCT($D$5:$D$14,$F$5:$F$14)</x:f>
        <x:v>0.08120223590165555</x:v>
      </x:c>
    </x:row>
    <x:row r="9">
      <x:c r="A9" t="str">
        <x:v>AMZN</x:v>
      </x:c>
      <x:c r="B9" t="str">
        <x:v>Amazon</x:v>
      </x:c>
      <x:c r="C9" t="str">
        <x:v>Consumer Discretionary</x:v>
      </x:c>
      <x:c r="D9" s="24" t="n">
        <x:v>0.1</x:v>
      </x:c>
      <x:c r="E9" s="34" t="n">
        <x:f>(PRODUCT(1+'Return Data'!F$5:F$64)^(12/60))-1</x:f>
        <x:v>0.13236618947362455</x:v>
      </x:c>
      <x:c r="F9" s="34" t="n">
        <x:f>STDEV.S('Return Data'!F$5:F$64)*SQRT(12)</x:f>
        <x:v>0.2324806659081477</x:v>
      </x:c>
      <x:c r="G9" s="36" t="n">
        <x:f>COVARIANCE.S('Return Data'!F$5:F$64,'Return Data'!$L$5:$L$64)/VAR.S('Return Data'!$L$5:$L$64)</x:f>
        <x:v>1.0206508774298422</x:v>
      </x:c>
      <x:c r="H9" s="34" t="n">
        <x:f>D9*F9/SUMPRODUCT($D$5:$D$14,$F$5:$F$14)</x:f>
        <x:v>0.08347027959346846</x:v>
      </x:c>
    </x:row>
    <x:row r="10">
      <x:c r="A10" t="str">
        <x:v>GOOGL</x:v>
      </x:c>
      <x:c r="B10" t="str">
        <x:v>Alphabet</x:v>
      </x:c>
      <x:c r="C10" t="str">
        <x:v>Communication Services</x:v>
      </x:c>
      <x:c r="D10" s="24" t="n">
        <x:v>0.09</x:v>
      </x:c>
      <x:c r="E10" s="34" t="n">
        <x:f>(PRODUCT(1+'Return Data'!G$5:G$64)^(12/60))-1</x:f>
        <x:v>0.20112679269921174</x:v>
      </x:c>
      <x:c r="F10" s="34" t="n">
        <x:f>STDEV.S('Return Data'!G$5:G$64)*SQRT(12)</x:f>
        <x:v>0.26725288224408067</x:v>
      </x:c>
      <x:c r="G10" s="36" t="n">
        <x:f>COVARIANCE.S('Return Data'!G$5:G$64,'Return Data'!$L$5:$L$64)/VAR.S('Return Data'!$L$5:$L$64)</x:f>
        <x:v>1.0108986029461344</x:v>
      </x:c>
      <x:c r="H10" s="34" t="n">
        <x:f>D10*F10/SUMPRODUCT($D$5:$D$14,$F$5:$F$14)</x:f>
        <x:v>0.08635946324542386</x:v>
      </x:c>
    </x:row>
    <x:row r="11">
      <x:c r="A11" t="str">
        <x:v>XOM</x:v>
      </x:c>
      <x:c r="B11" t="str">
        <x:v>Exxon Mobil</x:v>
      </x:c>
      <x:c r="C11" t="str">
        <x:v>Energy</x:v>
      </x:c>
      <x:c r="D11" s="24" t="n">
        <x:v>0.07</x:v>
      </x:c>
      <x:c r="E11" s="34" t="n">
        <x:f>(PRODUCT(1+'Return Data'!H$5:H$64)^(12/60))-1</x:f>
        <x:v>0.031037351989122053</x:v>
      </x:c>
      <x:c r="F11" s="34" t="n">
        <x:f>STDEV.S('Return Data'!H$5:H$64)*SQRT(12)</x:f>
        <x:v>0.34576553912372754</x:v>
      </x:c>
      <x:c r="G11" s="36" t="n">
        <x:f>COVARIANCE.S('Return Data'!H$5:H$64,'Return Data'!$L$5:$L$64)/VAR.S('Return Data'!$L$5:$L$64)</x:f>
        <x:v>1.2245410775466679</x:v>
      </x:c>
      <x:c r="H11" s="34" t="n">
        <x:f>D11*F11/SUMPRODUCT($D$5:$D$14,$F$5:$F$14)</x:f>
        <x:v>0.08690100003882811</x:v>
      </x:c>
    </x:row>
    <x:row r="12">
      <x:c r="A12" t="str">
        <x:v>JNJ</x:v>
      </x:c>
      <x:c r="B12" t="str">
        <x:v>Johnson &amp; Johnson</x:v>
      </x:c>
      <x:c r="C12" t="str">
        <x:v>Health Care</x:v>
      </x:c>
      <x:c r="D12" s="24" t="n">
        <x:v>0.07</x:v>
      </x:c>
      <x:c r="E12" s="34" t="n">
        <x:f>(PRODUCT(1+'Return Data'!I$5:I$64)^(12/60))-1</x:f>
        <x:v>-0.03544170180202477</x:v>
      </x:c>
      <x:c r="F12" s="34" t="n">
        <x:f>STDEV.S('Return Data'!I$5:I$64)*SQRT(12)</x:f>
        <x:v>0.16750997021592037</x:v>
      </x:c>
      <x:c r="G12" s="36" t="n">
        <x:f>COVARIANCE.S('Return Data'!I$5:I$64,'Return Data'!$L$5:$L$64)/VAR.S('Return Data'!$L$5:$L$64)</x:f>
        <x:v>0.70236278385607</x:v>
      </x:c>
      <x:c r="H12" s="34" t="n">
        <x:f>D12*F12/SUMPRODUCT($D$5:$D$14,$F$5:$F$14)</x:f>
        <x:v>0.04210015828971563</x:v>
      </x:c>
    </x:row>
    <x:row r="13">
      <x:c r="A13" t="str">
        <x:v>COST</x:v>
      </x:c>
      <x:c r="B13" t="str">
        <x:v>Costco</x:v>
      </x:c>
      <x:c r="C13" t="str">
        <x:v>Consumer Staples</x:v>
      </x:c>
      <x:c r="D13" s="24" t="n">
        <x:v>0.08</x:v>
      </x:c>
      <x:c r="E13" s="34" t="n">
        <x:f>(PRODUCT(1+'Return Data'!J$5:J$64)^(12/60))-1</x:f>
        <x:v>0.11700809092892817</x:v>
      </x:c>
      <x:c r="F13" s="34" t="n">
        <x:f>STDEV.S('Return Data'!J$5:J$64)*SQRT(12)</x:f>
        <x:v>0.2356425724850639</x:v>
      </x:c>
      <x:c r="G13" s="36" t="n">
        <x:f>COVARIANCE.S('Return Data'!J$5:J$64,'Return Data'!$L$5:$L$64)/VAR.S('Return Data'!$L$5:$L$64)</x:f>
        <x:v>1.0989016296407503</x:v>
      </x:c>
      <x:c r="H13" s="34" t="n">
        <x:f>D13*F13/SUMPRODUCT($D$5:$D$14,$F$5:$F$14)</x:f>
        <x:v>0.06768442900872852</x:v>
      </x:c>
    </x:row>
    <x:row r="14">
      <x:c r="A14" t="str">
        <x:v>V</x:v>
      </x:c>
      <x:c r="B14" t="str">
        <x:v>Visa</x:v>
      </x:c>
      <x:c r="C14" t="str">
        <x:v>Financials</x:v>
      </x:c>
      <x:c r="D14" s="24" t="n">
        <x:v>0.1</x:v>
      </x:c>
      <x:c r="E14" s="34" t="n">
        <x:f>(PRODUCT(1+'Return Data'!K$5:K$64)^(12/60))-1</x:f>
        <x:v>0.14211722090848045</x:v>
      </x:c>
      <x:c r="F14" s="34" t="n">
        <x:f>STDEV.S('Return Data'!K$5:K$64)*SQRT(12)</x:f>
        <x:v>0.2474074628652662</x:v>
      </x:c>
      <x:c r="G14" s="36" t="n">
        <x:f>COVARIANCE.S('Return Data'!K$5:K$64,'Return Data'!$L$5:$L$64)/VAR.S('Return Data'!$L$5:$L$64)</x:f>
        <x:v>1.0882433917889163</x:v>
      </x:c>
      <x:c r="H14" s="34" t="n">
        <x:f>D14*F14/SUMPRODUCT($D$5:$D$14,$F$5:$F$14)</x:f>
        <x:v>0.08882962382357266</x:v>
      </x:c>
    </x:row>
    <x:row r="15">
      <x:c r="A15" s="29" t="str">
        <x:v>Total</x:v>
      </x:c>
      <x:c r="B15" s="29" t="str"/>
      <x:c r="C15" s="29" t="str"/>
      <x:c r="D15" s="32" t="n">
        <x:f>SUM(D5:D14)</x:f>
        <x:v>1</x:v>
      </x:c>
      <x:c r="E15" s="29"/>
      <x:c r="F15" s="29"/>
      <x:c r="G15" s="29"/>
      <x:c r="H15" s="32" t="n">
        <x:f>SUM(H5:H14)</x:f>
        <x:v>0.9999999999999999</x:v>
      </x:c>
    </x:row>
  </x:sheetData>
  <x:mergeCells>
    <x:mergeCell ref="A1:H1"/>
    <x:mergeCell ref="A2:H2"/>
  </x:mergeCells>
  <x:conditionalFormatting sqref="D15:D15">
    <x:cfRule type="expression" dxfId="0" priority="1">
      <x:formula>ABS(D15-1)&gt;0.0001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2" hidden="0" customWidth="1"/>
    <x:col min="4" max="4" width="34" hidden="0" customWidth="1"/>
    <x:col min="5" max="5" width="4" hidden="0" customWidth="1"/>
    <x:col min="6" max="6" width="16" hidden="0" customWidth="1"/>
    <x:col min="7" max="7" width="16" hidden="0" customWidth="1"/>
    <x:col min="8" max="8" width="14" hidden="0" customWidth="1"/>
    <x:col min="9" max="9" width="4" hidden="0" customWidth="1"/>
    <x:col min="10" max="10" width="16" hidden="0" customWidth="1"/>
    <x:col min="11" max="11" width="16" hidden="0" customWidth="1"/>
    <x:col min="12" max="12" width="14" hidden="0" customWidth="1"/>
  </x:cols>
  <x:sheetData>
    <x:row r="1" ht="28" customHeight="1">
      <x:c r="A1" s="3" t="str">
        <x:v>Portfolio Risk Analytics</x:v>
      </x:c>
      <x:c r="B1" s="3"/>
      <x:c r="C1" s="3"/>
      <x:c r="D1" s="3"/>
      <x:c r="E1" s="3"/>
      <x:c r="F1" s="3"/>
      <x:c r="G1" s="3"/>
      <x:c r="H1" s="3"/>
    </x:row>
    <x:row r="2">
      <x:c r="F2" t="str">
        <x:v>Risk-Free Rate</x:v>
      </x:c>
      <x:c r="G2" s="24" t="n">
        <x:v>0.04</x:v>
      </x:c>
    </x:row>
    <x:row r="3">
      <x:c r="A3" s="11" t="str">
        <x:v>Portfolio-Level Metrics</x:v>
      </x:c>
      <x:c r="B3" s="11"/>
      <x:c r="C3" s="11"/>
      <x:c r="D3" s="11"/>
      <x:c r="E3" s="11"/>
      <x:c r="F3" s="11" t="str">
        <x:v>Confidence Level</x:v>
      </x:c>
      <x:c r="G3" s="44" t="n">
        <x:v>0.95</x:v>
      </x:c>
      <x:c r="H3" s="11"/>
    </x:row>
    <x:row r="4">
      <x:c r="A4" s="39" t="str">
        <x:v>Metric</x:v>
      </x:c>
      <x:c r="B4" s="39" t="str">
        <x:v>Portfolio</x:v>
      </x:c>
      <x:c r="C4" s="39" t="str">
        <x:v>Benchmark (SPY)</x:v>
      </x:c>
      <x:c r="D4" s="39" t="str">
        <x:v>Interpretation</x:v>
      </x:c>
    </x:row>
    <x:row r="5">
      <x:c r="A5" t="str">
        <x:v>Annualized Return</x:v>
      </x:c>
      <x:c r="B5" s="34" t="n">
        <x:f>(PRODUCT(1+'Return Data'!$M$5:$M$64)^(12/60))-1</x:f>
        <x:v>0.12856400183494876</x:v>
      </x:c>
      <x:c r="C5" s="34" t="n">
        <x:f>(PRODUCT(1+'Return Data'!$L$5:$L$64)^(12/60))-1</x:f>
        <x:v>0.10015799853964258</x:v>
      </x:c>
      <x:c r="D5" s="48" t="str">
        <x:v>Geometric annualized return</x:v>
      </x:c>
      <x:c r="F5" s="39" t="str">
        <x:v>Portfolio Wealth</x:v>
      </x:c>
      <x:c r="G5" s="39" t="str">
        <x:v>Running Peak</x:v>
      </x:c>
      <x:c r="H5" s="39" t="str">
        <x:v>Drawdown</x:v>
      </x:c>
      <x:c r="J5" s="39" t="str">
        <x:v>SPY Wealth</x:v>
      </x:c>
      <x:c r="K5" s="39" t="str">
        <x:v>Running Peak</x:v>
      </x:c>
      <x:c r="L5" s="39" t="str">
        <x:v>Drawdown</x:v>
      </x:c>
    </x:row>
    <x:row r="6">
      <x:c r="A6" t="str">
        <x:v>Annualized Volatility</x:v>
      </x:c>
      <x:c r="B6" s="34" t="n">
        <x:f>STDEV.S('Return Data'!$M$5:$M$64)*SQRT(12)</x:f>
        <x:v>0.2011437671455688</x:v>
      </x:c>
      <x:c r="C6" s="34" t="n">
        <x:f>STDEV.S('Return Data'!$L$5:$L$64)*SQRT(12)</x:f>
        <x:v>0.15444859053976023</x:v>
      </x:c>
      <x:c r="D6" s="48" t="str">
        <x:v>Annualized monthly standard deviation</x:v>
      </x:c>
      <x:c r="F6" t="n">
        <x:f>1+'Return Data'!M5</x:f>
        <x:v>1.0672130878560555</x:v>
      </x:c>
      <x:c r="G6" t="n">
        <x:f>F6</x:f>
        <x:v>1.0672130878560555</x:v>
      </x:c>
      <x:c r="H6" t="n">
        <x:f>F6/G6-1</x:f>
        <x:v>0</x:v>
      </x:c>
      <x:c r="J6" t="n">
        <x:f>1+'Return Data'!L5</x:f>
        <x:v>1.0409219675791965</x:v>
      </x:c>
      <x:c r="K6" t="n">
        <x:f>J6</x:f>
        <x:v>1.0409219675791965</x:v>
      </x:c>
      <x:c r="L6" t="n">
        <x:f>J6/K6-1</x:f>
        <x:v>0</x:v>
      </x:c>
    </x:row>
    <x:row r="7">
      <x:c r="A7" t="str">
        <x:v>Sharpe Ratio</x:v>
      </x:c>
      <x:c r="B7" s="36" t="n">
        <x:f>(B5-$G$2)/B6</x:f>
        <x:v>0.4403019943981387</x:v>
      </x:c>
      <x:c r="C7" s="36" t="n">
        <x:f>(C5-$G$2)/C6</x:f>
        <x:v>0.3895017644991451</x:v>
      </x:c>
      <x:c r="D7" s="48" t="str">
        <x:v>Return per unit of total risk</x:v>
      </x:c>
      <x:c r="F7" t="n">
        <x:f>F6*(1+'Return Data'!M6)</x:f>
        <x:v>1.0613639738880514</x:v>
      </x:c>
      <x:c r="G7" t="n">
        <x:f>MAX(G6,F7)</x:f>
        <x:v>1.0672130878560555</x:v>
      </x:c>
      <x:c r="H7" t="n">
        <x:f>F7/G7-1</x:f>
        <x:v>-0.005480736728739499</x:v>
      </x:c>
      <x:c r="J7" t="n">
        <x:f>J6*(1+'Return Data'!L6)</x:f>
        <x:v>1.051081932406486</x:v>
      </x:c>
      <x:c r="K7" t="n">
        <x:f>MAX(K6,J7)</x:f>
        <x:v>1.051081932406486</x:v>
      </x:c>
      <x:c r="L7" t="n">
        <x:f>J7/K7-1</x:f>
        <x:v>0</x:v>
      </x:c>
    </x:row>
    <x:row r="8">
      <x:c r="A8" t="str">
        <x:v>Beta</x:v>
      </x:c>
      <x:c r="B8" s="36" t="n">
        <x:f>COVARIANCE.S('Return Data'!$M$5:$M$64,'Return Data'!$L$5:$L$64)/VAR.S('Return Data'!$L$5:$L$64)</x:f>
        <x:v>1.2151704706583386</x:v>
      </x:c>
      <x:c r="C8" s="36" t="n">
        <x:v>1</x:v>
      </x:c>
      <x:c r="D8" s="48" t="str">
        <x:v>Sensitivity to broad market</x:v>
      </x:c>
      <x:c r="F8" t="n">
        <x:f>F7*(1+'Return Data'!M7)</x:f>
        <x:v>1.1129283548873086</x:v>
      </x:c>
      <x:c r="G8" t="n">
        <x:f>MAX(G7,F8)</x:f>
        <x:v>1.1129283548873086</x:v>
      </x:c>
      <x:c r="H8" t="n">
        <x:f>F8/G8-1</x:f>
        <x:v>0</x:v>
      </x:c>
      <x:c r="J8" t="n">
        <x:f>J7*(1+'Return Data'!L7)</x:f>
        <x:v>1.1018817745832084</x:v>
      </x:c>
      <x:c r="K8" t="n">
        <x:f>MAX(K7,J8)</x:f>
        <x:v>1.1018817745832084</x:v>
      </x:c>
      <x:c r="L8" t="n">
        <x:f>J8/K8-1</x:f>
        <x:v>0</x:v>
      </x:c>
    </x:row>
    <x:row r="9">
      <x:c r="A9" t="str">
        <x:v>1-Month VaR (95%)</x:v>
      </x:c>
      <x:c r="B9" s="34" t="n">
        <x:f>-PERCENTILE.INC('Return Data'!$M$5:$M$64,1-$G$3)</x:f>
        <x:v>0.08180553009184</x:v>
      </x:c>
      <x:c r="C9" s="34" t="n">
        <x:f>-PERCENTILE.INC('Return Data'!$L$5:$L$64,1-$G$3)</x:f>
        <x:v>0.06819765975261</x:v>
      </x:c>
      <x:c r="D9" s="48" t="str">
        <x:v>Estimated loss threshold in worst 5% of months</x:v>
      </x:c>
      <x:c r="F9" t="n">
        <x:f>F8*(1+'Return Data'!M8)</x:f>
        <x:v>1.247447450998109</x:v>
      </x:c>
      <x:c r="G9" t="n">
        <x:f>MAX(G8,F9)</x:f>
        <x:v>1.247447450998109</x:v>
      </x:c>
      <x:c r="H9" t="n">
        <x:f>F9/G9-1</x:f>
        <x:v>0</x:v>
      </x:c>
      <x:c r="J9" t="n">
        <x:f>J8*(1+'Return Data'!L8)</x:f>
        <x:v>1.2024705537461067</x:v>
      </x:c>
      <x:c r="K9" t="n">
        <x:f>MAX(K8,J9)</x:f>
        <x:v>1.2024705537461067</x:v>
      </x:c>
      <x:c r="L9" t="n">
        <x:f>J9/K9-1</x:f>
        <x:v>0</x:v>
      </x:c>
    </x:row>
    <x:row r="10">
      <x:c r="A10" t="str">
        <x:v>1-Month CVaR (95%)</x:v>
      </x:c>
      <x:c r="B10" s="34" t="n">
        <x:f>-AVERAGEIF('Return Data'!$M$5:$M$64,"&lt;="&amp;PERCENTILE.INC('Return Data'!$M$5:$M$64,1-$G$3),'Return Data'!$M$5:$M$64)</x:f>
        <x:v>0.09277219486978504</x:v>
      </x:c>
      <x:c r="C10" s="34" t="n">
        <x:f>-AVERAGEIF('Return Data'!$L$5:$L$64,"&lt;="&amp;PERCENTILE.INC('Return Data'!$L$5:$L$64,1-$G$3),'Return Data'!$L$5:$L$64)</x:f>
        <x:v>0.07564915164018066</x:v>
      </x:c>
      <x:c r="D10" s="48" t="str">
        <x:v>Average loss in worst 5% of months</x:v>
      </x:c>
      <x:c r="F10" t="n">
        <x:f>F9*(1+'Return Data'!M9)</x:f>
        <x:v>1.2516060630136339</x:v>
      </x:c>
      <x:c r="G10" t="n">
        <x:f>MAX(G9,F10)</x:f>
        <x:v>1.2516060630136339</x:v>
      </x:c>
      <x:c r="H10" t="n">
        <x:f>F10/G10-1</x:f>
        <x:v>0</x:v>
      </x:c>
      <x:c r="J10" t="n">
        <x:f>J9*(1+'Return Data'!L9)</x:f>
        <x:v>1.2085488135043478</x:v>
      </x:c>
      <x:c r="K10" t="n">
        <x:f>MAX(K9,J10)</x:f>
        <x:v>1.2085488135043478</x:v>
      </x:c>
      <x:c r="L10" t="n">
        <x:f>J10/K10-1</x:f>
        <x:v>0</x:v>
      </x:c>
    </x:row>
    <x:row r="11">
      <x:c r="A11" t="str">
        <x:v>Maximum Drawdown</x:v>
      </x:c>
      <x:c r="B11" s="34" t="n">
        <x:f>-MIN(H6:H64)</x:f>
        <x:v>0.24395913757588172</x:v>
      </x:c>
      <x:c r="C11" s="34" t="n">
        <x:f>-MIN(L6:L64)</x:f>
        <x:v>0.2188761174877294</x:v>
      </x:c>
      <x:c r="D11" s="48" t="str">
        <x:v>Largest peak-to-trough decline</x:v>
      </x:c>
      <x:c r="F11" t="n">
        <x:f>F10*(1+'Return Data'!M10)</x:f>
        <x:v>1.3063410451508035</x:v>
      </x:c>
      <x:c r="G11" t="n">
        <x:f>MAX(G10,F11)</x:f>
        <x:v>1.3063410451508035</x:v>
      </x:c>
      <x:c r="H11" t="n">
        <x:f>F11/G11-1</x:f>
        <x:v>0</x:v>
      </x:c>
      <x:c r="J11" t="n">
        <x:f>J10*(1+'Return Data'!L10)</x:f>
        <x:v>1.2146587714346788</x:v>
      </x:c>
      <x:c r="K11" t="n">
        <x:f>MAX(K10,J11)</x:f>
        <x:v>1.2146587714346788</x:v>
      </x:c>
      <x:c r="L11" t="n">
        <x:f>J11/K11-1</x:f>
        <x:v>0</x:v>
      </x:c>
    </x:row>
    <x:row r="12">
      <x:c r="A12" t="str">
        <x:v>Best Month</x:v>
      </x:c>
      <x:c r="B12" s="34" t="n">
        <x:f>MAX('Return Data'!M5:M64)</x:f>
        <x:v>0.15520322546236237</x:v>
      </x:c>
      <x:c r="C12" s="34" t="n">
        <x:f>MAX('Return Data'!L5:L64)</x:f>
        <x:v>0.10744596455075939</x:v>
      </x:c>
      <x:c r="D12" s="48" t="str">
        <x:v>Strongest monthly return</x:v>
      </x:c>
      <x:c r="F12" t="n">
        <x:f>F11*(1+'Return Data'!M11)</x:f>
        <x:v>1.4444346014364553</x:v>
      </x:c>
      <x:c r="G12" t="n">
        <x:f>MAX(G11,F12)</x:f>
        <x:v>1.4444346014364553</x:v>
      </x:c>
      <x:c r="H12" t="n">
        <x:f>F12/G12-1</x:f>
        <x:v>0</x:v>
      </x:c>
      <x:c r="J12" t="n">
        <x:f>J11*(1+'Return Data'!L11)</x:f>
        <x:v>1.3288917729331633</x:v>
      </x:c>
      <x:c r="K12" t="n">
        <x:f>MAX(K11,J12)</x:f>
        <x:v>1.3288917729331633</x:v>
      </x:c>
      <x:c r="L12" t="n">
        <x:f>J12/K12-1</x:f>
        <x:v>0</x:v>
      </x:c>
    </x:row>
    <x:row r="13">
      <x:c r="A13" t="str">
        <x:v>Worst Month</x:v>
      </x:c>
      <x:c r="B13" s="34" t="n">
        <x:f>MIN('Return Data'!M5:M64)</x:f>
        <x:v>-0.1040352320148998</x:v>
      </x:c>
      <x:c r="C13" s="34" t="n">
        <x:f>MIN('Return Data'!L5:L64)</x:f>
        <x:v>-0.07962453291797941</x:v>
      </x:c>
      <x:c r="D13" s="48" t="str">
        <x:v>Weakest monthly return</x:v>
      </x:c>
      <x:c r="F13" t="n">
        <x:f>F12*(1+'Return Data'!M12)</x:f>
        <x:v>1.5181067368633843</x:v>
      </x:c>
      <x:c r="G13" t="n">
        <x:f>MAX(G12,F13)</x:f>
        <x:v>1.5181067368633843</x:v>
      </x:c>
      <x:c r="H13" t="n">
        <x:f>F13/G13-1</x:f>
        <x:v>0</x:v>
      </x:c>
      <x:c r="J13" t="n">
        <x:f>J12*(1+'Return Data'!L12)</x:f>
        <x:v>1.4009276981229832</x:v>
      </x:c>
      <x:c r="K13" t="n">
        <x:f>MAX(K12,J13)</x:f>
        <x:v>1.4009276981229832</x:v>
      </x:c>
      <x:c r="L13" t="n">
        <x:f>J13/K13-1</x:f>
        <x:v>0</x:v>
      </x:c>
    </x:row>
    <x:row r="14">
      <x:c r="F14" t="n">
        <x:f>F13*(1+'Return Data'!M13)</x:f>
        <x:v>1.5183088129829465</x:v>
      </x:c>
      <x:c r="G14" t="n">
        <x:f>MAX(G13,F14)</x:f>
        <x:v>1.5183088129829465</x:v>
      </x:c>
      <x:c r="H14" t="n">
        <x:f>F14/G14-1</x:f>
        <x:v>0</x:v>
      </x:c>
      <x:c r="J14" t="n">
        <x:f>J13*(1+'Return Data'!L13)</x:f>
        <x:v>1.391830752358917</x:v>
      </x:c>
      <x:c r="K14" t="n">
        <x:f>MAX(K13,J14)</x:f>
        <x:v>1.4009276981229832</x:v>
      </x:c>
      <x:c r="L14" t="n">
        <x:f>J14/K14-1</x:f>
        <x:v>-0.00649351552992683</x:v>
      </x:c>
    </x:row>
    <x:row r="15">
      <x:c r="A15" s="11" t="str">
        <x:v>Concentration &amp; Diversification</x:v>
      </x:c>
      <x:c r="B15" s="11"/>
      <x:c r="C15" s="11"/>
      <x:c r="D15" s="11"/>
      <x:c r="E15" s="11"/>
      <x:c r="F15" s="11" t="n">
        <x:f>F14*(1+'Return Data'!M14)</x:f>
        <x:v>1.5415350369668854</x:v>
      </x:c>
      <x:c r="G15" s="11" t="n">
        <x:f>MAX(G14,F15)</x:f>
        <x:v>1.5415350369668854</x:v>
      </x:c>
      <x:c r="H15" s="11" t="n">
        <x:f>F15/G15-1</x:f>
        <x:v>0</x:v>
      </x:c>
      <x:c r="J15" t="n">
        <x:f>J14*(1+'Return Data'!L14)</x:f>
        <x:v>1.4519186528175014</x:v>
      </x:c>
      <x:c r="K15" t="n">
        <x:f>MAX(K14,J15)</x:f>
        <x:v>1.4519186528175014</x:v>
      </x:c>
      <x:c r="L15" t="n">
        <x:f>J15/K15-1</x:f>
        <x:v>0</x:v>
      </x:c>
    </x:row>
    <x:row r="16">
      <x:c r="A16" s="39" t="str">
        <x:v>Metric</x:v>
      </x:c>
      <x:c r="B16" s="39" t="str">
        <x:v>Result</x:v>
      </x:c>
      <x:c r="C16" s="39" t="str">
        <x:v>Threshold / Context</x:v>
      </x:c>
      <x:c r="D16" s="39" t="str">
        <x:v>Status</x:v>
      </x:c>
      <x:c r="F16" t="n">
        <x:f>F15*(1+'Return Data'!M15)</x:f>
        <x:v>1.4953564014119265</x:v>
      </x:c>
      <x:c r="G16" t="n">
        <x:f>MAX(G15,F16)</x:f>
        <x:v>1.5415350369668854</x:v>
      </x:c>
      <x:c r="H16" t="n">
        <x:f>F16/G16-1</x:f>
        <x:v>-0.029956267258005154</x:v>
      </x:c>
      <x:c r="J16" t="n">
        <x:f>J15*(1+'Return Data'!L15)</x:f>
        <x:v>1.4429221514971533</x:v>
      </x:c>
      <x:c r="K16" t="n">
        <x:f>MAX(K15,J16)</x:f>
        <x:v>1.4519186528175014</x:v>
      </x:c>
      <x:c r="L16" t="n">
        <x:f>J16/K16-1</x:f>
        <x:v>-0.006196284690530018</x:v>
      </x:c>
    </x:row>
    <x:row r="17">
      <x:c r="A17" t="str">
        <x:v>Largest Position</x:v>
      </x:c>
      <x:c r="B17" s="34" t="n">
        <x:f>MAX(Holdings!D5:D14)</x:f>
        <x:v>0.14</x:v>
      </x:c>
      <x:c r="C17" t="str">
        <x:v>&lt; 20%</x:v>
      </x:c>
      <x:c r="D17" t="str">
        <x:f>IF(B17&lt;=20%,"OK","Review")</x:f>
        <x:v>OK</x:v>
      </x:c>
      <x:c r="F17" t="n">
        <x:f>F16*(1+'Return Data'!M16)</x:f>
        <x:v>1.5284937561515903</x:v>
      </x:c>
      <x:c r="G17" t="n">
        <x:f>MAX(G16,F17)</x:f>
        <x:v>1.5415350369668854</x:v>
      </x:c>
      <x:c r="H17" t="n">
        <x:f>F17/G17-1</x:f>
        <x:v>-0.00845993149851143</x:v>
      </x:c>
      <x:c r="J17" t="n">
        <x:f>J16*(1+'Return Data'!L16)</x:f>
        <x:v>1.4338176755481569</x:v>
      </x:c>
      <x:c r="K17" t="n">
        <x:f>MAX(K16,J17)</x:f>
        <x:v>1.4519186528175014</x:v>
      </x:c>
      <x:c r="L17" t="n">
        <x:f>J17/K17-1</x:f>
        <x:v>-0.01246693623931272</x:v>
      </x:c>
    </x:row>
    <x:row r="18">
      <x:c r="A18" t="str">
        <x:v>Top 3 Concentration</x:v>
      </x:c>
      <x:c r="B18" s="34" t="n">
        <x:f>LARGE(Holdings!D5:D14,1)+LARGE(Holdings!D5:D14,2)+LARGE(Holdings!D5:D14,3)</x:f>
        <x:v>0.39</x:v>
      </x:c>
      <x:c r="C18" t="str">
        <x:v>&lt; 45%</x:v>
      </x:c>
      <x:c r="D18" t="str">
        <x:f>IF(B18&lt;=45%,"OK","Review")</x:f>
        <x:v>OK</x:v>
      </x:c>
      <x:c r="F18" t="n">
        <x:f>F17*(1+'Return Data'!M17)</x:f>
        <x:v>1.6145441785550116</x:v>
      </x:c>
      <x:c r="G18" t="n">
        <x:f>MAX(G17,F18)</x:f>
        <x:v>1.6145441785550116</x:v>
      </x:c>
      <x:c r="H18" t="n">
        <x:f>F18/G18-1</x:f>
        <x:v>0</x:v>
      </x:c>
      <x:c r="J18" t="n">
        <x:f>J17*(1+'Return Data'!L17)</x:f>
        <x:v>1.474566884085065</x:v>
      </x:c>
      <x:c r="K18" t="n">
        <x:f>MAX(K17,J18)</x:f>
        <x:v>1.474566884085065</x:v>
      </x:c>
      <x:c r="L18" t="n">
        <x:f>J18/K18-1</x:f>
        <x:v>0</x:v>
      </x:c>
    </x:row>
    <x:row r="19">
      <x:c r="A19" t="str">
        <x:v>Technology Weight</x:v>
      </x:c>
      <x:c r="B19" s="34" t="n">
        <x:f>SUMIF(Holdings!C5:C14,"Technology",Holdings!D5:D14)</x:f>
        <x:v>0.39</x:v>
      </x:c>
      <x:c r="C19" t="str">
        <x:v>&lt; 40%</x:v>
      </x:c>
      <x:c r="D19" t="str">
        <x:f>IF(B19&lt;=40%,"OK","Review")</x:f>
        <x:v>OK</x:v>
      </x:c>
      <x:c r="F19" t="n">
        <x:f>F18*(1+'Return Data'!M18)</x:f>
        <x:v>1.4888921001197253</x:v>
      </x:c>
      <x:c r="G19" t="n">
        <x:f>MAX(G18,F19)</x:f>
        <x:v>1.6145441785550116</x:v>
      </x:c>
      <x:c r="H19" t="n">
        <x:f>F19/G19-1</x:f>
        <x:v>-0.07782511008632964</x:v>
      </x:c>
      <x:c r="J19" t="n">
        <x:f>J18*(1+'Return Data'!L18)</x:f>
        <x:v>1.3605121435240974</x:v>
      </x:c>
      <x:c r="K19" t="n">
        <x:f>MAX(K18,J19)</x:f>
        <x:v>1.474566884085065</x:v>
      </x:c>
      <x:c r="L19" t="n">
        <x:f>J19/K19-1</x:f>
        <x:v>-0.0773479601311784</x:v>
      </x:c>
    </x:row>
    <x:row r="20">
      <x:c r="A20" t="str">
        <x:v>Effective # Holdings</x:v>
      </x:c>
      <x:c r="B20" s="36" t="n">
        <x:f>1/SUMSQ(Holdings!D5:D14)</x:f>
        <x:v>9.50570342205323</x:v>
      </x:c>
      <x:c r="C20" t="str">
        <x:v>10 = equal-weighted</x:v>
      </x:c>
      <x:c r="D20" t="str">
        <x:f>IF(B20&gt;=7,"OK","Review")</x:f>
        <x:v>OK</x:v>
      </x:c>
      <x:c r="F20" t="n">
        <x:f>F19*(1+'Return Data'!M19)</x:f>
        <x:v>1.398690576720594</x:v>
      </x:c>
      <x:c r="G20" t="n">
        <x:f>MAX(G19,F20)</x:f>
        <x:v>1.6145441785550116</x:v>
      </x:c>
      <x:c r="H20" t="n">
        <x:f>F20/G20-1</x:f>
        <x:v>-0.1336932149032941</x:v>
      </x:c>
      <x:c r="J20" t="n">
        <x:f>J19*(1+'Return Data'!L19)</x:f>
        <x:v>1.2678556645926022</x:v>
      </x:c>
      <x:c r="K20" t="n">
        <x:f>MAX(K19,J20)</x:f>
        <x:v>1.474566884085065</x:v>
      </x:c>
      <x:c r="L20" t="n">
        <x:f>J20/K20-1</x:f>
        <x:v>-0.140184363099082</x:v>
      </x:c>
    </x:row>
    <x:row r="21">
      <x:c r="A21" t="str">
        <x:v>Diversification Score</x:v>
      </x:c>
      <x:c r="B21" s="34" t="n">
        <x:f>B20/10</x:f>
        <x:v>0.950570342205323</x:v>
      </x:c>
      <x:c r="C21" t="str">
        <x:v>100% = fully equal-weighted</x:v>
      </x:c>
      <x:c r="D21" t="str">
        <x:f>IF(B21&gt;=70%,"OK","Review")</x:f>
        <x:v>OK</x:v>
      </x:c>
      <x:c r="F21" t="n">
        <x:f>F20*(1+'Return Data'!M20)</x:f>
        <x:v>1.4016566876958538</x:v>
      </x:c>
      <x:c r="G21" t="n">
        <x:f>MAX(G20,F21)</x:f>
        <x:v>1.6145441785550116</x:v>
      </x:c>
      <x:c r="H21" t="n">
        <x:f>F21/G21-1</x:f>
        <x:v>-0.1318560951671749</x:v>
      </x:c>
      <x:c r="J21" t="n">
        <x:f>J20*(1+'Return Data'!L20)</x:f>
        <x:v>1.2538480155405949</x:v>
      </x:c>
      <x:c r="K21" t="n">
        <x:f>MAX(K20,J21)</x:f>
        <x:v>1.474566884085065</x:v>
      </x:c>
      <x:c r="L21" t="n">
        <x:f>J21/K21-1</x:f>
        <x:v>-0.14968386373427955</x:v>
      </x:c>
    </x:row>
    <x:row r="22">
      <x:c r="F22" t="n">
        <x:f>F21*(1+'Return Data'!M21)</x:f>
        <x:v>1.3532489014900557</x:v>
      </x:c>
      <x:c r="G22" t="n">
        <x:f>MAX(G21,F22)</x:f>
        <x:v>1.6145441785550116</x:v>
      </x:c>
      <x:c r="H22" t="n">
        <x:f>F22/G22-1</x:f>
        <x:v>-0.1618384188773394</x:v>
      </x:c>
      <x:c r="J22" t="n">
        <x:f>J21*(1+'Return Data'!L21)</x:f>
        <x:v>1.2122721408106527</x:v>
      </x:c>
      <x:c r="K22" t="n">
        <x:f>MAX(K21,J22)</x:f>
        <x:v>1.474566884085065</x:v>
      </x:c>
      <x:c r="L22" t="n">
        <x:f>J22/K22-1</x:f>
        <x:v>-0.17787917666221031</x:v>
      </x:c>
    </x:row>
    <x:row r="23">
      <x:c r="F23" t="n">
        <x:f>F22*(1+'Return Data'!M22)</x:f>
        <x:v>1.385229554704971</x:v>
      </x:c>
      <x:c r="G23" t="n">
        <x:f>MAX(G22,F23)</x:f>
        <x:v>1.6145441785550116</x:v>
      </x:c>
      <x:c r="H23" t="n">
        <x:f>F23/G23-1</x:f>
        <x:v>-0.1420305662092649</x:v>
      </x:c>
      <x:c r="J23" t="n">
        <x:f>J22*(1+'Return Data'!L22)</x:f>
        <x:v>1.2510253896267978</x:v>
      </x:c>
      <x:c r="K23" t="n">
        <x:f>MAX(K22,J23)</x:f>
        <x:v>1.474566884085065</x:v>
      </x:c>
      <x:c r="L23" t="n">
        <x:f>J23/K23-1</x:f>
        <x:v>-0.1515980705052722</x:v>
      </x:c>
    </x:row>
    <x:row r="24">
      <x:c r="F24" t="n">
        <x:f>F23*(1+'Return Data'!M23)</x:f>
        <x:v>1.362398854055018</x:v>
      </x:c>
      <x:c r="G24" t="n">
        <x:f>MAX(G23,F24)</x:f>
        <x:v>1.6145441785550116</x:v>
      </x:c>
      <x:c r="H24" t="n">
        <x:f>F24/G24-1</x:f>
        <x:v>-0.15617121404857393</x:v>
      </x:c>
      <x:c r="J24" t="n">
        <x:f>J23*(1+'Return Data'!L23)</x:f>
        <x:v>1.215977610658995</x:v>
      </x:c>
      <x:c r="K24" t="n">
        <x:f>MAX(K23,J24)</x:f>
        <x:v>1.474566884085065</x:v>
      </x:c>
      <x:c r="L24" t="n">
        <x:f>J24/K24-1</x:f>
        <x:v>-0.17536625582536303</x:v>
      </x:c>
    </x:row>
    <x:row r="25">
      <x:c r="F25" t="n">
        <x:f>F24*(1+'Return Data'!M24)</x:f>
        <x:v>1.2206613731765705</x:v>
      </x:c>
      <x:c r="G25" t="n">
        <x:f>MAX(G24,F25)</x:f>
        <x:v>1.6145441785550116</x:v>
      </x:c>
      <x:c r="H25" t="n">
        <x:f>F25/G25-1</x:f>
        <x:v>-0.24395913757588172</x:v>
      </x:c>
      <x:c r="J25" t="n">
        <x:f>J24*(1+'Return Data'!L24)</x:f>
        <x:v>1.1518194095205472</x:v>
      </x:c>
      <x:c r="K25" t="n">
        <x:f>MAX(K24,J25)</x:f>
        <x:v>1.474566884085065</x:v>
      </x:c>
      <x:c r="L25" t="n">
        <x:f>J25/K25-1</x:f>
        <x:v>-0.2188761174877294</x:v>
      </x:c>
    </x:row>
    <x:row r="26">
      <x:c r="F26" t="n">
        <x:f>F25*(1+'Return Data'!M25)</x:f>
        <x:v>1.3411092607826944</x:v>
      </x:c>
      <x:c r="G26" t="n">
        <x:f>MAX(G25,F26)</x:f>
        <x:v>1.6145441785550116</x:v>
      </x:c>
      <x:c r="H26" t="n">
        <x:f>F26/G26-1</x:f>
        <x:v>-0.16935734642890765</x:v>
      </x:c>
      <x:c r="J26" t="n">
        <x:f>J25*(1+'Return Data'!L25)</x:f>
        <x:v>1.2537234225690201</x:v>
      </x:c>
      <x:c r="K26" t="n">
        <x:f>MAX(K25,J26)</x:f>
        <x:v>1.474566884085065</x:v>
      </x:c>
      <x:c r="L26" t="n">
        <x:f>J26/K26-1</x:f>
        <x:v>-0.14976835835634084</x:v>
      </x:c>
    </x:row>
    <x:row r="27">
      <x:c r="F27" t="n">
        <x:f>F26*(1+'Return Data'!M26)</x:f>
        <x:v>1.3952385386811923</x:v>
      </x:c>
      <x:c r="G27" t="n">
        <x:f>MAX(G26,F27)</x:f>
        <x:v>1.6145441785550116</x:v>
      </x:c>
      <x:c r="H27" t="n">
        <x:f>F27/G27-1</x:f>
        <x:v>-0.13583130321654868</x:v>
      </x:c>
      <x:c r="J27" t="n">
        <x:f>J26*(1+'Return Data'!L26)</x:f>
        <x:v>1.260576165302869</x:v>
      </x:c>
      <x:c r="K27" t="n">
        <x:f>MAX(K26,J27)</x:f>
        <x:v>1.474566884085065</x:v>
      </x:c>
      <x:c r="L27" t="n">
        <x:f>J27/K27-1</x:f>
        <x:v>-0.1451210664580822</x:v>
      </x:c>
    </x:row>
    <x:row r="28">
      <x:c r="F28" t="n">
        <x:f>F27*(1+'Return Data'!M27)</x:f>
        <x:v>1.3987538403961794</x:v>
      </x:c>
      <x:c r="G28" t="n">
        <x:f>MAX(G27,F28)</x:f>
        <x:v>1.6145441785550116</x:v>
      </x:c>
      <x:c r="H28" t="n">
        <x:f>F28/G28-1</x:f>
        <x:v>-0.13365403128947562</x:v>
      </x:c>
      <x:c r="J28" t="n">
        <x:f>J27*(1+'Return Data'!L27)</x:f>
        <x:v>1.285610911258422</x:v>
      </x:c>
      <x:c r="K28" t="n">
        <x:f>MAX(K27,J28)</x:f>
        <x:v>1.474566884085065</x:v>
      </x:c>
      <x:c r="L28" t="n">
        <x:f>J28/K28-1</x:f>
        <x:v>-0.1281433720409948</x:v>
      </x:c>
    </x:row>
    <x:row r="29">
      <x:c r="F29" t="n">
        <x:f>F28*(1+'Return Data'!M28)</x:f>
        <x:v>1.3466220416631627</x:v>
      </x:c>
      <x:c r="G29" t="n">
        <x:f>MAX(G28,F29)</x:f>
        <x:v>1.6145441785550116</x:v>
      </x:c>
      <x:c r="H29" t="n">
        <x:f>F29/G29-1</x:f>
        <x:v>-0.16594289611302837</x:v>
      </x:c>
      <x:c r="J29" t="n">
        <x:f>J28*(1+'Return Data'!L28)</x:f>
        <x:v>1.2169935368632319</x:v>
      </x:c>
      <x:c r="K29" t="n">
        <x:f>MAX(K28,J29)</x:f>
        <x:v>1.474566884085065</x:v>
      </x:c>
      <x:c r="L29" t="n">
        <x:f>J29/K29-1</x:f>
        <x:v>-0.1746772899905802</x:v>
      </x:c>
    </x:row>
    <x:row r="30">
      <x:c r="F30" t="n">
        <x:f>F29*(1+'Return Data'!M29)</x:f>
        <x:v>1.289594146795618</x:v>
      </x:c>
      <x:c r="G30" t="n">
        <x:f>MAX(G29,F30)</x:f>
        <x:v>1.6145441785550116</x:v>
      </x:c>
      <x:c r="H30" t="n">
        <x:f>F30/G30-1</x:f>
        <x:v>-0.2012642553084042</x:v>
      </x:c>
      <x:c r="J30" t="n">
        <x:f>J29*(1+'Return Data'!L29)</x:f>
        <x:v>1.204617168682174</x:v>
      </x:c>
      <x:c r="K30" t="n">
        <x:f>MAX(K29,J30)</x:f>
        <x:v>1.474566884085065</x:v>
      </x:c>
      <x:c r="L30" t="n">
        <x:f>J30/K30-1</x:f>
        <x:v>-0.18307051264777896</x:v>
      </x:c>
    </x:row>
    <x:row r="31">
      <x:c r="F31" t="n">
        <x:f>F30*(1+'Return Data'!M30)</x:f>
        <x:v>1.2881713778670543</x:v>
      </x:c>
      <x:c r="G31" t="n">
        <x:f>MAX(G30,F31)</x:f>
        <x:v>1.6145441785550116</x:v>
      </x:c>
      <x:c r="H31" t="n">
        <x:f>F31/G31-1</x:f>
        <x:v>-0.20214547549888362</x:v>
      </x:c>
      <x:c r="J31" t="n">
        <x:f>J30*(1+'Return Data'!L30)</x:f>
        <x:v>1.2311058982244025</x:v>
      </x:c>
      <x:c r="K31" t="n">
        <x:f>MAX(K30,J31)</x:f>
        <x:v>1.474566884085065</x:v>
      </x:c>
      <x:c r="L31" t="n">
        <x:f>J31/K31-1</x:f>
        <x:v>-0.1651067771074517</x:v>
      </x:c>
    </x:row>
    <x:row r="32">
      <x:c r="F32" t="n">
        <x:f>F31*(1+'Return Data'!M31)</x:f>
        <x:v>1.2417659563059724</x:v>
      </x:c>
      <x:c r="G32" t="n">
        <x:f>MAX(G31,F32)</x:f>
        <x:v>1.6145441785550116</x:v>
      </x:c>
      <x:c r="H32" t="n">
        <x:f>F32/G32-1</x:f>
        <x:v>-0.23088759490165767</x:v>
      </x:c>
      <x:c r="J32" t="n">
        <x:f>J31*(1+'Return Data'!L31)</x:f>
        <x:v>1.1819368643176071</x:v>
      </x:c>
      <x:c r="K32" t="n">
        <x:f>MAX(K31,J32)</x:f>
        <x:v>1.474566884085065</x:v>
      </x:c>
      <x:c r="L32" t="n">
        <x:f>J32/K32-1</x:f>
        <x:v>-0.19845150662597988</x:v>
      </x:c>
    </x:row>
    <x:row r="33">
      <x:c r="F33" t="n">
        <x:f>F32*(1+'Return Data'!M32)</x:f>
        <x:v>1.2886683378481127</x:v>
      </x:c>
      <x:c r="G33" t="n">
        <x:f>MAX(G32,F33)</x:f>
        <x:v>1.6145441785550116</x:v>
      </x:c>
      <x:c r="H33" t="n">
        <x:f>F33/G33-1</x:f>
        <x:v>-0.2018376734655548</x:v>
      </x:c>
      <x:c r="J33" t="n">
        <x:f>J32*(1+'Return Data'!L32)</x:f>
        <x:v>1.2232847132319729</x:v>
      </x:c>
      <x:c r="K33" t="n">
        <x:f>MAX(K32,J33)</x:f>
        <x:v>1.474566884085065</x:v>
      </x:c>
      <x:c r="L33" t="n">
        <x:f>J33/K33-1</x:f>
        <x:v>-0.17041083287924708</x:v>
      </x:c>
    </x:row>
    <x:row r="34">
      <x:c r="F34" t="n">
        <x:f>F33*(1+'Return Data'!M33)</x:f>
        <x:v>1.2742253718129812</x:v>
      </x:c>
      <x:c r="G34" t="n">
        <x:f>MAX(G33,F34)</x:f>
        <x:v>1.6145441785550116</x:v>
      </x:c>
      <x:c r="H34" t="n">
        <x:f>F34/G34-1</x:f>
        <x:v>-0.2107832113003001</x:v>
      </x:c>
      <x:c r="J34" t="n">
        <x:f>J33*(1+'Return Data'!L33)</x:f>
        <x:v>1.2074671844327243</x:v>
      </x:c>
      <x:c r="K34" t="n">
        <x:f>MAX(K33,J34)</x:f>
        <x:v>1.474566884085065</x:v>
      </x:c>
      <x:c r="L34" t="n">
        <x:f>J34/K34-1</x:f>
        <x:v>-0.1811377310416611</x:v>
      </x:c>
    </x:row>
    <x:row r="35">
      <x:c r="F35" t="n">
        <x:f>F34*(1+'Return Data'!M34)</x:f>
        <x:v>1.3447467387160013</x:v>
      </x:c>
      <x:c r="G35" t="n">
        <x:f>MAX(G34,F35)</x:f>
        <x:v>1.6145441785550116</x:v>
      </x:c>
      <x:c r="H35" t="n">
        <x:f>F35/G35-1</x:f>
        <x:v>-0.16710440223473744</x:v>
      </x:c>
      <x:c r="J35" t="n">
        <x:f>J34*(1+'Return Data'!L34)</x:f>
        <x:v>1.2101610785099974</x:v>
      </x:c>
      <x:c r="K35" t="n">
        <x:f>MAX(K34,J35)</x:f>
        <x:v>1.474566884085065</x:v>
      </x:c>
      <x:c r="L35" t="n">
        <x:f>J35/K35-1</x:f>
        <x:v>-0.1793108257270577</x:v>
      </x:c>
    </x:row>
    <x:row r="36">
      <x:c r="F36" t="n">
        <x:f>F35*(1+'Return Data'!M35)</x:f>
        <x:v>1.3292080978282623</x:v>
      </x:c>
      <x:c r="G36" t="n">
        <x:f>MAX(G35,F36)</x:f>
        <x:v>1.6145441785550116</x:v>
      </x:c>
      <x:c r="H36" t="n">
        <x:f>F36/G36-1</x:f>
        <x:v>-0.17672856804830206</x:v>
      </x:c>
      <x:c r="J36" t="n">
        <x:f>J35*(1+'Return Data'!L35)</x:f>
        <x:v>1.1944498210393182</x:v>
      </x:c>
      <x:c r="K36" t="n">
        <x:f>MAX(K35,J36)</x:f>
        <x:v>1.474566884085065</x:v>
      </x:c>
      <x:c r="L36" t="n">
        <x:f>J36/K36-1</x:f>
        <x:v>-0.18996565436877622</x:v>
      </x:c>
    </x:row>
    <x:row r="37">
      <x:c r="F37" t="n">
        <x:f>F36*(1+'Return Data'!M36)</x:f>
        <x:v>1.5355054819218998</x:v>
      </x:c>
      <x:c r="G37" t="n">
        <x:f>MAX(G36,F37)</x:f>
        <x:v>1.6145441785550116</x:v>
      </x:c>
      <x:c r="H37" t="n">
        <x:f>F37/G37-1</x:f>
        <x:v>-0.04895418637838078</x:v>
      </x:c>
      <x:c r="J37" t="n">
        <x:f>J36*(1+'Return Data'!L36)</x:f>
        <x:v>1.32278863416837</x:v>
      </x:c>
      <x:c r="K37" t="n">
        <x:f>MAX(K36,J37)</x:f>
        <x:v>1.474566884085065</x:v>
      </x:c>
      <x:c r="L37" t="n">
        <x:f>J37/K37-1</x:f>
        <x:v>-0.10293073278318599</x:v>
      </x:c>
    </x:row>
    <x:row r="38">
      <x:c r="F38" t="n">
        <x:f>F37*(1+'Return Data'!M37)</x:f>
        <x:v>1.5569335190210367</x:v>
      </x:c>
      <x:c r="G38" t="n">
        <x:f>MAX(G37,F38)</x:f>
        <x:v>1.6145441785550116</x:v>
      </x:c>
      <x:c r="H38" t="n">
        <x:f>F38/G38-1</x:f>
        <x:v>-0.03568230606457323</x:v>
      </x:c>
      <x:c r="J38" t="n">
        <x:f>J37*(1+'Return Data'!L37)</x:f>
        <x:v>1.34379909465303</x:v>
      </x:c>
      <x:c r="K38" t="n">
        <x:f>MAX(K37,J38)</x:f>
        <x:v>1.474566884085065</x:v>
      </x:c>
      <x:c r="L38" t="n">
        <x:f>J38/K38-1</x:f>
        <x:v>-0.08868216887508185</x:v>
      </x:c>
    </x:row>
    <x:row r="39">
      <x:c r="F39" t="n">
        <x:f>F38*(1+'Return Data'!M38)</x:f>
        <x:v>1.5105123192626952</x:v>
      </x:c>
      <x:c r="G39" t="n">
        <x:f>MAX(G38,F39)</x:f>
        <x:v>1.6145441785550116</x:v>
      </x:c>
      <x:c r="H39" t="n">
        <x:f>F39/G39-1</x:f>
        <x:v>-0.0644341980071571</x:v>
      </x:c>
      <x:c r="J39" t="n">
        <x:f>J38*(1+'Return Data'!L38)</x:f>
        <x:v>1.2962808935500931</x:v>
      </x:c>
      <x:c r="K39" t="n">
        <x:f>MAX(K38,J39)</x:f>
        <x:v>1.474566884085065</x:v>
      </x:c>
      <x:c r="L39" t="n">
        <x:f>J39/K39-1</x:f>
        <x:v>-0.1209073609744018</x:v>
      </x:c>
    </x:row>
    <x:row r="40">
      <x:c r="F40" t="n">
        <x:f>F39*(1+'Return Data'!M39)</x:f>
        <x:v>1.6048159509316655</x:v>
      </x:c>
      <x:c r="G40" t="n">
        <x:f>MAX(G39,F40)</x:f>
        <x:v>1.6145441785550116</x:v>
      </x:c>
      <x:c r="H40" t="n">
        <x:f>F40/G40-1</x:f>
        <x:v>-0.006025370970060839</x:v>
      </x:c>
      <x:c r="J40" t="n">
        <x:f>J39*(1+'Return Data'!L39)</x:f>
        <x:v>1.3700548811253066</x:v>
      </x:c>
      <x:c r="K40" t="n">
        <x:f>MAX(K39,J40)</x:f>
        <x:v>1.474566884085065</x:v>
      </x:c>
      <x:c r="L40" t="n">
        <x:f>J40/K40-1</x:f>
        <x:v>-0.07087640722693</x:v>
      </x:c>
    </x:row>
    <x:row r="41">
      <x:c r="F41" t="n">
        <x:f>F40*(1+'Return Data'!M40)</x:f>
        <x:v>1.4842190510908464</x:v>
      </x:c>
      <x:c r="G41" t="n">
        <x:f>MAX(G40,F41)</x:f>
        <x:v>1.6145441785550116</x:v>
      </x:c>
      <x:c r="H41" t="n">
        <x:f>F41/G41-1</x:f>
        <x:v>-0.08071945580380702</x:v>
      </x:c>
      <x:c r="J41" t="n">
        <x:f>J40*(1+'Return Data'!L40)</x:f>
        <x:v>1.3106399967350681</x:v>
      </x:c>
      <x:c r="K41" t="n">
        <x:f>MAX(K40,J41)</x:f>
        <x:v>1.474566884085065</x:v>
      </x:c>
      <x:c r="L41" t="n">
        <x:f>J41/K41-1</x:f>
        <x:v>-0.11116951636392525</x:v>
      </x:c>
    </x:row>
    <x:row r="42">
      <x:c r="F42" t="n">
        <x:f>F41*(1+'Return Data'!M41)</x:f>
        <x:v>1.5215994840952207</x:v>
      </x:c>
      <x:c r="G42" t="n">
        <x:f>MAX(G41,F42)</x:f>
        <x:v>1.6145441785550116</x:v>
      </x:c>
      <x:c r="H42" t="n">
        <x:f>F42/G42-1</x:f>
        <x:v>-0.05756714228964288</x:v>
      </x:c>
      <x:c r="J42" t="n">
        <x:f>J41*(1+'Return Data'!L41)</x:f>
        <x:v>1.3457596004742838</x:v>
      </x:c>
      <x:c r="K42" t="n">
        <x:f>MAX(K41,J42)</x:f>
        <x:v>1.474566884085065</x:v>
      </x:c>
      <x:c r="L42" t="n">
        <x:f>J42/K42-1</x:f>
        <x:v>-0.08735262198072702</x:v>
      </x:c>
    </x:row>
    <x:row r="43">
      <x:c r="F43" t="n">
        <x:f>F42*(1+'Return Data'!M42)</x:f>
        <x:v>1.383277769366431</x:v>
      </x:c>
      <x:c r="G43" t="n">
        <x:f>MAX(G42,F43)</x:f>
        <x:v>1.6145441785550116</x:v>
      </x:c>
      <x:c r="H43" t="n">
        <x:f>F43/G43-1</x:f>
        <x:v>-0.14323944321892745</x:v>
      </x:c>
      <x:c r="J43" t="n">
        <x:f>J42*(1+'Return Data'!L42)</x:f>
        <x:v>1.2386041208666323</x:v>
      </x:c>
      <x:c r="K43" t="n">
        <x:f>MAX(K42,J43)</x:f>
        <x:v>1.474566884085065</x:v>
      </x:c>
      <x:c r="L43" t="n">
        <x:f>J43/K43-1</x:f>
        <x:v>-0.16002174317433027</x:v>
      </x:c>
    </x:row>
    <x:row r="44">
      <x:c r="F44" t="n">
        <x:f>F43*(1+'Return Data'!M43)</x:f>
        <x:v>1.2702323263419388</x:v>
      </x:c>
      <x:c r="G44" t="n">
        <x:f>MAX(G43,F44)</x:f>
        <x:v>1.6145441785550116</x:v>
      </x:c>
      <x:c r="H44" t="n">
        <x:f>F44/G44-1</x:f>
        <x:v>-0.21325638331013386</x:v>
      </x:c>
      <x:c r="J44" t="n">
        <x:f>J43*(1+'Return Data'!L43)</x:f>
        <x:v>1.178365110636774</x:v>
      </x:c>
      <x:c r="K44" t="n">
        <x:f>MAX(K43,J44)</x:f>
        <x:v>1.474566884085065</x:v>
      </x:c>
      <x:c r="L44" t="n">
        <x:f>J44/K44-1</x:f>
        <x:v>-0.20087374580643547</x:v>
      </x:c>
    </x:row>
    <x:row r="45">
      <x:c r="F45" t="n">
        <x:f>F44*(1+'Return Data'!M44)</x:f>
        <x:v>1.3072044462654973</x:v>
      </x:c>
      <x:c r="G45" t="n">
        <x:f>MAX(G44,F45)</x:f>
        <x:v>1.6145441785550116</x:v>
      </x:c>
      <x:c r="H45" t="n">
        <x:f>F45/G45-1</x:f>
        <x:v>-0.1903569666112066</x:v>
      </x:c>
      <x:c r="J45" t="n">
        <x:f>J44*(1+'Return Data'!L44)</x:f>
        <x:v>1.2092462349455806</x:v>
      </x:c>
      <x:c r="K45" t="n">
        <x:f>MAX(K44,J45)</x:f>
        <x:v>1.474566884085065</x:v>
      </x:c>
      <x:c r="L45" t="n">
        <x:f>J45/K45-1</x:f>
        <x:v>-0.1799312408294791</x:v>
      </x:c>
    </x:row>
    <x:row r="46">
      <x:c r="F46" t="n">
        <x:f>F45*(1+'Return Data'!M45)</x:f>
        <x:v>1.3921079553384796</x:v>
      </x:c>
      <x:c r="G46" t="n">
        <x:f>MAX(G45,F46)</x:f>
        <x:v>1.6145441785550116</x:v>
      </x:c>
      <x:c r="H46" t="n">
        <x:f>F46/G46-1</x:f>
        <x:v>-0.13777029217968406</x:v>
      </x:c>
      <x:c r="J46" t="n">
        <x:f>J45*(1+'Return Data'!L45)</x:f>
        <x:v>1.2730774015315294</x:v>
      </x:c>
      <x:c r="K46" t="n">
        <x:f>MAX(K45,J46)</x:f>
        <x:v>1.474566884085065</x:v>
      </x:c>
      <x:c r="L46" t="n">
        <x:f>J46/K46-1</x:f>
        <x:v>-0.13664316263182275</x:v>
      </x:c>
    </x:row>
    <x:row r="47">
      <x:c r="F47" t="n">
        <x:f>F46*(1+'Return Data'!M46)</x:f>
        <x:v>1.4126122460833603</x:v>
      </x:c>
      <x:c r="G47" t="n">
        <x:f>MAX(G46,F47)</x:f>
        <x:v>1.6145441785550116</x:v>
      </x:c>
      <x:c r="H47" t="n">
        <x:f>F47/G47-1</x:f>
        <x:v>-0.1250705525149376</x:v>
      </x:c>
      <x:c r="J47" t="n">
        <x:f>J46*(1+'Return Data'!L46)</x:f>
        <x:v>1.3048479300897422</x:v>
      </x:c>
      <x:c r="K47" t="n">
        <x:f>MAX(K46,J47)</x:f>
        <x:v>1.474566884085065</x:v>
      </x:c>
      <x:c r="L47" t="n">
        <x:f>J47/K47-1</x:f>
        <x:v>-0.11509749461153096</x:v>
      </x:c>
    </x:row>
    <x:row r="48">
      <x:c r="F48" t="n">
        <x:f>F47*(1+'Return Data'!M47)</x:f>
        <x:v>1.4556183462458783</x:v>
      </x:c>
      <x:c r="G48" t="n">
        <x:f>MAX(G47,F48)</x:f>
        <x:v>1.6145441785550116</x:v>
      </x:c>
      <x:c r="H48" t="n">
        <x:f>F48/G48-1</x:f>
        <x:v>-0.09843387032702267</x:v>
      </x:c>
      <x:c r="J48" t="n">
        <x:f>J47*(1+'Return Data'!L47)</x:f>
        <x:v>1.3190321753099827</x:v>
      </x:c>
      <x:c r="K48" t="n">
        <x:f>MAX(K47,J48)</x:f>
        <x:v>1.474566884085065</x:v>
      </x:c>
      <x:c r="L48" t="n">
        <x:f>J48/K48-1</x:f>
        <x:v>-0.10547823259410027</x:v>
      </x:c>
    </x:row>
    <x:row r="49">
      <x:c r="F49" t="n">
        <x:f>F48*(1+'Return Data'!M48)</x:f>
        <x:v>1.4064254844907613</x:v>
      </x:c>
      <x:c r="G49" t="n">
        <x:f>MAX(G48,F49)</x:f>
        <x:v>1.6145441785550116</x:v>
      </x:c>
      <x:c r="H49" t="n">
        <x:f>F49/G49-1</x:f>
        <x:v>-0.12890244616936586</x:v>
      </x:c>
      <x:c r="J49" t="n">
        <x:f>J48*(1+'Return Data'!L48)</x:f>
        <x:v>1.3213658569712838</x:v>
      </x:c>
      <x:c r="K49" t="n">
        <x:f>MAX(K48,J49)</x:f>
        <x:v>1.474566884085065</x:v>
      </x:c>
      <x:c r="L49" t="n">
        <x:f>J49/K49-1</x:f>
        <x:v>-0.10389561081784293</x:v>
      </x:c>
    </x:row>
    <x:row r="50">
      <x:c r="F50" t="n">
        <x:f>F49*(1+'Return Data'!M49)</x:f>
        <x:v>1.3155438499095133</x:v>
      </x:c>
      <x:c r="G50" t="n">
        <x:f>MAX(G49,F50)</x:f>
        <x:v>1.6145441785550116</x:v>
      </x:c>
      <x:c r="H50" t="n">
        <x:f>F50/G50-1</x:f>
        <x:v>-0.18519179135320918</x:v>
      </x:c>
      <x:c r="J50" t="n">
        <x:f>J49*(1+'Return Data'!L49)</x:f>
        <x:v>1.2473531194265393</x:v>
      </x:c>
      <x:c r="K50" t="n">
        <x:f>MAX(K49,J50)</x:f>
        <x:v>1.474566884085065</x:v>
      </x:c>
      <x:c r="L50" t="n">
        <x:f>J50/K50-1</x:f>
        <x:v>-0.15408847649491775</x:v>
      </x:c>
    </x:row>
    <x:row r="51">
      <x:c r="F51" t="n">
        <x:f>F50*(1+'Return Data'!M50)</x:f>
        <x:v>1.2994364586630436</x:v>
      </x:c>
      <x:c r="G51" t="n">
        <x:f>MAX(G50,F51)</x:f>
        <x:v>1.6145441785550116</x:v>
      </x:c>
      <x:c r="H51" t="n">
        <x:f>F51/G51-1</x:f>
        <x:v>-0.19516822399618938</x:v>
      </x:c>
      <x:c r="J51" t="n">
        <x:f>J50*(1+'Return Data'!L50)</x:f>
        <x:v>1.2239273816612255</x:v>
      </x:c>
      <x:c r="K51" t="n">
        <x:f>MAX(K50,J51)</x:f>
        <x:v>1.474566884085065</x:v>
      </x:c>
      <x:c r="L51" t="n">
        <x:f>J51/K51-1</x:f>
        <x:v>-0.16997499749179268</x:v>
      </x:c>
    </x:row>
    <x:row r="52">
      <x:c r="F52" t="n">
        <x:f>F51*(1+'Return Data'!M51)</x:f>
        <x:v>1.2730384517293105</x:v>
      </x:c>
      <x:c r="G52" t="n">
        <x:f>MAX(G51,F52)</x:f>
        <x:v>1.6145441785550116</x:v>
      </x:c>
      <x:c r="H52" t="n">
        <x:f>F52/G52-1</x:f>
        <x:v>-0.21151835382500506</x:v>
      </x:c>
      <x:c r="J52" t="n">
        <x:f>J51*(1+'Return Data'!L51)</x:f>
        <x:v>1.2165104922101344</x:v>
      </x:c>
      <x:c r="K52" t="n">
        <x:f>MAX(K51,J52)</x:f>
        <x:v>1.474566884085065</x:v>
      </x:c>
      <x:c r="L52" t="n">
        <x:f>J52/K52-1</x:f>
        <x:v>-0.17500487408209264</x:v>
      </x:c>
    </x:row>
    <x:row r="53">
      <x:c r="F53" t="n">
        <x:f>F52*(1+'Return Data'!M52)</x:f>
        <x:v>1.3612444790679963</x:v>
      </x:c>
      <x:c r="G53" t="n">
        <x:f>MAX(G52,F53)</x:f>
        <x:v>1.6145441785550116</x:v>
      </x:c>
      <x:c r="H53" t="n">
        <x:f>F53/G53-1</x:f>
        <x:v>-0.1568861991213607</x:v>
      </x:c>
      <x:c r="J53" t="n">
        <x:f>J52*(1+'Return Data'!L52)</x:f>
        <x:v>1.2997488437159783</x:v>
      </x:c>
      <x:c r="K53" t="n">
        <x:f>MAX(K52,J53)</x:f>
        <x:v>1.474566884085065</x:v>
      </x:c>
      <x:c r="L53" t="n">
        <x:f>J53/K53-1</x:f>
        <x:v>-0.1185555177292329</x:v>
      </x:c>
    </x:row>
    <x:row r="54">
      <x:c r="F54" t="n">
        <x:f>F53*(1+'Return Data'!M53)</x:f>
        <x:v>1.3968774012563174</x:v>
      </x:c>
      <x:c r="G54" t="n">
        <x:f>MAX(G53,F54)</x:f>
        <x:v>1.6145441785550116</x:v>
      </x:c>
      <x:c r="H54" t="n">
        <x:f>F54/G54-1</x:f>
        <x:v>-0.13481624113469726</x:v>
      </x:c>
      <x:c r="J54" t="n">
        <x:f>J53*(1+'Return Data'!L53)</x:f>
        <x:v>1.3431719225873922</x:v>
      </x:c>
      <x:c r="K54" t="n">
        <x:f>MAX(K53,J54)</x:f>
        <x:v>1.474566884085065</x:v>
      </x:c>
      <x:c r="L54" t="n">
        <x:f>J54/K54-1</x:f>
        <x:v>-0.08910749516743721</x:v>
      </x:c>
    </x:row>
    <x:row r="55">
      <x:c r="F55" t="n">
        <x:f>F54*(1+'Return Data'!M54)</x:f>
        <x:v>1.2804115136506506</x:v>
      </x:c>
      <x:c r="G55" t="n">
        <x:f>MAX(G54,F55)</x:f>
        <x:v>1.6145441785550116</x:v>
      </x:c>
      <x:c r="H55" t="n">
        <x:f>F55/G55-1</x:f>
        <x:v>-0.20695170150339515</x:v>
      </x:c>
      <x:c r="J55" t="n">
        <x:f>J54*(1+'Return Data'!L54)</x:f>
        <x:v>1.2491835185176257</x:v>
      </x:c>
      <x:c r="K55" t="n">
        <x:f>MAX(K54,J55)</x:f>
        <x:v>1.474566884085065</x:v>
      </x:c>
      <x:c r="L55" t="n">
        <x:f>J55/K55-1</x:f>
        <x:v>-0.15284716346202532</x:v>
      </x:c>
    </x:row>
    <x:row r="56">
      <x:c r="F56" t="n">
        <x:f>F55*(1+'Return Data'!M55)</x:f>
        <x:v>1.3092063533560776</x:v>
      </x:c>
      <x:c r="G56" t="n">
        <x:f>MAX(G55,F56)</x:f>
        <x:v>1.6145441785550116</x:v>
      </x:c>
      <x:c r="H56" t="n">
        <x:f>F56/G56-1</x:f>
        <x:v>-0.18911704569905663</x:v>
      </x:c>
      <x:c r="J56" t="n">
        <x:f>J55*(1+'Return Data'!L55)</x:f>
        <x:v>1.2897197492033694</x:v>
      </x:c>
      <x:c r="K56" t="n">
        <x:f>MAX(K55,J56)</x:f>
        <x:v>1.474566884085065</x:v>
      </x:c>
      <x:c r="L56" t="n">
        <x:f>J56/K56-1</x:f>
        <x:v>-0.12535690098342944</x:v>
      </x:c>
    </x:row>
    <x:row r="57">
      <x:c r="F57" t="n">
        <x:f>F56*(1+'Return Data'!M56)</x:f>
        <x:v>1.2861422271578882</x:v>
      </x:c>
      <x:c r="G57" t="n">
        <x:f>MAX(G56,F57)</x:f>
        <x:v>1.6145441785550116</x:v>
      </x:c>
      <x:c r="H57" t="n">
        <x:f>F57/G57-1</x:f>
        <x:v>-0.203402270287232</x:v>
      </x:c>
      <x:c r="J57" t="n">
        <x:f>J56*(1+'Return Data'!L56)</x:f>
        <x:v>1.286686338517988</x:v>
      </x:c>
      <x:c r="K57" t="n">
        <x:f>MAX(K56,J57)</x:f>
        <x:v>1.474566884085065</x:v>
      </x:c>
      <x:c r="L57" t="n">
        <x:f>J57/K57-1</x:f>
        <x:v>-0.12741405465893973</x:v>
      </x:c>
    </x:row>
    <x:row r="58">
      <x:c r="F58" t="n">
        <x:f>F57*(1+'Return Data'!M57)</x:f>
        <x:v>1.2452803077353871</x:v>
      </x:c>
      <x:c r="G58" t="n">
        <x:f>MAX(G57,F58)</x:f>
        <x:v>1.6145441785550116</x:v>
      </x:c>
      <x:c r="H58" t="n">
        <x:f>F58/G58-1</x:f>
        <x:v>-0.22871091155282552</x:v>
      </x:c>
      <x:c r="J58" t="n">
        <x:f>J57*(1+'Return Data'!L57)</x:f>
        <x:v>1.2652321818613017</x:v>
      </x:c>
      <x:c r="K58" t="n">
        <x:f>MAX(K57,J58)</x:f>
        <x:v>1.474566884085065</x:v>
      </x:c>
      <x:c r="L58" t="n">
        <x:f>J58/K58-1</x:f>
        <x:v>-0.14196351788657635</x:v>
      </x:c>
    </x:row>
    <x:row r="59">
      <x:c r="F59" t="n">
        <x:f>F58*(1+'Return Data'!M58)</x:f>
        <x:v>1.3371436395328313</x:v>
      </x:c>
      <x:c r="G59" t="n">
        <x:f>MAX(G58,F59)</x:f>
        <x:v>1.6145441785550116</x:v>
      </x:c>
      <x:c r="H59" t="n">
        <x:f>F59/G59-1</x:f>
        <x:v>-0.17181353270274025</x:v>
      </x:c>
      <x:c r="J59" t="n">
        <x:f>J58*(1+'Return Data'!L58)</x:f>
        <x:v>1.3241460840902401</x:v>
      </x:c>
      <x:c r="K59" t="n">
        <x:f>MAX(K58,J59)</x:f>
        <x:v>1.474566884085065</x:v>
      </x:c>
      <x:c r="L59" t="n">
        <x:f>J59/K59-1</x:f>
        <x:v>-0.10201015743558994</x:v>
      </x:c>
    </x:row>
    <x:row r="60">
      <x:c r="F60" t="n">
        <x:f>F59*(1+'Return Data'!M59)</x:f>
        <x:v>1.512256943447067</x:v>
      </x:c>
      <x:c r="G60" t="n">
        <x:f>MAX(G59,F60)</x:f>
        <x:v>1.6145441785550116</x:v>
      </x:c>
      <x:c r="H60" t="n">
        <x:f>F60/G60-1</x:f>
        <x:v>-0.06335363037231345</x:v>
      </x:c>
      <x:c r="J60" t="n">
        <x:f>J59*(1+'Return Data'!L59)</x:f>
        <x:v>1.4130517690339681</x:v>
      </x:c>
      <x:c r="K60" t="n">
        <x:f>MAX(K59,J60)</x:f>
        <x:v>1.474566884085065</x:v>
      </x:c>
      <x:c r="L60" t="n">
        <x:f>J60/K60-1</x:f>
        <x:v>-0.041717412560275724</x:v>
      </x:c>
    </x:row>
    <x:row r="61">
      <x:c r="F61" t="n">
        <x:f>F60*(1+'Return Data'!M60)</x:f>
        <x:v>1.6166283601233309</x:v>
      </x:c>
      <x:c r="G61" t="n">
        <x:f>MAX(G60,F61)</x:f>
        <x:v>1.6166283601233309</x:v>
      </x:c>
      <x:c r="H61" t="n">
        <x:f>F61/G61-1</x:f>
        <x:v>0</x:v>
      </x:c>
      <x:c r="J61" t="n">
        <x:f>J60*(1+'Return Data'!L60)</x:f>
        <x:v>1.5010116892152263</x:v>
      </x:c>
      <x:c r="K61" t="n">
        <x:f>MAX(K60,J61)</x:f>
        <x:v>1.5010116892152263</x:v>
      </x:c>
      <x:c r="L61" t="n">
        <x:f>J61/K61-1</x:f>
        <x:v>0</x:v>
      </x:c>
    </x:row>
    <x:row r="62">
      <x:c r="F62" t="n">
        <x:f>F61*(1+'Return Data'!M61)</x:f>
        <x:v>1.5477118375172803</x:v>
      </x:c>
      <x:c r="G62" t="n">
        <x:f>MAX(G61,F62)</x:f>
        <x:v>1.6166283601233309</x:v>
      </x:c>
      <x:c r="H62" t="n">
        <x:f>F62/G62-1</x:f>
        <x:v>-0.04262978697268005</x:v>
      </x:c>
      <x:c r="J62" t="n">
        <x:f>J61*(1+'Return Data'!L61)</x:f>
        <x:v>1.4640288986085834</x:v>
      </x:c>
      <x:c r="K62" t="n">
        <x:f>MAX(K61,J62)</x:f>
        <x:v>1.5010116892152263</x:v>
      </x:c>
      <x:c r="L62" t="n">
        <x:f>J62/K62-1</x:f>
        <x:v>-0.024638576016672187</x:v>
      </x:c>
    </x:row>
    <x:row r="63">
      <x:c r="F63" t="n">
        <x:f>F62*(1+'Return Data'!M62)</x:f>
        <x:v>1.5490654821636913</x:v>
      </x:c>
      <x:c r="G63" t="n">
        <x:f>MAX(G62,F63)</x:f>
        <x:v>1.6166283601233309</x:v>
      </x:c>
      <x:c r="H63" t="n">
        <x:f>F63/G63-1</x:f>
        <x:v>-0.041792461165586214</x:v>
      </x:c>
      <x:c r="J63" t="n">
        <x:f>J62*(1+'Return Data'!L62)</x:f>
        <x:v>1.4660365305382406</x:v>
      </x:c>
      <x:c r="K63" t="n">
        <x:f>MAX(K62,J63)</x:f>
        <x:v>1.5010116892152263</x:v>
      </x:c>
      <x:c r="L63" t="n">
        <x:f>J63/K63-1</x:f>
        <x:v>-0.0233010568327231</x:v>
      </x:c>
    </x:row>
    <x:row r="64">
      <x:c r="F64" t="n">
        <x:f>F63*(1+'Return Data'!M63)</x:f>
        <x:v>1.650543431233983</x:v>
      </x:c>
      <x:c r="G64" t="n">
        <x:f>MAX(G63,F64)</x:f>
        <x:v>1.650543431233983</x:v>
      </x:c>
      <x:c r="H64" t="n">
        <x:f>F64/G64-1</x:f>
        <x:v>0</x:v>
      </x:c>
      <x:c r="J64" t="n">
        <x:f>J63*(1+'Return Data'!L63)</x:f>
        <x:v>1.5141262099477757</x:v>
      </x:c>
      <x:c r="K64" t="n">
        <x:f>MAX(K63,J64)</x:f>
        <x:v>1.5141262099477757</x:v>
      </x:c>
      <x:c r="L64" t="n">
        <x:f>J64/K64-1</x:f>
        <x:v>0</x:v>
      </x:c>
    </x:row>
  </x:sheetData>
  <x:mergeCells>
    <x:mergeCell ref="A1:H1"/>
    <x:mergeCell ref="A3:H3"/>
    <x:mergeCell ref="A15:H15"/>
  </x:mergeCells>
  <x:conditionalFormatting sqref="D17:D21">
    <x:cfRule type="expression" dxfId="1" priority="1">
      <x:formula>D17="Review"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28" customHeight="1">
      <x:c r="A1" s="3" t="str">
        <x:v>Asset Correlation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11" t="str">
        <x:v>Ticker</x:v>
      </x:c>
      <x:c r="B3" s="11" t="str">
        <x:v>AAPL</x:v>
      </x:c>
      <x:c r="C3" s="11" t="str">
        <x:v>MSFT</x:v>
      </x:c>
      <x:c r="D3" s="11" t="str">
        <x:v>NVDA</x:v>
      </x:c>
      <x:c r="E3" s="11" t="str">
        <x:v>JPM</x:v>
      </x:c>
      <x:c r="F3" s="11" t="str">
        <x:v>AMZN</x:v>
      </x:c>
      <x:c r="G3" s="11" t="str">
        <x:v>GOOGL</x:v>
      </x:c>
      <x:c r="H3" s="11" t="str">
        <x:v>XOM</x:v>
      </x:c>
      <x:c r="I3" s="11" t="str">
        <x:v>JNJ</x:v>
      </x:c>
      <x:c r="J3" s="11" t="str">
        <x:v>COST</x:v>
      </x:c>
      <x:c r="K3" s="11" t="str">
        <x:v>V</x:v>
      </x:c>
      <x:c r="L3" s="11" t="str">
        <x:v>SPY</x:v>
      </x:c>
    </x:row>
    <x:row r="4">
      <x:c r="A4" t="str">
        <x:v>AAPL</x:v>
      </x:c>
      <x:c r="B4" s="50" t="n">
        <x:f>CORREL('Return Data'!B$5:B$64,'Return Data'!B$5:B$64)</x:f>
        <x:v>1.0000000000000002</x:v>
      </x:c>
      <x:c r="C4" s="50" t="n">
        <x:f>CORREL('Return Data'!B$5:B$64,'Return Data'!C$5:C$64)</x:f>
        <x:v>0.6781957620078091</x:v>
      </x:c>
      <x:c r="D4" s="50" t="n">
        <x:f>CORREL('Return Data'!B$5:B$64,'Return Data'!D$5:D$64)</x:f>
        <x:v>0.5300327298388028</x:v>
      </x:c>
      <x:c r="E4" s="50" t="n">
        <x:f>CORREL('Return Data'!B$5:B$64,'Return Data'!E$5:E$64)</x:f>
        <x:v>0.5374856354159202</x:v>
      </x:c>
      <x:c r="F4" s="50" t="n">
        <x:f>CORREL('Return Data'!B$5:B$64,'Return Data'!F$5:F$64)</x:f>
        <x:v>0.4747575788037588</x:v>
      </x:c>
      <x:c r="G4" s="50" t="n">
        <x:f>CORREL('Return Data'!B$5:B$64,'Return Data'!G$5:G$64)</x:f>
        <x:v>0.44380339491792264</x:v>
      </x:c>
      <x:c r="H4" s="50" t="n">
        <x:f>CORREL('Return Data'!B$5:B$64,'Return Data'!H$5:H$64)</x:f>
        <x:v>0.434621271634087</x:v>
      </x:c>
      <x:c r="I4" s="50" t="n">
        <x:f>CORREL('Return Data'!B$5:B$64,'Return Data'!I$5:I$64)</x:f>
        <x:v>0.40080281737456586</x:v>
      </x:c>
      <x:c r="J4" s="50" t="n">
        <x:f>CORREL('Return Data'!B$5:B$64,'Return Data'!J$5:J$64)</x:f>
        <x:v>0.515593613096075</x:v>
      </x:c>
      <x:c r="K4" s="50" t="n">
        <x:f>CORREL('Return Data'!B$5:B$64,'Return Data'!K$5:K$64)</x:f>
        <x:v>0.3917385420500443</x:v>
      </x:c>
      <x:c r="L4" s="50" t="n">
        <x:f>CORREL('Return Data'!B$5:B$64,'Return Data'!L$5:L$64)</x:f>
        <x:v>0.7651240069193693</x:v>
      </x:c>
    </x:row>
    <x:row r="5">
      <x:c r="A5" t="str">
        <x:v>MSFT</x:v>
      </x:c>
      <x:c r="B5" s="50" t="n">
        <x:f>CORREL('Return Data'!C$5:C$64,'Return Data'!B$5:B$64)</x:f>
        <x:v>0.6781957620078091</x:v>
      </x:c>
      <x:c r="C5" s="50" t="n">
        <x:f>CORREL('Return Data'!C$5:C$64,'Return Data'!C$5:C$64)</x:f>
        <x:v>0.9999999999999998</x:v>
      </x:c>
      <x:c r="D5" s="50" t="n">
        <x:f>CORREL('Return Data'!C$5:C$64,'Return Data'!D$5:D$64)</x:f>
        <x:v>0.47340999251854166</x:v>
      </x:c>
      <x:c r="E5" s="50" t="n">
        <x:f>CORREL('Return Data'!C$5:C$64,'Return Data'!E$5:E$64)</x:f>
        <x:v>0.594485321474926</x:v>
      </x:c>
      <x:c r="F5" s="50" t="n">
        <x:f>CORREL('Return Data'!C$5:C$64,'Return Data'!F$5:F$64)</x:f>
        <x:v>0.38224616240916626</x:v>
      </x:c>
      <x:c r="G5" s="50" t="n">
        <x:f>CORREL('Return Data'!C$5:C$64,'Return Data'!G$5:G$64)</x:f>
        <x:v>0.3997071969600499</x:v>
      </x:c>
      <x:c r="H5" s="50" t="n">
        <x:f>CORREL('Return Data'!C$5:C$64,'Return Data'!H$5:H$64)</x:f>
        <x:v>0.4998520499196541</x:v>
      </x:c>
      <x:c r="I5" s="50" t="n">
        <x:f>CORREL('Return Data'!C$5:C$64,'Return Data'!I$5:I$64)</x:f>
        <x:v>0.4928134509116524</x:v>
      </x:c>
      <x:c r="J5" s="50" t="n">
        <x:f>CORREL('Return Data'!C$5:C$64,'Return Data'!J$5:J$64)</x:f>
        <x:v>0.5491193675734686</x:v>
      </x:c>
      <x:c r="K5" s="50" t="n">
        <x:f>CORREL('Return Data'!C$5:C$64,'Return Data'!K$5:K$64)</x:f>
        <x:v>0.5090805038391578</x:v>
      </x:c>
      <x:c r="L5" s="50" t="n">
        <x:f>CORREL('Return Data'!C$5:C$64,'Return Data'!L$5:L$64)</x:f>
        <x:v>0.7533796562850696</x:v>
      </x:c>
    </x:row>
    <x:row r="6">
      <x:c r="A6" t="str">
        <x:v>NVDA</x:v>
      </x:c>
      <x:c r="B6" s="50" t="n">
        <x:f>CORREL('Return Data'!D$5:D$64,'Return Data'!B$5:B$64)</x:f>
        <x:v>0.5300327298388028</x:v>
      </x:c>
      <x:c r="C6" s="50" t="n">
        <x:f>CORREL('Return Data'!D$5:D$64,'Return Data'!C$5:C$64)</x:f>
        <x:v>0.4734099925185416</x:v>
      </x:c>
      <x:c r="D6" s="50" t="n">
        <x:f>CORREL('Return Data'!D$5:D$64,'Return Data'!D$5:D$64)</x:f>
        <x:v>1</x:v>
      </x:c>
      <x:c r="E6" s="50" t="n">
        <x:f>CORREL('Return Data'!D$5:D$64,'Return Data'!E$5:E$64)</x:f>
        <x:v>0.35917568690269264</x:v>
      </x:c>
      <x:c r="F6" s="50" t="n">
        <x:f>CORREL('Return Data'!D$5:D$64,'Return Data'!F$5:F$64)</x:f>
        <x:v>0.528774830731426</x:v>
      </x:c>
      <x:c r="G6" s="50" t="n">
        <x:f>CORREL('Return Data'!D$5:D$64,'Return Data'!G$5:G$64)</x:f>
        <x:v>0.2820186500071076</x:v>
      </x:c>
      <x:c r="H6" s="50" t="n">
        <x:f>CORREL('Return Data'!D$5:D$64,'Return Data'!H$5:H$64)</x:f>
        <x:v>0.30181673540853743</x:v>
      </x:c>
      <x:c r="I6" s="50" t="n">
        <x:f>CORREL('Return Data'!D$5:D$64,'Return Data'!I$5:I$64)</x:f>
        <x:v>0.3338972114835542</x:v>
      </x:c>
      <x:c r="J6" s="50" t="n">
        <x:f>CORREL('Return Data'!D$5:D$64,'Return Data'!J$5:J$64)</x:f>
        <x:v>0.4477947202590344</x:v>
      </x:c>
      <x:c r="K6" s="50" t="n">
        <x:f>CORREL('Return Data'!D$5:D$64,'Return Data'!K$5:K$64)</x:f>
        <x:v>0.5138241370893623</x:v>
      </x:c>
      <x:c r="L6" s="50" t="n">
        <x:f>CORREL('Return Data'!D$5:D$64,'Return Data'!L$5:L$64)</x:f>
        <x:v>0.6400547466771231</x:v>
      </x:c>
    </x:row>
    <x:row r="7">
      <x:c r="A7" t="str">
        <x:v>JPM</x:v>
      </x:c>
      <x:c r="B7" s="50" t="n">
        <x:f>CORREL('Return Data'!E$5:E$64,'Return Data'!B$5:B$64)</x:f>
        <x:v>0.5374856354159202</x:v>
      </x:c>
      <x:c r="C7" s="50" t="n">
        <x:f>CORREL('Return Data'!E$5:E$64,'Return Data'!C$5:C$64)</x:f>
        <x:v>0.594485321474926</x:v>
      </x:c>
      <x:c r="D7" s="50" t="n">
        <x:f>CORREL('Return Data'!E$5:E$64,'Return Data'!D$5:D$64)</x:f>
        <x:v>0.35917568690269264</x:v>
      </x:c>
      <x:c r="E7" s="50" t="n">
        <x:f>CORREL('Return Data'!E$5:E$64,'Return Data'!E$5:E$64)</x:f>
        <x:v>0.9999999999999998</x:v>
      </x:c>
      <x:c r="F7" s="50" t="n">
        <x:f>CORREL('Return Data'!E$5:E$64,'Return Data'!F$5:F$64)</x:f>
        <x:v>0.5339035810638405</x:v>
      </x:c>
      <x:c r="G7" s="50" t="n">
        <x:f>CORREL('Return Data'!E$5:E$64,'Return Data'!G$5:G$64)</x:f>
        <x:v>0.43165931815857045</x:v>
      </x:c>
      <x:c r="H7" s="50" t="n">
        <x:f>CORREL('Return Data'!E$5:E$64,'Return Data'!H$5:H$64)</x:f>
        <x:v>0.5041592506160987</x:v>
      </x:c>
      <x:c r="I7" s="50" t="n">
        <x:f>CORREL('Return Data'!E$5:E$64,'Return Data'!I$5:I$64)</x:f>
        <x:v>0.517154784484268</x:v>
      </x:c>
      <x:c r="J7" s="50" t="n">
        <x:f>CORREL('Return Data'!E$5:E$64,'Return Data'!J$5:J$64)</x:f>
        <x:v>0.4887899338437259</x:v>
      </x:c>
      <x:c r="K7" s="50" t="n">
        <x:f>CORREL('Return Data'!E$5:E$64,'Return Data'!K$5:K$64)</x:f>
        <x:v>0.3532471708278899</x:v>
      </x:c>
      <x:c r="L7" s="50" t="n">
        <x:f>CORREL('Return Data'!E$5:E$64,'Return Data'!L$5:L$64)</x:f>
        <x:v>0.6996680252907617</x:v>
      </x:c>
    </x:row>
    <x:row r="8">
      <x:c r="A8" t="str">
        <x:v>AMZN</x:v>
      </x:c>
      <x:c r="B8" s="50" t="n">
        <x:f>CORREL('Return Data'!F$5:F$64,'Return Data'!B$5:B$64)</x:f>
        <x:v>0.47475757880375874</x:v>
      </x:c>
      <x:c r="C8" s="50" t="n">
        <x:f>CORREL('Return Data'!F$5:F$64,'Return Data'!C$5:C$64)</x:f>
        <x:v>0.3822461624091662</x:v>
      </x:c>
      <x:c r="D8" s="50" t="n">
        <x:f>CORREL('Return Data'!F$5:F$64,'Return Data'!D$5:D$64)</x:f>
        <x:v>0.528774830731426</x:v>
      </x:c>
      <x:c r="E8" s="50" t="n">
        <x:f>CORREL('Return Data'!F$5:F$64,'Return Data'!E$5:E$64)</x:f>
        <x:v>0.5339035810638404</x:v>
      </x:c>
      <x:c r="F8" s="50" t="n">
        <x:f>CORREL('Return Data'!F$5:F$64,'Return Data'!F$5:F$64)</x:f>
        <x:v>1</x:v>
      </x:c>
      <x:c r="G8" s="50" t="n">
        <x:f>CORREL('Return Data'!F$5:F$64,'Return Data'!G$5:G$64)</x:f>
        <x:v>0.5057235204407854</x:v>
      </x:c>
      <x:c r="H8" s="50" t="n">
        <x:f>CORREL('Return Data'!F$5:F$64,'Return Data'!H$5:H$64)</x:f>
        <x:v>0.275223559028701</x:v>
      </x:c>
      <x:c r="I8" s="50" t="n">
        <x:f>CORREL('Return Data'!F$5:F$64,'Return Data'!I$5:I$64)</x:f>
        <x:v>0.5525310407279727</x:v>
      </x:c>
      <x:c r="J8" s="50" t="n">
        <x:f>CORREL('Return Data'!F$5:F$64,'Return Data'!J$5:J$64)</x:f>
        <x:v>0.486048604447424</x:v>
      </x:c>
      <x:c r="K8" s="50" t="n">
        <x:f>CORREL('Return Data'!F$5:F$64,'Return Data'!K$5:K$64)</x:f>
        <x:v>0.5599788850719358</x:v>
      </x:c>
      <x:c r="L8" s="50" t="n">
        <x:f>CORREL('Return Data'!F$5:F$64,'Return Data'!L$5:L$64)</x:f>
        <x:v>0.6780696744669983</x:v>
      </x:c>
    </x:row>
    <x:row r="9">
      <x:c r="A9" t="str">
        <x:v>GOOGL</x:v>
      </x:c>
      <x:c r="B9" s="50" t="n">
        <x:f>CORREL('Return Data'!G$5:G$64,'Return Data'!B$5:B$64)</x:f>
        <x:v>0.4438033949179226</x:v>
      </x:c>
      <x:c r="C9" s="50" t="n">
        <x:f>CORREL('Return Data'!G$5:G$64,'Return Data'!C$5:C$64)</x:f>
        <x:v>0.3997071969600499</x:v>
      </x:c>
      <x:c r="D9" s="50" t="n">
        <x:f>CORREL('Return Data'!G$5:G$64,'Return Data'!D$5:D$64)</x:f>
        <x:v>0.2820186500071076</x:v>
      </x:c>
      <x:c r="E9" s="50" t="n">
        <x:f>CORREL('Return Data'!G$5:G$64,'Return Data'!E$5:E$64)</x:f>
        <x:v>0.4316593181585704</x:v>
      </x:c>
      <x:c r="F9" s="50" t="n">
        <x:f>CORREL('Return Data'!G$5:G$64,'Return Data'!F$5:F$64)</x:f>
        <x:v>0.5057235204407854</x:v>
      </x:c>
      <x:c r="G9" s="50" t="n">
        <x:f>CORREL('Return Data'!G$5:G$64,'Return Data'!G$5:G$64)</x:f>
        <x:v>0.9999999999999998</x:v>
      </x:c>
      <x:c r="H9" s="50" t="n">
        <x:f>CORREL('Return Data'!G$5:G$64,'Return Data'!H$5:H$64)</x:f>
        <x:v>0.5054202286253933</x:v>
      </x:c>
      <x:c r="I9" s="50" t="n">
        <x:f>CORREL('Return Data'!G$5:G$64,'Return Data'!I$5:I$64)</x:f>
        <x:v>0.3900131611072328</x:v>
      </x:c>
      <x:c r="J9" s="50" t="n">
        <x:f>CORREL('Return Data'!G$5:G$64,'Return Data'!J$5:J$64)</x:f>
        <x:v>0.42594870870277834</x:v>
      </x:c>
      <x:c r="K9" s="50" t="n">
        <x:f>CORREL('Return Data'!G$5:G$64,'Return Data'!K$5:K$64)</x:f>
        <x:v>0.3762722426707628</x:v>
      </x:c>
      <x:c r="L9" s="50" t="n">
        <x:f>CORREL('Return Data'!G$5:G$64,'Return Data'!L$5:L$64)</x:f>
        <x:v>0.5842102172767167</x:v>
      </x:c>
    </x:row>
    <x:row r="10">
      <x:c r="A10" t="str">
        <x:v>XOM</x:v>
      </x:c>
      <x:c r="B10" s="50" t="n">
        <x:f>CORREL('Return Data'!H$5:H$64,'Return Data'!B$5:B$64)</x:f>
        <x:v>0.434621271634087</x:v>
      </x:c>
      <x:c r="C10" s="50" t="n">
        <x:f>CORREL('Return Data'!H$5:H$64,'Return Data'!C$5:C$64)</x:f>
        <x:v>0.4998520499196541</x:v>
      </x:c>
      <x:c r="D10" s="50" t="n">
        <x:f>CORREL('Return Data'!H$5:H$64,'Return Data'!D$5:D$64)</x:f>
        <x:v>0.30181673540853743</x:v>
      </x:c>
      <x:c r="E10" s="50" t="n">
        <x:f>CORREL('Return Data'!H$5:H$64,'Return Data'!E$5:E$64)</x:f>
        <x:v>0.5041592506160987</x:v>
      </x:c>
      <x:c r="F10" s="50" t="n">
        <x:f>CORREL('Return Data'!H$5:H$64,'Return Data'!F$5:F$64)</x:f>
        <x:v>0.27522355902870105</x:v>
      </x:c>
      <x:c r="G10" s="50" t="n">
        <x:f>CORREL('Return Data'!H$5:H$64,'Return Data'!G$5:G$64)</x:f>
        <x:v>0.5054202286253933</x:v>
      </x:c>
      <x:c r="H10" s="50" t="n">
        <x:f>CORREL('Return Data'!H$5:H$64,'Return Data'!H$5:H$64)</x:f>
        <x:v>0.9999999999999999</x:v>
      </x:c>
      <x:c r="I10" s="50" t="n">
        <x:f>CORREL('Return Data'!H$5:H$64,'Return Data'!I$5:I$64)</x:f>
        <x:v>0.34380769699302266</x:v>
      </x:c>
      <x:c r="J10" s="50" t="n">
        <x:f>CORREL('Return Data'!H$5:H$64,'Return Data'!J$5:J$64)</x:f>
        <x:v>0.34974114541400153</x:v>
      </x:c>
      <x:c r="K10" s="50" t="n">
        <x:f>CORREL('Return Data'!H$5:H$64,'Return Data'!K$5:K$64)</x:f>
        <x:v>0.3162128821559586</x:v>
      </x:c>
      <x:c r="L10" s="50" t="n">
        <x:f>CORREL('Return Data'!H$5:H$64,'Return Data'!L$5:L$64)</x:f>
        <x:v>0.5469852315659629</x:v>
      </x:c>
    </x:row>
    <x:row r="11">
      <x:c r="A11" t="str">
        <x:v>JNJ</x:v>
      </x:c>
      <x:c r="B11" s="50" t="n">
        <x:f>CORREL('Return Data'!I$5:I$64,'Return Data'!B$5:B$64)</x:f>
        <x:v>0.40080281737456586</x:v>
      </x:c>
      <x:c r="C11" s="50" t="n">
        <x:f>CORREL('Return Data'!I$5:I$64,'Return Data'!C$5:C$64)</x:f>
        <x:v>0.4928134509116524</x:v>
      </x:c>
      <x:c r="D11" s="50" t="n">
        <x:f>CORREL('Return Data'!I$5:I$64,'Return Data'!D$5:D$64)</x:f>
        <x:v>0.3338972114835542</x:v>
      </x:c>
      <x:c r="E11" s="50" t="n">
        <x:f>CORREL('Return Data'!I$5:I$64,'Return Data'!E$5:E$64)</x:f>
        <x:v>0.5171547844842679</x:v>
      </x:c>
      <x:c r="F11" s="50" t="n">
        <x:f>CORREL('Return Data'!I$5:I$64,'Return Data'!F$5:F$64)</x:f>
        <x:v>0.5525310407279725</x:v>
      </x:c>
      <x:c r="G11" s="50" t="n">
        <x:f>CORREL('Return Data'!I$5:I$64,'Return Data'!G$5:G$64)</x:f>
        <x:v>0.3900131611072328</x:v>
      </x:c>
      <x:c r="H11" s="50" t="n">
        <x:f>CORREL('Return Data'!I$5:I$64,'Return Data'!H$5:H$64)</x:f>
        <x:v>0.34380769699302266</x:v>
      </x:c>
      <x:c r="I11" s="50" t="n">
        <x:f>CORREL('Return Data'!I$5:I$64,'Return Data'!I$5:I$64)</x:f>
        <x:v>0.9999999999999999</x:v>
      </x:c>
      <x:c r="J11" s="50" t="n">
        <x:f>CORREL('Return Data'!I$5:I$64,'Return Data'!J$5:J$64)</x:f>
        <x:v>0.5367814959188425</x:v>
      </x:c>
      <x:c r="K11" s="50" t="n">
        <x:f>CORREL('Return Data'!I$5:I$64,'Return Data'!K$5:K$64)</x:f>
        <x:v>0.4578855561207296</x:v>
      </x:c>
      <x:c r="L11" s="50" t="n">
        <x:f>CORREL('Return Data'!I$5:I$64,'Return Data'!L$5:L$64)</x:f>
        <x:v>0.647596927360938</x:v>
      </x:c>
    </x:row>
    <x:row r="12">
      <x:c r="A12" t="str">
        <x:v>COST</x:v>
      </x:c>
      <x:c r="B12" s="50" t="n">
        <x:f>CORREL('Return Data'!J$5:J$64,'Return Data'!B$5:B$64)</x:f>
        <x:v>0.515593613096075</x:v>
      </x:c>
      <x:c r="C12" s="50" t="n">
        <x:f>CORREL('Return Data'!J$5:J$64,'Return Data'!C$5:C$64)</x:f>
        <x:v>0.5491193675734686</x:v>
      </x:c>
      <x:c r="D12" s="50" t="n">
        <x:f>CORREL('Return Data'!J$5:J$64,'Return Data'!D$5:D$64)</x:f>
        <x:v>0.4477947202590344</x:v>
      </x:c>
      <x:c r="E12" s="50" t="n">
        <x:f>CORREL('Return Data'!J$5:J$64,'Return Data'!E$5:E$64)</x:f>
        <x:v>0.4887899338437259</x:v>
      </x:c>
      <x:c r="F12" s="50" t="n">
        <x:f>CORREL('Return Data'!J$5:J$64,'Return Data'!F$5:F$64)</x:f>
        <x:v>0.4860486044474239</x:v>
      </x:c>
      <x:c r="G12" s="50" t="n">
        <x:f>CORREL('Return Data'!J$5:J$64,'Return Data'!G$5:G$64)</x:f>
        <x:v>0.4259487087027784</x:v>
      </x:c>
      <x:c r="H12" s="50" t="n">
        <x:f>CORREL('Return Data'!J$5:J$64,'Return Data'!H$5:H$64)</x:f>
        <x:v>0.3497411454140015</x:v>
      </x:c>
      <x:c r="I12" s="50" t="n">
        <x:f>CORREL('Return Data'!J$5:J$64,'Return Data'!I$5:I$64)</x:f>
        <x:v>0.5367814959188425</x:v>
      </x:c>
      <x:c r="J12" s="50" t="n">
        <x:f>CORREL('Return Data'!J$5:J$64,'Return Data'!J$5:J$64)</x:f>
        <x:v>1</x:v>
      </x:c>
      <x:c r="K12" s="50" t="n">
        <x:f>CORREL('Return Data'!J$5:J$64,'Return Data'!K$5:K$64)</x:f>
        <x:v>0.5535545920197665</x:v>
      </x:c>
      <x:c r="L12" s="50" t="n">
        <x:f>CORREL('Return Data'!J$5:J$64,'Return Data'!L$5:L$64)</x:f>
        <x:v>0.7202595271727369</x:v>
      </x:c>
    </x:row>
    <x:row r="13">
      <x:c r="A13" t="str">
        <x:v>V</x:v>
      </x:c>
      <x:c r="B13" s="50" t="n">
        <x:f>CORREL('Return Data'!K$5:K$64,'Return Data'!B$5:B$64)</x:f>
        <x:v>0.3917385420500443</x:v>
      </x:c>
      <x:c r="C13" s="50" t="n">
        <x:f>CORREL('Return Data'!K$5:K$64,'Return Data'!C$5:C$64)</x:f>
        <x:v>0.5090805038391578</x:v>
      </x:c>
      <x:c r="D13" s="50" t="n">
        <x:f>CORREL('Return Data'!K$5:K$64,'Return Data'!D$5:D$64)</x:f>
        <x:v>0.5138241370893623</x:v>
      </x:c>
      <x:c r="E13" s="50" t="n">
        <x:f>CORREL('Return Data'!K$5:K$64,'Return Data'!E$5:E$64)</x:f>
        <x:v>0.3532471708278899</x:v>
      </x:c>
      <x:c r="F13" s="50" t="n">
        <x:f>CORREL('Return Data'!K$5:K$64,'Return Data'!F$5:F$64)</x:f>
        <x:v>0.5599788850719358</x:v>
      </x:c>
      <x:c r="G13" s="50" t="n">
        <x:f>CORREL('Return Data'!K$5:K$64,'Return Data'!G$5:G$64)</x:f>
        <x:v>0.3762722426707628</x:v>
      </x:c>
      <x:c r="H13" s="50" t="n">
        <x:f>CORREL('Return Data'!K$5:K$64,'Return Data'!H$5:H$64)</x:f>
        <x:v>0.31621288215595855</x:v>
      </x:c>
      <x:c r="I13" s="50" t="n">
        <x:f>CORREL('Return Data'!K$5:K$64,'Return Data'!I$5:I$64)</x:f>
        <x:v>0.4578855561207296</x:v>
      </x:c>
      <x:c r="J13" s="50" t="n">
        <x:f>CORREL('Return Data'!K$5:K$64,'Return Data'!J$5:J$64)</x:f>
        <x:v>0.5535545920197665</x:v>
      </x:c>
      <x:c r="K13" s="50" t="n">
        <x:f>CORREL('Return Data'!K$5:K$64,'Return Data'!K$5:K$64)</x:f>
        <x:v>1.0000000000000002</x:v>
      </x:c>
      <x:c r="L13" s="50" t="n">
        <x:f>CORREL('Return Data'!K$5:K$64,'Return Data'!L$5:L$64)</x:f>
        <x:v>0.6793556511168718</x:v>
      </x:c>
    </x:row>
    <x:row r="14">
      <x:c r="A14" t="str">
        <x:v>SPY</x:v>
      </x:c>
      <x:c r="B14" s="50" t="n">
        <x:f>CORREL('Return Data'!L$5:L$64,'Return Data'!B$5:B$64)</x:f>
        <x:v>0.7651240069193693</x:v>
      </x:c>
      <x:c r="C14" s="50" t="n">
        <x:f>CORREL('Return Data'!L$5:L$64,'Return Data'!C$5:C$64)</x:f>
        <x:v>0.7533796562850698</x:v>
      </x:c>
      <x:c r="D14" s="50" t="n">
        <x:f>CORREL('Return Data'!L$5:L$64,'Return Data'!D$5:D$64)</x:f>
        <x:v>0.6400547466771231</x:v>
      </x:c>
      <x:c r="E14" s="50" t="n">
        <x:f>CORREL('Return Data'!L$5:L$64,'Return Data'!E$5:E$64)</x:f>
        <x:v>0.6996680252907617</x:v>
      </x:c>
      <x:c r="F14" s="50" t="n">
        <x:f>CORREL('Return Data'!L$5:L$64,'Return Data'!F$5:F$64)</x:f>
        <x:v>0.6780696744669983</x:v>
      </x:c>
      <x:c r="G14" s="50" t="n">
        <x:f>CORREL('Return Data'!L$5:L$64,'Return Data'!G$5:G$64)</x:f>
        <x:v>0.5842102172767168</x:v>
      </x:c>
      <x:c r="H14" s="50" t="n">
        <x:f>CORREL('Return Data'!L$5:L$64,'Return Data'!H$5:H$64)</x:f>
        <x:v>0.5469852315659629</x:v>
      </x:c>
      <x:c r="I14" s="50" t="n">
        <x:f>CORREL('Return Data'!L$5:L$64,'Return Data'!I$5:I$64)</x:f>
        <x:v>0.647596927360938</x:v>
      </x:c>
      <x:c r="J14" s="50" t="n">
        <x:f>CORREL('Return Data'!L$5:L$64,'Return Data'!J$5:J$64)</x:f>
        <x:v>0.720259527172737</x:v>
      </x:c>
      <x:c r="K14" s="50" t="n">
        <x:f>CORREL('Return Data'!L$5:L$64,'Return Data'!K$5:K$64)</x:f>
        <x:v>0.6793556511168718</x:v>
      </x:c>
      <x:c r="L14" s="50" t="n">
        <x:f>CORREL('Return Data'!L$5:L$64,'Return Data'!L$5:L$64)</x:f>
        <x:v>1</x:v>
      </x:c>
    </x:row>
  </x:sheetData>
  <x:mergeCells>
    <x:mergeCell ref="A1:L1"/>
  </x:mergeCells>
  <x:conditionalFormatting sqref="B4:L1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8" customHeight="1">
      <x:c r="A1" s="3" t="str">
        <x:v>Illustrative Monthly Return Dataset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7" t="str">
        <x:v>60-month scenario dataset calibrated to plausible equity volatility/beta assumptions; not actual security price history. Replace blue inputs with verified market data for live use.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1" t="str">
        <x:v>Month</x:v>
      </x:c>
      <x:c r="B4" s="11" t="str">
        <x:v>AAPL</x:v>
      </x:c>
      <x:c r="C4" s="11" t="str">
        <x:v>MSFT</x:v>
      </x:c>
      <x:c r="D4" s="11" t="str">
        <x:v>NVDA</x:v>
      </x:c>
      <x:c r="E4" s="11" t="str">
        <x:v>JPM</x:v>
      </x:c>
      <x:c r="F4" s="11" t="str">
        <x:v>AMZN</x:v>
      </x:c>
      <x:c r="G4" s="11" t="str">
        <x:v>GOOGL</x:v>
      </x:c>
      <x:c r="H4" s="11" t="str">
        <x:v>XOM</x:v>
      </x:c>
      <x:c r="I4" s="11" t="str">
        <x:v>JNJ</x:v>
      </x:c>
      <x:c r="J4" s="11" t="str">
        <x:v>COST</x:v>
      </x:c>
      <x:c r="K4" s="11" t="str">
        <x:v>V</x:v>
      </x:c>
      <x:c r="L4" s="11" t="str">
        <x:v>SPY</x:v>
      </x:c>
      <x:c r="M4" s="11" t="str">
        <x:v>Portfolio</x:v>
      </x:c>
    </x:row>
    <x:row r="5">
      <x:c r="A5" s="14" t="n">
        <x:v>44500</x:v>
      </x:c>
      <x:c r="B5" s="17" t="n">
        <x:v>0.023173637814981343</x:v>
      </x:c>
      <x:c r="C5" s="17" t="n">
        <x:v>0.08404494010516049</x:v>
      </x:c>
      <x:c r="D5" s="17" t="n">
        <x:v>0.13675294075349692</x:v>
      </x:c>
      <x:c r="E5" s="17" t="n">
        <x:v>0.008332525680858188</x:v>
      </x:c>
      <x:c r="F5" s="17" t="n">
        <x:v>-0.003759575625050889</x:v>
      </x:c>
      <x:c r="G5" s="17" t="n">
        <x:v>0.0814505090645123</x:v>
      </x:c>
      <x:c r="H5" s="17" t="n">
        <x:v>0.19003332674564122</x:v>
      </x:c>
      <x:c r="I5" s="17" t="n">
        <x:v>0.02464818405992438</x:v>
      </x:c>
      <x:c r="J5" s="17" t="n">
        <x:v>0.07879741891393524</x:v>
      </x:c>
      <x:c r="K5" s="17" t="n">
        <x:v>0.07513243366976337</x:v>
      </x:c>
      <x:c r="L5" s="17" t="n">
        <x:v>0.04092196757919657</x:v>
      </x:c>
      <x:c r="M5" s="20" t="n">
        <x:f>B5*Holdings!$D$5+C5*Holdings!$D$6+D5*Holdings!$D$7+E5*Holdings!$D$8+F5*Holdings!$D$9+G5*Holdings!$D$10+H5*Holdings!$D$11+I5*Holdings!$D$12+J5*Holdings!$D$13+K5*Holdings!$D$14</x:f>
        <x:v>0.06721308785605547</x:v>
      </x:c>
    </x:row>
    <x:row r="6">
      <x:c r="A6" s="14" t="n">
        <x:v>44530</x:v>
      </x:c>
      <x:c r="B6" s="17" t="n">
        <x:v>0.0007664636851211059</x:v>
      </x:c>
      <x:c r="C6" s="17" t="n">
        <x:v>-0.03167987501020657</x:v>
      </x:c>
      <x:c r="D6" s="17" t="n">
        <x:v>-0.07902255463793982</x:v>
      </x:c>
      <x:c r="E6" s="17" t="n">
        <x:v>0.0029844710031360104</x:v>
      </x:c>
      <x:c r="F6" s="17" t="n">
        <x:v>-0.026310620744596974</x:v>
      </x:c>
      <x:c r="G6" s="17" t="n">
        <x:v>0.10840522337992661</x:v>
      </x:c>
      <x:c r="H6" s="17" t="n">
        <x:v>0.13923726782718304</x:v>
      </x:c>
      <x:c r="I6" s="17" t="n">
        <x:v>-0.02955420386880231</x:v>
      </x:c>
      <x:c r="J6" s="17" t="n">
        <x:v>-0.0462941217062166</x:v>
      </x:c>
      <x:c r="K6" s="17" t="n">
        <x:v>-0.03385091207413431</x:v>
      </x:c>
      <x:c r="L6" s="17" t="n">
        <x:v>0.009760544155790921</x:v>
      </x:c>
      <x:c r="M6" s="20" t="n">
        <x:f>B6*Holdings!$D$5+C6*Holdings!$D$6+D6*Holdings!$D$7+E6*Holdings!$D$8+F6*Holdings!$D$9+G6*Holdings!$D$10+H6*Holdings!$D$11+I6*Holdings!$D$12+J6*Holdings!$D$13+K6*Holdings!$D$14</x:f>
        <x:v>-0.005480736728739484</x:v>
      </x:c>
    </x:row>
    <x:row r="7">
      <x:c r="A7" s="14" t="n">
        <x:v>44561</x:v>
      </x:c>
      <x:c r="B7" s="17" t="n">
        <x:v>0.00004241010478083472</x:v>
      </x:c>
      <x:c r="C7" s="17" t="n">
        <x:v>0.12149727261032012</x:v>
      </x:c>
      <x:c r="D7" s="17" t="n">
        <x:v>-0.034765882287650436</x:v>
      </x:c>
      <x:c r="E7" s="17" t="n">
        <x:v>0.07521644182662164</x:v>
      </x:c>
      <x:c r="F7" s="17" t="n">
        <x:v>0.11118016356257593</x:v>
      </x:c>
      <x:c r="G7" s="17" t="n">
        <x:v>0.05045781282374916</x:v>
      </x:c>
      <x:c r="H7" s="17" t="n">
        <x:v>0.024643409695065684</x:v>
      </x:c>
      <x:c r="I7" s="17" t="n">
        <x:v>-0.031182286691755372</x:v>
      </x:c>
      <x:c r="J7" s="17" t="n">
        <x:v>0.06852276965382889</x:v>
      </x:c>
      <x:c r="K7" s="17" t="n">
        <x:v>0.08749486392356957</x:v>
      </x:c>
      <x:c r="L7" s="17" t="n">
        <x:v>0.048331001238328286</x:v>
      </x:c>
      <x:c r="M7" s="20" t="n">
        <x:f>B7*Holdings!$D$5+C7*Holdings!$D$6+D7*Holdings!$D$7+E7*Holdings!$D$8+F7*Holdings!$D$9+G7*Holdings!$D$10+H7*Holdings!$D$11+I7*Holdings!$D$12+J7*Holdings!$D$13+K7*Holdings!$D$14</x:f>
        <x:v>0.048583127247445054</x:v>
      </x:c>
    </x:row>
    <x:row r="8">
      <x:c r="A8" s="14" t="n">
        <x:v>44592</x:v>
      </x:c>
      <x:c r="B8" s="17" t="n">
        <x:v>0.04700228409585064</x:v>
      </x:c>
      <x:c r="C8" s="17" t="n">
        <x:v>0.03441233748636468</x:v>
      </x:c>
      <x:c r="D8" s="17" t="n">
        <x:v>0.20932273108604363</x:v>
      </x:c>
      <x:c r="E8" s="17" t="n">
        <x:v>0.14084498504970916</x:v>
      </x:c>
      <x:c r="F8" s="17" t="n">
        <x:v>0.15787697871202253</x:v>
      </x:c>
      <x:c r="G8" s="17" t="n">
        <x:v>0.13442038338984869</x:v>
      </x:c>
      <x:c r="H8" s="17" t="n">
        <x:v>0.15422654147356996</x:v>
      </x:c>
      <x:c r="I8" s="17" t="n">
        <x:v>0.0709788272576604</x:v>
      </x:c>
      <x:c r="J8" s="17" t="n">
        <x:v>0.14792960034700345</x:v>
      </x:c>
      <x:c r="K8" s="17" t="n">
        <x:v>0.1512807598718739</x:v>
      </x:c>
      <x:c r="L8" s="17" t="n">
        <x:v>0.09128817762771924</x:v>
      </x:c>
      <x:c r="M8" s="20" t="n">
        <x:f>B8*Holdings!$D$5+C8*Holdings!$D$6+D8*Holdings!$D$7+E8*Holdings!$D$8+F8*Holdings!$D$9+G8*Holdings!$D$10+H8*Holdings!$D$11+I8*Holdings!$D$12+J8*Holdings!$D$13+K8*Holdings!$D$14</x:f>
        <x:v>0.12086950208436507</x:v>
      </x:c>
    </x:row>
    <x:row r="9">
      <x:c r="A9" s="14" t="n">
        <x:v>44620</x:v>
      </x:c>
      <x:c r="B9" s="17" t="n">
        <x:v>0.046085689959316896</x:v>
      </x:c>
      <x:c r="C9" s="17" t="n">
        <x:v>0.03481143191988506</x:v>
      </x:c>
      <x:c r="D9" s="17" t="n">
        <x:v>-0.01834935380859526</x:v>
      </x:c>
      <x:c r="E9" s="17" t="n">
        <x:v>-0.051256963639077835</x:v>
      </x:c>
      <x:c r="F9" s="17" t="n">
        <x:v>0.003599868062857784</x:v>
      </x:c>
      <x:c r="G9" s="17" t="n">
        <x:v>0.049255223147425205</x:v>
      </x:c>
      <x:c r="H9" s="17" t="n">
        <x:v>0.0523171720179265</x:v>
      </x:c>
      <x:c r="I9" s="17" t="n">
        <x:v>-0.024442561473245215</x:v>
      </x:c>
      <x:c r="J9" s="17" t="n">
        <x:v>-0.11927625858287673</x:v>
      </x:c>
      <x:c r="K9" s="17" t="n">
        <x:v>0.02481754288689736</x:v>
      </x:c>
      <x:c r="L9" s="17" t="n">
        <x:v>0.005054809649438256</x:v>
      </x:c>
      <x:c r="M9" s="20" t="n">
        <x:f>B9*Holdings!$D$5+C9*Holdings!$D$6+D9*Holdings!$D$7+E9*Holdings!$D$8+F9*Holdings!$D$9+G9*Holdings!$D$10+H9*Holdings!$D$11+I9*Holdings!$D$12+J9*Holdings!$D$13+K9*Holdings!$D$14</x:f>
        <x:v>0.0033336971526915452</x:v>
      </x:c>
    </x:row>
    <x:row r="10">
      <x:c r="A10" s="14" t="n">
        <x:v>44651</x:v>
      </x:c>
      <x:c r="B10" s="17" t="n">
        <x:v>0.073848046077667</x:v>
      </x:c>
      <x:c r="C10" s="17" t="n">
        <x:v>0.1116220095809537</x:v>
      </x:c>
      <x:c r="D10" s="17" t="n">
        <x:v>0.08359220787173252</x:v>
      </x:c>
      <x:c r="E10" s="17" t="n">
        <x:v>-0.01231149142397458</x:v>
      </x:c>
      <x:c r="F10" s="17" t="n">
        <x:v>0.012835656088177294</x:v>
      </x:c>
      <x:c r="G10" s="17" t="n">
        <x:v>-0.020043305064191677</x:v>
      </x:c>
      <x:c r="H10" s="17" t="n">
        <x:v>0.1061955856555328</x:v>
      </x:c>
      <x:c r="I10" s="17" t="n">
        <x:v>-0.05175606863389751</x:v>
      </x:c>
      <x:c r="J10" s="17" t="n">
        <x:v>-0.03259794240652168</x:v>
      </x:c>
      <x:c r="K10" s="17" t="n">
        <x:v>0.09399694441887549</x:v>
      </x:c>
      <x:c r="L10" s="17" t="n">
        <x:v>0.005055615347976148</x:v>
      </x:c>
      <x:c r="M10" s="20" t="n">
        <x:f>B10*Holdings!$D$5+C10*Holdings!$D$6+D10*Holdings!$D$7+E10*Holdings!$D$8+F10*Holdings!$D$9+G10*Holdings!$D$10+H10*Holdings!$D$11+I10*Holdings!$D$12+J10*Holdings!$D$13+K10*Holdings!$D$14</x:f>
        <x:v>0.043731796892528575</x:v>
      </x:c>
    </x:row>
    <x:row r="11">
      <x:c r="A11" s="14" t="n">
        <x:v>44681</x:v>
      </x:c>
      <x:c r="B11" s="17" t="n">
        <x:v>0.10771099598563265</x:v>
      </x:c>
      <x:c r="C11" s="17" t="n">
        <x:v>0.057146509006007463</x:v>
      </x:c>
      <x:c r="D11" s="17" t="n">
        <x:v>0.21314357648624888</x:v>
      </x:c>
      <x:c r="E11" s="17" t="n">
        <x:v>0.08370934653480935</x:v>
      </x:c>
      <x:c r="F11" s="17" t="n">
        <x:v>0.2060416201466666</x:v>
      </x:c>
      <x:c r="G11" s="17" t="n">
        <x:v>0.12645051043022948</x:v>
      </x:c>
      <x:c r="H11" s="17" t="n">
        <x:v>0.012452154368332113</x:v>
      </x:c>
      <x:c r="I11" s="17" t="n">
        <x:v>0.037904157693243755</x:v>
      </x:c>
      <x:c r="J11" s="17" t="n">
        <x:v>0.10525490917954776</x:v>
      </x:c>
      <x:c r="K11" s="17" t="n">
        <x:v>0.05323395116889912</x:v>
      </x:c>
      <x:c r="L11" s="17" t="n">
        <x:v>0.09404534358530978</x:v>
      </x:c>
      <x:c r="M11" s="20" t="n">
        <x:f>B11*Holdings!$D$5+C11*Holdings!$D$6+D11*Holdings!$D$7+E11*Holdings!$D$8+F11*Holdings!$D$9+G11*Holdings!$D$10+H11*Holdings!$D$11+I11*Holdings!$D$12+J11*Holdings!$D$13+K11*Holdings!$D$14</x:f>
        <x:v>0.10571018708955168</x:v>
      </x:c>
    </x:row>
    <x:row r="12">
      <x:c r="A12" s="14" t="n">
        <x:v>44712</x:v>
      </x:c>
      <x:c r="B12" s="17" t="n">
        <x:v>0.11482153050963174</x:v>
      </x:c>
      <x:c r="C12" s="17" t="n">
        <x:v>0.033645221439503444</x:v>
      </x:c>
      <x:c r="D12" s="17" t="n">
        <x:v>0.08404787718419575</x:v>
      </x:c>
      <x:c r="E12" s="17" t="n">
        <x:v>0.029871916466492288</x:v>
      </x:c>
      <x:c r="F12" s="17" t="n">
        <x:v>0.029373333147822533</x:v>
      </x:c>
      <x:c r="G12" s="17" t="n">
        <x:v>0.06521528136884965</x:v>
      </x:c>
      <x:c r="H12" s="17" t="n">
        <x:v>0.09958466238775744</x:v>
      </x:c>
      <x:c r="I12" s="17" t="n">
        <x:v>-0.005832253217180191</x:v>
      </x:c>
      <x:c r="J12" s="17" t="n">
        <x:v>0.03500106239876576</x:v>
      </x:c>
      <x:c r="K12" s="17" t="n">
        <x:v>-0.006871586121944754</x:v>
      </x:c>
      <x:c r="L12" s="17" t="n">
        <x:v>0.05420751836759479</x:v>
      </x:c>
      <x:c r="M12" s="20" t="n">
        <x:f>B12*Holdings!$D$5+C12*Holdings!$D$6+D12*Holdings!$D$7+E12*Holdings!$D$8+F12*Holdings!$D$9+G12*Holdings!$D$10+H12*Holdings!$D$11+I12*Holdings!$D$12+J12*Holdings!$D$13+K12*Holdings!$D$14</x:f>
        <x:v>0.05100413362686253</x:v>
      </x:c>
    </x:row>
    <x:row r="13">
      <x:c r="A13" s="14" t="n">
        <x:v>44742</x:v>
      </x:c>
      <x:c r="B13" s="17" t="n">
        <x:v>0.009205812428338423</x:v>
      </x:c>
      <x:c r="C13" s="17" t="n">
        <x:v>-0.0012280664637990338</x:v>
      </x:c>
      <x:c r="D13" s="17" t="n">
        <x:v>-0.10634019094246872</x:v>
      </x:c>
      <x:c r="E13" s="17" t="n">
        <x:v>0.06886562212038094</x:v>
      </x:c>
      <x:c r="F13" s="17" t="n">
        <x:v>0.0265336706299222</x:v>
      </x:c>
      <x:c r="G13" s="17" t="n">
        <x:v>-0.002223311990159684</x:v>
      </x:c>
      <x:c r="H13" s="17" t="n">
        <x:v>0.07269302311998799</x:v>
      </x:c>
      <x:c r="I13" s="17" t="n">
        <x:v>0.0682782822881731</x:v>
      </x:c>
      <x:c r="J13" s="17" t="n">
        <x:v>0.019192920656729666</x:v>
      </x:c>
      <x:c r="K13" s="17" t="n">
        <x:v>-0.08978487799799911</x:v>
      </x:c>
      <x:c r="L13" s="17" t="n">
        <x:v>-0.006493515529926873</x:v>
      </x:c>
      <x:c r="M13" s="20" t="n">
        <x:f>B13*Holdings!$D$5+C13*Holdings!$D$6+D13*Holdings!$D$7+E13*Holdings!$D$8+F13*Holdings!$D$9+G13*Holdings!$D$10+H13*Holdings!$D$11+I13*Holdings!$D$12+J13*Holdings!$D$13+K13*Holdings!$D$14</x:f>
        <x:v>0.00013311061380293955</x:v>
      </x:c>
    </x:row>
    <x:row r="14">
      <x:c r="A14" s="14" t="n">
        <x:v>44773</x:v>
      </x:c>
      <x:c r="B14" s="17" t="n">
        <x:v>0.01740051258321531</x:v>
      </x:c>
      <x:c r="C14" s="17" t="n">
        <x:v>0.024515052398432574</x:v>
      </x:c>
      <x:c r="D14" s="17" t="n">
        <x:v>-0.09207023091626841</x:v>
      </x:c>
      <x:c r="E14" s="17" t="n">
        <x:v>0.06478503622056327</x:v>
      </x:c>
      <x:c r="F14" s="17" t="n">
        <x:v>0.041040399872352314</x:v>
      </x:c>
      <x:c r="G14" s="17" t="n">
        <x:v>0.0020882801842550796</x:v>
      </x:c>
      <x:c r="H14" s="17" t="n">
        <x:v>-0.09246796109740676</x:v>
      </x:c>
      <x:c r="I14" s="17" t="n">
        <x:v>0.06752066219431702</x:v>
      </x:c>
      <x:c r="J14" s="17" t="n">
        <x:v>0.005973412521178832</x:v>
      </x:c>
      <x:c r="K14" s="17" t="n">
        <x:v>0.11220779021814252</x:v>
      </x:c>
      <x:c r="L14" s="17" t="n">
        <x:v>0.04317184424668414</x:v>
      </x:c>
      <x:c r="M14" s="20" t="n">
        <x:f>B14*Holdings!$D$5+C14*Holdings!$D$6+D14*Holdings!$D$7+E14*Holdings!$D$8+F14*Holdings!$D$9+G14*Holdings!$D$10+H14*Holdings!$D$11+I14*Holdings!$D$12+J14*Holdings!$D$13+K14*Holdings!$D$14</x:f>
        <x:v>0.015297430789660959</x:v>
      </x:c>
    </x:row>
    <x:row r="15">
      <x:c r="A15" s="14" t="n">
        <x:v>44804</x:v>
      </x:c>
      <x:c r="B15" s="17" t="n">
        <x:v>0.00955021390493504</x:v>
      </x:c>
      <x:c r="C15" s="17" t="n">
        <x:v>-0.07994843496129184</x:v>
      </x:c>
      <x:c r="D15" s="17" t="n">
        <x:v>-0.06229355542753608</x:v>
      </x:c>
      <x:c r="E15" s="17" t="n">
        <x:v>-0.06692102550432825</x:v>
      </x:c>
      <x:c r="F15" s="17" t="n">
        <x:v>-0.024172920023984433</x:v>
      </x:c>
      <x:c r="G15" s="17" t="n">
        <x:v>-0.006512527145648936</x:v>
      </x:c>
      <x:c r="H15" s="17" t="n">
        <x:v>-0.09402980705837706</x:v>
      </x:c>
      <x:c r="I15" s="17" t="n">
        <x:v>-0.0010587737932997113</x:v>
      </x:c>
      <x:c r="J15" s="17" t="n">
        <x:v>0.004688462650096609</x:v>
      </x:c>
      <x:c r="K15" s="17" t="n">
        <x:v>0.025518716351254973</x:v>
      </x:c>
      <x:c r="L15" s="17" t="n">
        <x:v>-0.006196284690530055</x:v>
      </x:c>
      <x:c r="M15" s="20" t="n">
        <x:f>B15*Holdings!$D$5+C15*Holdings!$D$6+D15*Holdings!$D$7+E15*Holdings!$D$8+F15*Holdings!$D$9+G15*Holdings!$D$10+H15*Holdings!$D$11+I15*Holdings!$D$12+J15*Holdings!$D$13+K15*Holdings!$D$14</x:f>
        <x:v>-0.02995626725800518</x:v>
      </x:c>
    </x:row>
    <x:row r="16">
      <x:c r="A16" s="14" t="n">
        <x:v>44834</x:v>
      </x:c>
      <x:c r="B16" s="17" t="n">
        <x:v>0.06949192059012377</x:v>
      </x:c>
      <x:c r="C16" s="17" t="n">
        <x:v>-0.002515004754125385</x:v>
      </x:c>
      <x:c r="D16" s="17" t="n">
        <x:v>0.07918727217703458</x:v>
      </x:c>
      <x:c r="E16" s="17" t="n">
        <x:v>0.030951196623225964</x:v>
      </x:c>
      <x:c r="F16" s="17" t="n">
        <x:v>0.06362892675293252</x:v>
      </x:c>
      <x:c r="G16" s="17" t="n">
        <x:v>0.023416879577433054</x:v>
      </x:c>
      <x:c r="H16" s="17" t="n">
        <x:v>-0.15789621753033822</x:v>
      </x:c>
      <x:c r="I16" s="17" t="n">
        <x:v>0.05989889674889975</x:v>
      </x:c>
      <x:c r="J16" s="17" t="n">
        <x:v>-0.007935319035358155</x:v>
      </x:c>
      <x:c r="K16" s="17" t="n">
        <x:v>-0.008151126598204597</x:v>
      </x:c>
      <x:c r="L16" s="17" t="n">
        <x:v>-0.006309748547106172</x:v>
      </x:c>
      <x:c r="M16" s="20" t="n">
        <x:f>B16*Holdings!$D$5+C16*Holdings!$D$6+D16*Holdings!$D$7+E16*Holdings!$D$8+F16*Holdings!$D$9+G16*Holdings!$D$10+H16*Holdings!$D$11+I16*Holdings!$D$12+J16*Holdings!$D$13+K16*Holdings!$D$14</x:f>
        <x:v>0.022160171788060196</x:v>
      </x:c>
    </x:row>
    <x:row r="17">
      <x:c r="A17" s="14" t="n">
        <x:v>44865</x:v>
      </x:c>
      <x:c r="B17" s="17" t="n">
        <x:v>0.03080819136609219</x:v>
      </x:c>
      <x:c r="C17" s="17" t="n">
        <x:v>-0.018478822445577678</x:v>
      </x:c>
      <x:c r="D17" s="17" t="n">
        <x:v>0.07011994504255817</x:v>
      </x:c>
      <x:c r="E17" s="17" t="n">
        <x:v>0.12506115186175065</x:v>
      </x:c>
      <x:c r="F17" s="17" t="n">
        <x:v>0.09051515172119413</x:v>
      </x:c>
      <x:c r="G17" s="17" t="n">
        <x:v>0.12561552136295132</x:v>
      </x:c>
      <x:c r="H17" s="17" t="n">
        <x:v>0.005200734852169054</x:v>
      </x:c>
      <x:c r="I17" s="17" t="n">
        <x:v>0.024942379213899885</x:v>
      </x:c>
      <x:c r="J17" s="17" t="n">
        <x:v>0.08660852734381334</x:v>
      </x:c>
      <x:c r="K17" s="17" t="n">
        <x:v>0.04070508818139299</x:v>
      </x:c>
      <x:c r="L17" s="17" t="n">
        <x:v>0.028420076856235897</x:v>
      </x:c>
      <x:c r="M17" s="20" t="n">
        <x:f>B17*Holdings!$D$5+C17*Holdings!$D$6+D17*Holdings!$D$7+E17*Holdings!$D$8+F17*Holdings!$D$9+G17*Holdings!$D$10+H17*Holdings!$D$11+I17*Holdings!$D$12+J17*Holdings!$D$13+K17*Holdings!$D$14</x:f>
        <x:v>0.05629752954966408</x:v>
      </x:c>
    </x:row>
    <x:row r="18">
      <x:c r="A18" s="14" t="n">
        <x:v>44895</x:v>
      </x:c>
      <x:c r="B18" s="17" t="n">
        <x:v>-0.014395407532678922</x:v>
      </x:c>
      <x:c r="C18" s="17" t="n">
        <x:v>-0.06125680303256321</x:v>
      </x:c>
      <x:c r="D18" s="17" t="n">
        <x:v>-0.27371692285850435</x:v>
      </x:c>
      <x:c r="E18" s="17" t="n">
        <x:v>-0.045587746851104234</x:v>
      </x:c>
      <x:c r="F18" s="17" t="n">
        <x:v>-0.04777875479823344</x:v>
      </x:c>
      <x:c r="G18" s="17" t="n">
        <x:v>-0.032539076392004575</x:v>
      </x:c>
      <x:c r="H18" s="17" t="n">
        <x:v>-0.016469415331366317</x:v>
      </x:c>
      <x:c r="I18" s="17" t="n">
        <x:v>-0.08230852596675246</x:v>
      </x:c>
      <x:c r="J18" s="17" t="n">
        <x:v>-0.03998909093505594</x:v>
      </x:c>
      <x:c r="K18" s="17" t="n">
        <x:v>-0.12621587688613847</x:v>
      </x:c>
      <x:c r="L18" s="17" t="n">
        <x:v>-0.07734796013117835</x:v>
      </x:c>
      <x:c r="M18" s="20" t="n">
        <x:f>B18*Holdings!$D$5+C18*Holdings!$D$6+D18*Holdings!$D$7+E18*Holdings!$D$8+F18*Holdings!$D$9+G18*Holdings!$D$10+H18*Holdings!$D$11+I18*Holdings!$D$12+J18*Holdings!$D$13+K18*Holdings!$D$14</x:f>
        <x:v>-0.0778251100863296</x:v>
      </x:c>
    </x:row>
    <x:row r="19">
      <x:c r="A19" s="14" t="n">
        <x:v>44926</x:v>
      </x:c>
      <x:c r="B19" s="17" t="n">
        <x:v>-0.2169526219025878</x:v>
      </x:c>
      <x:c r="C19" s="17" t="n">
        <x:v>-0.11781174784294497</x:v>
      </x:c>
      <x:c r="D19" s="17" t="n">
        <x:v>-0.1032462722289161</x:v>
      </x:c>
      <x:c r="E19" s="17" t="n">
        <x:v>-0.14974205617643205</x:v>
      </x:c>
      <x:c r="F19" s="17" t="n">
        <x:v>-0.0028944997736365056</x:v>
      </x:c>
      <x:c r="G19" s="17" t="n">
        <x:v>0.054364573061804845</x:v>
      </x:c>
      <x:c r="H19" s="17" t="n">
        <x:v>0.05031347787812759</x:v>
      </x:c>
      <x:c r="I19" s="17" t="n">
        <x:v>0.021503713114929116</x:v>
      </x:c>
      <x:c r="J19" s="17" t="n">
        <x:v>-0.028751081073896373</x:v>
      </x:c>
      <x:c r="K19" s="17" t="n">
        <x:v>0.0513919202368115</x:v>
      </x:c>
      <x:c r="L19" s="17" t="n">
        <x:v>-0.06810411753583442</x:v>
      </x:c>
      <x:c r="M19" s="20" t="n">
        <x:f>B19*Holdings!$D$5+C19*Holdings!$D$6+D19*Holdings!$D$7+E19*Holdings!$D$8+F19*Holdings!$D$9+G19*Holdings!$D$10+H19*Holdings!$D$11+I19*Holdings!$D$12+J19*Holdings!$D$13+K19*Holdings!$D$14</x:f>
        <x:v>-0.06058298206557607</x:v>
      </x:c>
    </x:row>
    <x:row r="20">
      <x:c r="A20" s="14" t="n">
        <x:v>44957</x:v>
      </x:c>
      <x:c r="B20" s="17" t="n">
        <x:v>0.0272407210631641</x:v>
      </x:c>
      <x:c r="C20" s="17" t="n">
        <x:v>0.06322780660105799</x:v>
      </x:c>
      <x:c r="D20" s="17" t="n">
        <x:v>0.019669216718532855</x:v>
      </x:c>
      <x:c r="E20" s="17" t="n">
        <x:v>-0.03756616304121421</x:v>
      </x:c>
      <x:c r="F20" s="17" t="n">
        <x:v>-0.01453457389685671</x:v>
      </x:c>
      <x:c r="G20" s="17" t="n">
        <x:v>-0.06261635237627496</x:v>
      </x:c>
      <x:c r="H20" s="17" t="n">
        <x:v>-0.0047322390071138695</x:v>
      </x:c>
      <x:c r="I20" s="17" t="n">
        <x:v>0.018219469531465145</x:v>
      </x:c>
      <x:c r="J20" s="17" t="n">
        <x:v>-0.02474901216507855</x:v>
      </x:c>
      <x:c r="K20" s="17" t="n">
        <x:v>-0.003916274383469099</x:v>
      </x:c>
      <x:c r="L20" s="17" t="n">
        <x:v>-0.011048299458052508</x:v>
      </x:c>
      <x:c r="M20" s="20" t="n">
        <x:f>B20*Holdings!$D$5+C20*Holdings!$D$6+D20*Holdings!$D$7+E20*Holdings!$D$8+F20*Holdings!$D$9+G20*Holdings!$D$10+H20*Holdings!$D$11+I20*Holdings!$D$12+J20*Holdings!$D$13+K20*Holdings!$D$14</x:f>
        <x:v>0.0021206341306840137</x:v>
      </x:c>
    </x:row>
    <x:row r="21">
      <x:c r="A21" s="14" t="n">
        <x:v>44985</x:v>
      </x:c>
      <x:c r="B21" s="17" t="n">
        <x:v>-0.036812497357098864</x:v>
      </x:c>
      <x:c r="C21" s="17" t="n">
        <x:v>-0.07284934411637907</x:v>
      </x:c>
      <x:c r="D21" s="17" t="n">
        <x:v>-0.15703445484194983</x:v>
      </x:c>
      <x:c r="E21" s="17" t="n">
        <x:v>0.015775658068141282</x:v>
      </x:c>
      <x:c r="F21" s="17" t="n">
        <x:v>0.0008784026503916697</x:v>
      </x:c>
      <x:c r="G21" s="17" t="n">
        <x:v>0.014966961268396651</x:v>
      </x:c>
      <x:c r="H21" s="17" t="n">
        <x:v>0.09116983253606832</x:v>
      </x:c>
      <x:c r="I21" s="17" t="n">
        <x:v>-0.06080307087850586</x:v>
      </x:c>
      <x:c r="J21" s="17" t="n">
        <x:v>-0.04525117136068214</x:v>
      </x:c>
      <x:c r="K21" s="17" t="n">
        <x:v>-0.025858351310340255</x:v>
      </x:c>
      <x:c r="L21" s="17" t="n">
        <x:v>-0.033158623864007</x:v>
      </x:c>
      <x:c r="M21" s="20" t="n">
        <x:f>B21*Holdings!$D$5+C21*Holdings!$D$6+D21*Holdings!$D$7+E21*Holdings!$D$8+F21*Holdings!$D$9+G21*Holdings!$D$10+H21*Holdings!$D$11+I21*Holdings!$D$12+J21*Holdings!$D$13+K21*Holdings!$D$14</x:f>
        <x:v>-0.034536121884007336</x:v>
      </x:c>
    </x:row>
    <x:row r="22">
      <x:c r="A22" s="14" t="n">
        <x:v>45016</x:v>
      </x:c>
      <x:c r="B22" s="17" t="n">
        <x:v>0.021627319694356332</x:v>
      </x:c>
      <x:c r="C22" s="17" t="n">
        <x:v>0.02087965272942792</x:v>
      </x:c>
      <x:c r="D22" s="17" t="n">
        <x:v>0.0697633365763416</x:v>
      </x:c>
      <x:c r="E22" s="17" t="n">
        <x:v>0.0018515462287399583</x:v>
      </x:c>
      <x:c r="F22" s="17" t="n">
        <x:v>0.019254519964373454</x:v>
      </x:c>
      <x:c r="G22" s="17" t="n">
        <x:v>0.049369462886729935</x:v>
      </x:c>
      <x:c r="H22" s="17" t="n">
        <x:v>-0.07434592429915424</x:v>
      </x:c>
      <x:c r="I22" s="17" t="n">
        <x:v>0.016267357216004107</x:v>
      </x:c>
      <x:c r="J22" s="17" t="n">
        <x:v>0.006442430007856626</x:v>
      </x:c>
      <x:c r="K22" s="17" t="n">
        <x:v>0.06514965943716611</x:v>
      </x:c>
      <x:c r="L22" s="17" t="n">
        <x:v>0.03196744980894361</x:v>
      </x:c>
      <x:c r="M22" s="20" t="n">
        <x:f>B22*Holdings!$D$5+C22*Holdings!$D$6+D22*Holdings!$D$7+E22*Holdings!$D$8+F22*Holdings!$D$9+G22*Holdings!$D$10+H22*Holdings!$D$11+I22*Holdings!$D$12+J22*Holdings!$D$13+K22*Holdings!$D$14</x:f>
        <x:v>0.023632498928838175</x:v>
      </x:c>
    </x:row>
    <x:row r="23">
      <x:c r="A23" s="14" t="n">
        <x:v>45046</x:v>
      </x:c>
      <x:c r="B23" s="17" t="n">
        <x:v>-0.030399762812038593</x:v>
      </x:c>
      <x:c r="C23" s="17" t="n">
        <x:v>0.009291016524544253</x:v>
      </x:c>
      <x:c r="D23" s="17" t="n">
        <x:v>-0.04559286618271217</x:v>
      </x:c>
      <x:c r="E23" s="17" t="n">
        <x:v>-0.015333143983732518</x:v>
      </x:c>
      <x:c r="F23" s="17" t="n">
        <x:v>-0.016338051660121318</x:v>
      </x:c>
      <x:c r="G23" s="17" t="n">
        <x:v>0.1047965518913276</x:v>
      </x:c>
      <x:c r="H23" s="17" t="n">
        <x:v>-0.15241261020251304</x:v>
      </x:c>
      <x:c r="I23" s="17" t="n">
        <x:v>-0.05083021378868262</x:v>
      </x:c>
      <x:c r="J23" s="17" t="n">
        <x:v>0.004257856616324674</x:v>
      </x:c>
      <x:c r="K23" s="17" t="n">
        <x:v>-0.003404510596695663</x:v>
      </x:c>
      <x:c r="L23" s="17" t="n">
        <x:v>-0.028015241943457406</x:v>
      </x:c>
      <x:c r="M23" s="20" t="n">
        <x:f>B23*Holdings!$D$5+C23*Holdings!$D$6+D23*Holdings!$D$7+E23*Holdings!$D$8+F23*Holdings!$D$9+G23*Holdings!$D$10+H23*Holdings!$D$11+I23*Holdings!$D$12+J23*Holdings!$D$13+K23*Holdings!$D$14</x:f>
        <x:v>-0.016481528691333302</x:v>
      </x:c>
    </x:row>
    <x:row r="24">
      <x:c r="A24" s="14" t="n">
        <x:v>45077</x:v>
      </x:c>
      <x:c r="B24" s="17" t="n">
        <x:v>-0.16626470984060449</x:v>
      </x:c>
      <x:c r="C24" s="17" t="n">
        <x:v>-0.11585359338514005</x:v>
      </x:c>
      <x:c r="D24" s="17" t="n">
        <x:v>-0.2195175423343736</x:v>
      </x:c>
      <x:c r="E24" s="17" t="n">
        <x:v>-0.02891220923421152</x:v>
      </x:c>
      <x:c r="F24" s="17" t="n">
        <x:v>-0.07886098490551598</x:v>
      </x:c>
      <x:c r="G24" s="17" t="n">
        <x:v>-0.11527386334899543</x:v>
      </x:c>
      <x:c r="H24" s="17" t="n">
        <x:v>-0.051932649124962246</x:v>
      </x:c>
      <x:c r="I24" s="17" t="n">
        <x:v>-0.08771961647912076</x:v>
      </x:c>
      <x:c r="J24" s="17" t="n">
        <x:v>-0.05650614032159735</x:v>
      </x:c>
      <x:c r="K24" s="17" t="n">
        <x:v>-0.03906983483626211</x:v>
      </x:c>
      <x:c r="L24" s="17" t="n">
        <x:v>-0.05276265004885868</x:v>
      </x:c>
      <x:c r="M24" s="20" t="n">
        <x:f>B24*Holdings!$D$5+C24*Holdings!$D$6+D24*Holdings!$D$7+E24*Holdings!$D$8+F24*Holdings!$D$9+G24*Holdings!$D$10+H24*Holdings!$D$11+I24*Holdings!$D$12+J24*Holdings!$D$13+K24*Holdings!$D$14</x:f>
        <x:v>-0.1040352320148998</x:v>
      </x:c>
    </x:row>
    <x:row r="25">
      <x:c r="A25" s="14" t="n">
        <x:v>45107</x:v>
      </x:c>
      <x:c r="B25" s="17" t="n">
        <x:v>0.09348380917132325</x:v>
      </x:c>
      <x:c r="C25" s="17" t="n">
        <x:v>0.10935605280706404</x:v>
      </x:c>
      <x:c r="D25" s="17" t="n">
        <x:v>0.19083648900699318</x:v>
      </x:c>
      <x:c r="E25" s="17" t="n">
        <x:v>0.05696939154138974</x:v>
      </x:c>
      <x:c r="F25" s="17" t="n">
        <x:v>0.11991894162704791</x:v>
      </x:c>
      <x:c r="G25" s="17" t="n">
        <x:v>0.05221263925954087</x:v>
      </x:c>
      <x:c r="H25" s="17" t="n">
        <x:v>0.10792695728855227</x:v>
      </x:c>
      <x:c r="I25" s="17" t="n">
        <x:v>0.09879275503594306</x:v>
      </x:c>
      <x:c r="J25" s="17" t="n">
        <x:v>0.08620580895749243</x:v>
      </x:c>
      <x:c r="K25" s="17" t="n">
        <x:v>0.04715070233480846</x:v>
      </x:c>
      <x:c r="L25" s="17" t="n">
        <x:v>0.08847221379164907</x:v>
      </x:c>
      <x:c r="M25" s="20" t="n">
        <x:f>B25*Holdings!$D$5+C25*Holdings!$D$6+D25*Holdings!$D$7+E25*Holdings!$D$8+F25*Holdings!$D$9+G25*Holdings!$D$10+H25*Holdings!$D$11+I25*Holdings!$D$12+J25*Holdings!$D$13+K25*Holdings!$D$14</x:f>
        <x:v>0.09867428449274013</x:v>
      </x:c>
    </x:row>
    <x:row r="26">
      <x:c r="A26" s="14" t="n">
        <x:v>45138</x:v>
      </x:c>
      <x:c r="B26" s="17" t="n">
        <x:v>0.023326164199714394</x:v>
      </x:c>
      <x:c r="C26" s="17" t="n">
        <x:v>0.0697641253708305</x:v>
      </x:c>
      <x:c r="D26" s="17" t="n">
        <x:v>0.06764945933712024</x:v>
      </x:c>
      <x:c r="E26" s="17" t="n">
        <x:v>0.0005291082083664703</x:v>
      </x:c>
      <x:c r="F26" s="17" t="n">
        <x:v>0.045291674824975425</x:v>
      </x:c>
      <x:c r="G26" s="17" t="n">
        <x:v>-0.03213449119593621</x:v>
      </x:c>
      <x:c r="H26" s="17" t="n">
        <x:v>0.0021754487698966186</x:v>
      </x:c>
      <x:c r="I26" s="17" t="n">
        <x:v>0.08516919448843313</x:v>
      </x:c>
      <x:c r="J26" s="17" t="n">
        <x:v>0.11636728896438765</x:v>
      </x:c>
      <x:c r="K26" s="17" t="n">
        <x:v>0.027951552849996286</x:v>
      </x:c>
      <x:c r="L26" s="17" t="n">
        <x:v>0.005465912665017498</x:v>
      </x:c>
      <x:c r="M26" s="20" t="n">
        <x:f>B26*Holdings!$D$5+C26*Holdings!$D$6+D26*Holdings!$D$7+E26*Holdings!$D$8+F26*Holdings!$D$9+G26*Holdings!$D$10+H26*Holdings!$D$11+I26*Holdings!$D$12+J26*Holdings!$D$13+K26*Holdings!$D$14</x:f>
        <x:v>0.04036157193255606</x:v>
      </x:c>
    </x:row>
    <x:row r="27">
      <x:c r="A27" s="14" t="n">
        <x:v>45169</x:v>
      </x:c>
      <x:c r="B27" s="17" t="n">
        <x:v>0.09782453205096517</x:v>
      </x:c>
      <x:c r="C27" s="17" t="n">
        <x:v>-0.05400835438448485</x:v>
      </x:c>
      <x:c r="D27" s="17" t="n">
        <x:v>0.14963020297357849</x:v>
      </x:c>
      <x:c r="E27" s="17" t="n">
        <x:v>-0.12603668120298755</x:v>
      </x:c>
      <x:c r="F27" s="17" t="n">
        <x:v>-0.03042063290648781</x:v>
      </x:c>
      <x:c r="G27" s="17" t="n">
        <x:v>-0.11166481329534952</x:v>
      </x:c>
      <x:c r="H27" s="17" t="n">
        <x:v>-0.13644510553360326</x:v>
      </x:c>
      <x:c r="I27" s="17" t="n">
        <x:v>-0.04116181285500859</x:v>
      </x:c>
      <x:c r="J27" s="17" t="n">
        <x:v>0.06483460300357594</x:v>
      </x:c>
      <x:c r="K27" s="17" t="n">
        <x:v>0.10830806602388839</x:v>
      </x:c>
      <x:c r="L27" s="17" t="n">
        <x:v>0.019859764641462857</x:v>
      </x:c>
      <x:c r="M27" s="20" t="n">
        <x:f>B27*Holdings!$D$5+C27*Holdings!$D$6+D27*Holdings!$D$7+E27*Holdings!$D$8+F27*Holdings!$D$9+G27*Holdings!$D$10+H27*Holdings!$D$11+I27*Holdings!$D$12+J27*Holdings!$D$13+K27*Holdings!$D$14</x:f>
        <x:v>0.0025194987219246</x:v>
      </x:c>
    </x:row>
    <x:row r="28">
      <x:c r="A28" s="14" t="n">
        <x:v>45199</x:v>
      </x:c>
      <x:c r="B28" s="17" t="n">
        <x:v>-0.09197694910215891</x:v>
      </x:c>
      <x:c r="C28" s="17" t="n">
        <x:v>-0.0487253762302027</x:v>
      </x:c>
      <x:c r="D28" s="17" t="n">
        <x:v>0.018291664935223252</x:v>
      </x:c>
      <x:c r="E28" s="17" t="n">
        <x:v>-0.11053676362081102</x:v>
      </x:c>
      <x:c r="F28" s="17" t="n">
        <x:v>0.06882691890478118</x:v>
      </x:c>
      <x:c r="G28" s="17" t="n">
        <x:v>-0.0980657746246419</x:v>
      </x:c>
      <x:c r="H28" s="17" t="n">
        <x:v>-0.054983202415111336</x:v>
      </x:c>
      <x:c r="I28" s="17" t="n">
        <x:v>-0.008304959215018707</x:v>
      </x:c>
      <x:c r="J28" s="17" t="n">
        <x:v>-0.05204940875310483</x:v>
      </x:c>
      <x:c r="K28" s="17" t="n">
        <x:v>0.013369263955857016</x:v>
      </x:c>
      <x:c r="L28" s="17" t="n">
        <x:v>-0.05337336031787714</x:v>
      </x:c>
      <x:c r="M28" s="20" t="n">
        <x:f>B28*Holdings!$D$5+C28*Holdings!$D$6+D28*Holdings!$D$7+E28*Holdings!$D$8+F28*Holdings!$D$9+G28*Holdings!$D$10+H28*Holdings!$D$11+I28*Holdings!$D$12+J28*Holdings!$D$13+K28*Holdings!$D$14</x:f>
        <x:v>-0.03727017379859435</x:v>
      </x:c>
    </x:row>
    <x:row r="29">
      <x:c r="A29" s="14" t="n">
        <x:v>45230</x:v>
      </x:c>
      <x:c r="B29" s="17" t="n">
        <x:v>-0.05495092174579345</x:v>
      </x:c>
      <x:c r="C29" s="17" t="n">
        <x:v>0.0024030307048950716</x:v>
      </x:c>
      <x:c r="D29" s="17" t="n">
        <x:v>-0.17050102460873015</x:v>
      </x:c>
      <x:c r="E29" s="17" t="n">
        <x:v>-0.026135065857630604</x:v>
      </x:c>
      <x:c r="F29" s="17" t="n">
        <x:v>-0.08200507882788245</x:v>
      </x:c>
      <x:c r="G29" s="17" t="n">
        <x:v>-0.06104031324297011</x:v>
      </x:c>
      <x:c r="H29" s="17" t="n">
        <x:v>-0.10663521860753293</x:v>
      </x:c>
      <x:c r="I29" s="17" t="n">
        <x:v>-0.030002502514151007</x:v>
      </x:c>
      <x:c r="J29" s="17" t="n">
        <x:v>0.05939653797194235</x:v>
      </x:c>
      <x:c r="K29" s="17" t="n">
        <x:v>0.06612568093296768</x:v>
      </x:c>
      <x:c r="L29" s="17" t="n">
        <x:v>-0.01016962523314434</x:v>
      </x:c>
      <x:c r="M29" s="20" t="n">
        <x:f>B29*Holdings!$D$5+C29*Holdings!$D$6+D29*Holdings!$D$7+E29*Holdings!$D$8+F29*Holdings!$D$9+G29*Holdings!$D$10+H29*Holdings!$D$11+I29*Holdings!$D$12+J29*Holdings!$D$13+K29*Holdings!$D$14</x:f>
        <x:v>-0.04234885001370668</x:v>
      </x:c>
    </x:row>
    <x:row r="30">
      <x:c r="A30" s="14" t="n">
        <x:v>45260</x:v>
      </x:c>
      <x:c r="B30" s="17" t="n">
        <x:v>-0.0006985729310093284</x:v>
      </x:c>
      <x:c r="C30" s="17" t="n">
        <x:v>0.06277794409738864</x:v>
      </x:c>
      <x:c r="D30" s="17" t="n">
        <x:v>-0.06639398812621834</x:v>
      </x:c>
      <x:c r="E30" s="17" t="n">
        <x:v>-0.033918274678898006</x:v>
      </x:c>
      <x:c r="F30" s="17" t="n">
        <x:v>-0.054105843435421457</x:v>
      </x:c>
      <x:c r="G30" s="17" t="n">
        <x:v>0.035303577129432696</x:v>
      </x:c>
      <x:c r="H30" s="17" t="n">
        <x:v>0.06936817771306382</x:v>
      </x:c>
      <x:c r="I30" s="17" t="n">
        <x:v>-0.0023920252875477815</x:v>
      </x:c>
      <x:c r="J30" s="17" t="n">
        <x:v>0.00022596696936253574</x:v>
      </x:c>
      <x:c r="K30" s="17" t="n">
        <x:v>-0.0028064085954928597</x:v>
      </x:c>
      <x:c r="L30" s="17" t="n">
        <x:v>0.02198933423073047</x:v>
      </x:c>
      <x:c r="M30" s="20" t="n">
        <x:f>B30*Holdings!$D$5+C30*Holdings!$D$6+D30*Holdings!$D$7+E30*Holdings!$D$8+F30*Holdings!$D$9+G30*Holdings!$D$10+H30*Holdings!$D$11+I30*Holdings!$D$12+J30*Holdings!$D$13+K30*Holdings!$D$14</x:f>
        <x:v>-0.0011032687548241462</x:v>
      </x:c>
    </x:row>
    <x:row r="31">
      <x:c r="A31" s="14" t="n">
        <x:v>45291</x:v>
      </x:c>
      <x:c r="B31" s="17" t="n">
        <x:v>-0.002654040577990015</x:v>
      </x:c>
      <x:c r="C31" s="17" t="n">
        <x:v>-0.10203901303284486</x:v>
      </x:c>
      <x:c r="D31" s="17" t="n">
        <x:v>-0.01678378289568011</x:v>
      </x:c>
      <x:c r="E31" s="17" t="n">
        <x:v>0.02441897559280755</x:v>
      </x:c>
      <x:c r="F31" s="17" t="n">
        <x:v>0.023874971447768865</x:v>
      </x:c>
      <x:c r="G31" s="17" t="n">
        <x:v>-0.026859199709445745</x:v>
      </x:c>
      <x:c r="H31" s="17" t="n">
        <x:v>-0.008944248060527677</x:v>
      </x:c>
      <x:c r="I31" s="17" t="n">
        <x:v>-0.04696329597148839</x:v>
      </x:c>
      <x:c r="J31" s="17" t="n">
        <x:v>-0.1305844507173398</x:v>
      </x:c>
      <x:c r="K31" s="17" t="n">
        <x:v>-0.08425351982286859</x:v>
      </x:c>
      <x:c r="L31" s="17" t="n">
        <x:v>-0.03993891506629191</x:v>
      </x:c>
      <x:c r="M31" s="20" t="n">
        <x:f>B31*Holdings!$D$5+C31*Holdings!$D$6+D31*Holdings!$D$7+E31*Holdings!$D$8+F31*Holdings!$D$9+G31*Holdings!$D$10+H31*Holdings!$D$11+I31*Holdings!$D$12+J31*Holdings!$D$13+K31*Holdings!$D$14</x:f>
        <x:v>-0.03602426071437769</x:v>
      </x:c>
    </x:row>
    <x:row r="32">
      <x:c r="A32" s="14" t="n">
        <x:v>45322</x:v>
      </x:c>
      <x:c r="B32" s="17" t="n">
        <x:v>0.05729872099360773</x:v>
      </x:c>
      <x:c r="C32" s="17" t="n">
        <x:v>-0.02362455862502221</x:v>
      </x:c>
      <x:c r="D32" s="17" t="n">
        <x:v>0.11419394173743329</x:v>
      </x:c>
      <x:c r="E32" s="17" t="n">
        <x:v>-0.02717811044137633</x:v>
      </x:c>
      <x:c r="F32" s="17" t="n">
        <x:v>0.09679211922545253</x:v>
      </x:c>
      <x:c r="G32" s="17" t="n">
        <x:v>0.16047957555658474</x:v>
      </x:c>
      <x:c r="H32" s="17" t="n">
        <x:v>-0.03883825378255897</x:v>
      </x:c>
      <x:c r="I32" s="17" t="n">
        <x:v>-0.009404336629820298</x:v>
      </x:c>
      <x:c r="J32" s="17" t="n">
        <x:v>-0.021082635068174573</x:v>
      </x:c>
      <x:c r="K32" s="17" t="n">
        <x:v>0.027758379028912268</x:v>
      </x:c>
      <x:c r="L32" s="17" t="n">
        <x:v>0.03498312825553336</x:v>
      </x:c>
      <x:c r="M32" s="20" t="n">
        <x:f>B32*Holdings!$D$5+C32*Holdings!$D$6+D32*Holdings!$D$7+E32*Holdings!$D$8+F32*Holdings!$D$9+G32*Holdings!$D$10+H32*Holdings!$D$11+I32*Holdings!$D$12+J32*Holdings!$D$13+K32*Holdings!$D$14</x:f>
        <x:v>0.03777070977341515</x:v>
      </x:c>
    </x:row>
    <x:row r="33">
      <x:c r="A33" s="14" t="n">
        <x:v>45351</x:v>
      </x:c>
      <x:c r="B33" s="17" t="n">
        <x:v>-0.0440320302226894</x:v>
      </x:c>
      <x:c r="C33" s="17" t="n">
        <x:v>0.011918384571979463</x:v>
      </x:c>
      <x:c r="D33" s="17" t="n">
        <x:v>0.030482514501631877</x:v>
      </x:c>
      <x:c r="E33" s="17" t="n">
        <x:v>-0.03774284606601606</x:v>
      </x:c>
      <x:c r="F33" s="17" t="n">
        <x:v>0.023311435637740713</x:v>
      </x:c>
      <x:c r="G33" s="17" t="n">
        <x:v>0.04420026069976018</x:v>
      </x:c>
      <x:c r="H33" s="17" t="n">
        <x:v>-0.05022530631054261</x:v>
      </x:c>
      <x:c r="I33" s="17" t="n">
        <x:v>-0.003118647923010375</x:v>
      </x:c>
      <x:c r="J33" s="17" t="n">
        <x:v>-0.10166763905666946</x:v>
      </x:c>
      <x:c r="K33" s="17" t="n">
        <x:v>-0.00917869337166039</x:v>
      </x:c>
      <x:c r="L33" s="17" t="n">
        <x:v>-0.012930373958044401</x:v>
      </x:c>
      <x:c r="M33" s="20" t="n">
        <x:f>B33*Holdings!$D$5+C33*Holdings!$D$6+D33*Holdings!$D$7+E33*Holdings!$D$8+F33*Holdings!$D$9+G33*Holdings!$D$10+H33*Holdings!$D$11+I33*Holdings!$D$12+J33*Holdings!$D$13+K33*Holdings!$D$14</x:f>
        <x:v>-0.011207667334520787</x:v>
      </x:c>
    </x:row>
    <x:row r="34">
      <x:c r="A34" s="14" t="n">
        <x:v>45382</x:v>
      </x:c>
      <x:c r="B34" s="17" t="n">
        <x:v>0.02741738180589904</x:v>
      </x:c>
      <x:c r="C34" s="17" t="n">
        <x:v>0.017820868190608963</x:v>
      </x:c>
      <x:c r="D34" s="17" t="n">
        <x:v>0.419956111511605</x:v>
      </x:c>
      <x:c r="E34" s="17" t="n">
        <x:v>0.005367390547559586</x:v>
      </x:c>
      <x:c r="F34" s="17" t="n">
        <x:v>0.043303567421690475</x:v>
      </x:c>
      <x:c r="G34" s="17" t="n">
        <x:v>-0.03458834523951166</x:v>
      </x:c>
      <x:c r="H34" s="17" t="n">
        <x:v>-0.07720470564799783</x:v>
      </x:c>
      <x:c r="I34" s="17" t="n">
        <x:v>-0.029337938607830787</x:v>
      </x:c>
      <x:c r="J34" s="17" t="n">
        <x:v>-0.01166536557096152</x:v>
      </x:c>
      <x:c r="K34" s="17" t="n">
        <x:v>0.05431690557030452</x:v>
      </x:c>
      <x:c r="L34" s="17" t="n">
        <x:v>0.0022310288113865555</x:v>
      </x:c>
      <x:c r="M34" s="20" t="n">
        <x:f>B34*Holdings!$D$5+C34*Holdings!$D$6+D34*Holdings!$D$7+E34*Holdings!$D$8+F34*Holdings!$D$9+G34*Holdings!$D$10+H34*Holdings!$D$11+I34*Holdings!$D$12+J34*Holdings!$D$13+K34*Holdings!$D$14</x:f>
        <x:v>0.055344500637812113</x:v>
      </x:c>
    </x:row>
    <x:row r="35">
      <x:c r="A35" s="14" t="n">
        <x:v>45412</x:v>
      </x:c>
      <x:c r="B35" s="17" t="n">
        <x:v>-0.012089342898734366</x:v>
      </x:c>
      <x:c r="C35" s="17" t="n">
        <x:v>-0.0011412043719067153</x:v>
      </x:c>
      <x:c r="D35" s="17" t="n">
        <x:v>0.03646317265873659</x:v>
      </x:c>
      <x:c r="E35" s="17" t="n">
        <x:v>0.04682090253149263</x:v>
      </x:c>
      <x:c r="F35" s="17" t="n">
        <x:v>-0.01927079360883037</x:v>
      </x:c>
      <x:c r="G35" s="17" t="n">
        <x:v>-0.07326023480719294</x:v>
      </x:c>
      <x:c r="H35" s="17" t="n">
        <x:v>-0.016662009198754775</x:v>
      </x:c>
      <x:c r="I35" s="17" t="n">
        <x:v>0.0059506324830096175</x:v>
      </x:c>
      <x:c r="J35" s="17" t="n">
        <x:v>-0.003929664910804638</x:v>
      </x:c>
      <x:c r="K35" s="17" t="n">
        <x:v>-0.0918720499525705</x:v>
      </x:c>
      <x:c r="L35" s="17" t="n">
        <x:v>-0.012982782002891378</x:v>
      </x:c>
      <x:c r="M35" s="20" t="n">
        <x:f>B35*Holdings!$D$5+C35*Holdings!$D$6+D35*Holdings!$D$7+E35*Holdings!$D$8+F35*Holdings!$D$9+G35*Holdings!$D$10+H35*Holdings!$D$11+I35*Holdings!$D$12+J35*Holdings!$D$13+K35*Holdings!$D$14</x:f>
        <x:v>-0.011555068653727015</x:v>
      </x:c>
    </x:row>
    <x:row r="36">
      <x:c r="A36" s="14" t="n">
        <x:v>45443</x:v>
      </x:c>
      <x:c r="B36" s="17" t="n">
        <x:v>0.17692633160642918</x:v>
      </x:c>
      <x:c r="C36" s="17" t="n">
        <x:v>0.1359265182781803</x:v>
      </x:c>
      <x:c r="D36" s="17" t="n">
        <x:v>0.3086164904555564</x:v>
      </x:c>
      <x:c r="E36" s="17" t="n">
        <x:v>0.05589682379014122</x:v>
      </x:c>
      <x:c r="F36" s="17" t="n">
        <x:v>0.07816137914892743</x:v>
      </x:c>
      <x:c r="G36" s="17" t="n">
        <x:v>0.15953772315840542</x:v>
      </x:c>
      <x:c r="H36" s="17" t="n">
        <x:v>0.1675447269997805</x:v>
      </x:c>
      <x:c r="I36" s="17" t="n">
        <x:v>0.07107504177711943</x:v>
      </x:c>
      <x:c r="J36" s="17" t="n">
        <x:v>0.17220371899499437</x:v>
      </x:c>
      <x:c r="K36" s="17" t="n">
        <x:v>0.1748521609448616</x:v>
      </x:c>
      <x:c r="L36" s="17" t="n">
        <x:v>0.10744596455075939</x:v>
      </x:c>
      <x:c r="M36" s="20" t="n">
        <x:f>B36*Holdings!$D$5+C36*Holdings!$D$6+D36*Holdings!$D$7+E36*Holdings!$D$8+F36*Holdings!$D$9+G36*Holdings!$D$10+H36*Holdings!$D$11+I36*Holdings!$D$12+J36*Holdings!$D$13+K36*Holdings!$D$14</x:f>
        <x:v>0.15520322546236237</x:v>
      </x:c>
    </x:row>
    <x:row r="37">
      <x:c r="A37" s="14" t="n">
        <x:v>45473</x:v>
      </x:c>
      <x:c r="B37" s="17" t="n">
        <x:v>-0.018252495792734295</x:v>
      </x:c>
      <x:c r="C37" s="17" t="n">
        <x:v>-0.013958575632206672</x:v>
      </x:c>
      <x:c r="D37" s="17" t="n">
        <x:v>0.12863877526205128</x:v>
      </x:c>
      <x:c r="E37" s="17" t="n">
        <x:v>0.06750736742346393</x:v>
      </x:c>
      <x:c r="F37" s="17" t="n">
        <x:v>0.02413781565153021</x:v>
      </x:c>
      <x:c r="G37" s="17" t="n">
        <x:v>-0.06540539094084172</x:v>
      </x:c>
      <x:c r="H37" s="17" t="n">
        <x:v>-0.059443193790953745</x:v>
      </x:c>
      <x:c r="I37" s="17" t="n">
        <x:v>0.003818903128689202</x:v>
      </x:c>
      <x:c r="J37" s="17" t="n">
        <x:v>0.03368709581557322</x:v>
      </x:c>
      <x:c r="K37" s="17" t="n">
        <x:v>0.008090486070098754</x:v>
      </x:c>
      <x:c r="L37" s="17" t="n">
        <x:v>0.015883460094793814</x:v>
      </x:c>
      <x:c r="M37" s="20" t="n">
        <x:f>B37*Holdings!$D$5+C37*Holdings!$D$6+D37*Holdings!$D$7+E37*Holdings!$D$8+F37*Holdings!$D$9+G37*Holdings!$D$10+H37*Holdings!$D$11+I37*Holdings!$D$12+J37*Holdings!$D$13+K37*Holdings!$D$14</x:f>
        <x:v>0.013955037836997359</x:v>
      </x:c>
    </x:row>
    <x:row r="38">
      <x:c r="A38" s="14" t="n">
        <x:v>45504</x:v>
      </x:c>
      <x:c r="B38" s="17" t="n">
        <x:v>-0.06063000761925643</x:v>
      </x:c>
      <x:c r="C38" s="17" t="n">
        <x:v>-0.026630968450658703</x:v>
      </x:c>
      <x:c r="D38" s="17" t="n">
        <x:v>0.006054817603223869</x:v>
      </x:c>
      <x:c r="E38" s="17" t="n">
        <x:v>-0.04328412465158103</x:v>
      </x:c>
      <x:c r="F38" s="17" t="n">
        <x:v>-0.09278393866357572</x:v>
      </x:c>
      <x:c r="G38" s="17" t="n">
        <x:v>0.07322738467387929</x:v>
      </x:c>
      <x:c r="H38" s="17" t="n">
        <x:v>0.005414767806689145</x:v>
      </x:c>
      <x:c r="I38" s="17" t="n">
        <x:v>-0.056915353086061084</x:v>
      </x:c>
      <x:c r="J38" s="17" t="n">
        <x:v>-0.03300633820734991</x:v>
      </x:c>
      <x:c r="K38" s="17" t="n">
        <x:v>-0.05330249426226693</x:v>
      </x:c>
      <x:c r="L38" s="17" t="n">
        <x:v>-0.035361090279054014</x:v>
      </x:c>
      <x:c r="M38" s="20" t="n">
        <x:f>B38*Holdings!$D$5+C38*Holdings!$D$6+D38*Holdings!$D$7+E38*Holdings!$D$8+F38*Holdings!$D$9+G38*Holdings!$D$10+H38*Holdings!$D$11+I38*Holdings!$D$12+J38*Holdings!$D$13+K38*Holdings!$D$14</x:f>
        <x:v>-0.029815788016131925</x:v>
      </x:c>
    </x:row>
    <x:row r="39">
      <x:c r="A39" s="14" t="n">
        <x:v>45535</x:v>
      </x:c>
      <x:c r="B39" s="17" t="n">
        <x:v>0.04680721131969651</x:v>
      </x:c>
      <x:c r="C39" s="17" t="n">
        <x:v>0.07778259054252883</x:v>
      </x:c>
      <x:c r="D39" s="17" t="n">
        <x:v>0.062417722904186665</x:v>
      </x:c>
      <x:c r="E39" s="17" t="n">
        <x:v>0.01822019495021337</x:v>
      </x:c>
      <x:c r="F39" s="17" t="n">
        <x:v>0.13755601906672899</x:v>
      </x:c>
      <x:c r="G39" s="17" t="n">
        <x:v>0.14255323825913926</x:v>
      </x:c>
      <x:c r="H39" s="17" t="n">
        <x:v>0.01141186730557951</x:v>
      </x:c>
      <x:c r="I39" s="17" t="n">
        <x:v>0.016630631661680606</x:v>
      </x:c>
      <x:c r="J39" s="17" t="n">
        <x:v>0.09046460838649552</x:v>
      </x:c>
      <x:c r="K39" s="17" t="n">
        <x:v>0.006691246122848054</x:v>
      </x:c>
      <x:c r="L39" s="17" t="n">
        <x:v>0.05691203807931667</x:v>
      </x:c>
      <x:c r="M39" s="20" t="n">
        <x:f>B39*Holdings!$D$5+C39*Holdings!$D$6+D39*Holdings!$D$7+E39*Holdings!$D$8+F39*Holdings!$D$9+G39*Holdings!$D$10+H39*Holdings!$D$11+I39*Holdings!$D$12+J39*Holdings!$D$13+K39*Holdings!$D$14</x:f>
        <x:v>0.062431554159718086</x:v>
      </x:c>
    </x:row>
    <x:row r="40">
      <x:c r="A40" s="14" t="n">
        <x:v>45565</x:v>
      </x:c>
      <x:c r="B40" s="17" t="n">
        <x:v>-0.12823211836030038</x:v>
      </x:c>
      <x:c r="C40" s="17" t="n">
        <x:v>-0.08077804382831912</x:v>
      </x:c>
      <x:c r="D40" s="17" t="n">
        <x:v>0.003742914108391565</x:v>
      </x:c>
      <x:c r="E40" s="17" t="n">
        <x:v>-0.03216498681000855</x:v>
      </x:c>
      <x:c r="F40" s="17" t="n">
        <x:v>-0.06777637372368878</x:v>
      </x:c>
      <x:c r="G40" s="17" t="n">
        <x:v>-0.08246521346836784</x:v>
      </x:c>
      <x:c r="H40" s="17" t="n">
        <x:v>-0.09840215016410793</x:v>
      </x:c>
      <x:c r="I40" s="17" t="n">
        <x:v>0.00609208232661986</x:v>
      </x:c>
      <x:c r="J40" s="17" t="n">
        <x:v>-0.14210964064547402</x:v>
      </x:c>
      <x:c r="K40" s="17" t="n">
        <x:v>-0.11895898777611243</x:v>
      </x:c>
      <x:c r="L40" s="17" t="n">
        <x:v>-0.04336679151234994</x:v>
      </x:c>
      <x:c r="M40" s="20" t="n">
        <x:f>B40*Holdings!$D$5+C40*Holdings!$D$6+D40*Holdings!$D$7+E40*Holdings!$D$8+F40*Holdings!$D$9+G40*Holdings!$D$10+H40*Holdings!$D$11+I40*Holdings!$D$12+J40*Holdings!$D$13+K40*Holdings!$D$14</x:f>
        <x:v>-0.07514687261851272</x:v>
      </x:c>
    </x:row>
    <x:row r="41">
      <x:c r="A41" s="14" t="n">
        <x:v>45596</x:v>
      </x:c>
      <x:c r="B41" s="17" t="n">
        <x:v>0.045807796455147466</x:v>
      </x:c>
      <x:c r="C41" s="17" t="n">
        <x:v>0.11998449308353759</x:v>
      </x:c>
      <x:c r="D41" s="17" t="n">
        <x:v>-0.04004058061057412</x:v>
      </x:c>
      <x:c r="E41" s="17" t="n">
        <x:v>0.036689918331470776</x:v>
      </x:c>
      <x:c r="F41" s="17" t="n">
        <x:v>-0.021889956184868768</x:v>
      </x:c>
      <x:c r="G41" s="17" t="n">
        <x:v>-0.0772590833806757</x:v>
      </x:c>
      <x:c r="H41" s="17" t="n">
        <x:v>0.01583481334616698</x:v>
      </x:c>
      <x:c r="I41" s="17" t="n">
        <x:v>0.041259720326673265</x:v>
      </x:c>
      <x:c r="J41" s="17" t="n">
        <x:v>0.03714537303281789</x:v>
      </x:c>
      <x:c r="K41" s="17" t="n">
        <x:v>0.06484121626980284</x:v>
      </x:c>
      <x:c r="L41" s="17" t="n">
        <x:v>0.026795766821325555</x:v>
      </x:c>
      <x:c r="M41" s="20" t="n">
        <x:f>B41*Holdings!$D$5+C41*Holdings!$D$6+D41*Holdings!$D$7+E41*Holdings!$D$8+F41*Holdings!$D$9+G41*Holdings!$D$10+H41*Holdings!$D$11+I41*Holdings!$D$12+J41*Holdings!$D$13+K41*Holdings!$D$14</x:f>
        <x:v>0.02518525346841556</x:v>
      </x:c>
    </x:row>
    <x:row r="42">
      <x:c r="A42" s="14" t="n">
        <x:v>45626</x:v>
      </x:c>
      <x:c r="B42" s="17" t="n">
        <x:v>-0.08368693994032236</x:v>
      </x:c>
      <x:c r="C42" s="17" t="n">
        <x:v>-0.06374951401545587</x:v>
      </x:c>
      <x:c r="D42" s="17" t="n">
        <x:v>-0.16799052094540753</x:v>
      </x:c>
      <x:c r="E42" s="17" t="n">
        <x:v>-0.12164588258246743</x:v>
      </x:c>
      <x:c r="F42" s="17" t="n">
        <x:v>-0.12655789651679897</x:v>
      </x:c>
      <x:c r="G42" s="17" t="n">
        <x:v>-0.010214542219814113</x:v>
      </x:c>
      <x:c r="H42" s="17" t="n">
        <x:v>-0.14908901773172423</x:v>
      </x:c>
      <x:c r="I42" s="17" t="n">
        <x:v>-0.08855750796819638</x:v>
      </x:c>
      <x:c r="J42" s="17" t="n">
        <x:v>-0.014967614823877423</x:v>
      </x:c>
      <x:c r="K42" s="17" t="n">
        <x:v>-0.07170645376281322</x:v>
      </x:c>
      <x:c r="L42" s="17" t="n">
        <x:v>-0.07962453291797941</x:v>
      </x:c>
      <x:c r="M42" s="20" t="n">
        <x:f>B42*Holdings!$D$5+C42*Holdings!$D$6+D42*Holdings!$D$7+E42*Holdings!$D$8+F42*Holdings!$D$9+G42*Holdings!$D$10+H42*Holdings!$D$11+I42*Holdings!$D$12+J42*Holdings!$D$13+K42*Holdings!$D$14</x:f>
        <x:v>-0.0909054689979992</x:v>
      </x:c>
    </x:row>
    <x:row r="43">
      <x:c r="A43" s="14" t="n">
        <x:v>45657</x:v>
      </x:c>
      <x:c r="B43" s="17" t="n">
        <x:v>-0.0595670941918733</x:v>
      </x:c>
      <x:c r="C43" s="17" t="n">
        <x:v>-0.10941783605996687</x:v>
      </x:c>
      <x:c r="D43" s="17" t="n">
        <x:v>-0.14078501175925673</x:v>
      </x:c>
      <x:c r="E43" s="17" t="n">
        <x:v>-0.05586916656824837</x:v>
      </x:c>
      <x:c r="F43" s="17" t="n">
        <x:v>-0.0372130312869668</x:v>
      </x:c>
      <x:c r="G43" s="17" t="n">
        <x:v>-0.06626790246351559</x:v>
      </x:c>
      <x:c r="H43" s="17" t="n">
        <x:v>-0.08532262647136817</x:v>
      </x:c>
      <x:c r="I43" s="17" t="n">
        <x:v>-0.02424223770471081</x:v>
      </x:c>
      <x:c r="J43" s="17" t="n">
        <x:v>-0.10814695103570943</x:v>
      </x:c>
      <x:c r="K43" s="17" t="n">
        <x:v>-0.10671339039198909</x:v>
      </x:c>
      <x:c r="L43" s="17" t="n">
        <x:v>-0.048634595360226886</x:v>
      </x:c>
      <x:c r="M43" s="20" t="n">
        <x:f>B43*Holdings!$D$5+C43*Holdings!$D$6+D43*Holdings!$D$7+E43*Holdings!$D$8+F43*Holdings!$D$9+G43*Holdings!$D$10+H43*Holdings!$D$11+I43*Holdings!$D$12+J43*Holdings!$D$13+K43*Holdings!$D$14</x:f>
        <x:v>-0.08172287990738789</x:v>
      </x:c>
    </x:row>
    <x:row r="44">
      <x:c r="A44" s="14" t="n">
        <x:v>45688</x:v>
      </x:c>
      <x:c r="B44" s="17" t="n">
        <x:v>0.018003702764184705</x:v>
      </x:c>
      <x:c r="C44" s="17" t="n">
        <x:v>0.06141691711061349</x:v>
      </x:c>
      <x:c r="D44" s="17" t="n">
        <x:v>0.05186901415757437</x:v>
      </x:c>
      <x:c r="E44" s="17" t="n">
        <x:v>0.009726714448866814</x:v>
      </x:c>
      <x:c r="F44" s="17" t="n">
        <x:v>-0.005167281671769526</x:v>
      </x:c>
      <x:c r="G44" s="17" t="n">
        <x:v>0.10941367032017697</x:v>
      </x:c>
      <x:c r="H44" s="17" t="n">
        <x:v>-0.06595611812466921</x:v>
      </x:c>
      <x:c r="I44" s="17" t="n">
        <x:v>0.05115064634870202</x:v>
      </x:c>
      <x:c r="J44" s="17" t="n">
        <x:v>0.08370494965998926</x:v>
      </x:c>
      <x:c r="K44" s="17" t="n">
        <x:v>-0.03585605000636005</x:v>
      </x:c>
      <x:c r="L44" s="17" t="n">
        <x:v>0.026206753772706808</x:v>
      </x:c>
      <x:c r="M44" s="20" t="n">
        <x:f>B44*Holdings!$D$5+C44*Holdings!$D$6+D44*Holdings!$D$7+E44*Holdings!$D$8+F44*Holdings!$D$9+G44*Holdings!$D$10+H44*Holdings!$D$11+I44*Holdings!$D$12+J44*Holdings!$D$13+K44*Holdings!$D$14</x:f>
        <x:v>0.029106580864645626</x:v>
      </x:c>
    </x:row>
    <x:row r="45">
      <x:c r="A45" s="14" t="n">
        <x:v>45716</x:v>
      </x:c>
      <x:c r="B45" s="17" t="n">
        <x:v>-0.010390688022249977</x:v>
      </x:c>
      <x:c r="C45" s="17" t="n">
        <x:v>0.012520546881580287</x:v>
      </x:c>
      <x:c r="D45" s="17" t="n">
        <x:v>0.34117646155394177</x:v>
      </x:c>
      <x:c r="E45" s="17" t="n">
        <x:v>0.06273078495674388</x:v>
      </x:c>
      <x:c r="F45" s="17" t="n">
        <x:v>0.012116148975108867</x:v>
      </x:c>
      <x:c r="G45" s="17" t="n">
        <x:v>-0.038533255348716516</x:v>
      </x:c>
      <x:c r="H45" s="17" t="n">
        <x:v>0.1935578241244398</x:v>
      </x:c>
      <x:c r="I45" s="17" t="n">
        <x:v>-0.03086904686751095</x:v>
      </x:c>
      <x:c r="J45" s="17" t="n">
        <x:v>0.06196269821054005</x:v>
      </x:c>
      <x:c r="K45" s="17" t="n">
        <x:v>0.03474363080695625</x:v>
      </x:c>
      <x:c r="L45" s="17" t="n">
        <x:v>0.052785913026904205</x:v>
      </x:c>
      <x:c r="M45" s="20" t="n">
        <x:f>B45*Holdings!$D$5+C45*Holdings!$D$6+D45*Holdings!$D$7+E45*Holdings!$D$8+F45*Holdings!$D$9+G45*Holdings!$D$10+H45*Holdings!$D$11+I45*Holdings!$D$12+J45*Holdings!$D$13+K45*Holdings!$D$14</x:f>
        <x:v>0.06495044391528809</x:v>
      </x:c>
    </x:row>
    <x:row r="46">
      <x:c r="A46" s="14" t="n">
        <x:v>45747</x:v>
      </x:c>
      <x:c r="B46" s="17" t="n">
        <x:v>0.007002523657265126</x:v>
      </x:c>
      <x:c r="C46" s="17" t="n">
        <x:v>0.0662929667096355</x:v>
      </x:c>
      <x:c r="D46" s="17" t="n">
        <x:v>-0.16227057413744478</x:v>
      </x:c>
      <x:c r="E46" s="17" t="n">
        <x:v>0.05540334288262951</x:v>
      </x:c>
      <x:c r="F46" s="17" t="n">
        <x:v>0.04714754852484746</x:v>
      </x:c>
      <x:c r="G46" s="17" t="n">
        <x:v>-0.008745636026406387</x:v>
      </x:c>
      <x:c r="H46" s="17" t="n">
        <x:v>0.02477868814034806</x:v>
      </x:c>
      <x:c r="I46" s="17" t="n">
        <x:v>0.04180460086022936</x:v>
      </x:c>
      <x:c r="J46" s="17" t="n">
        <x:v>0.0020774462664544906</x:v>
      </x:c>
      <x:c r="K46" s="17" t="n">
        <x:v>0.10307973717496813</x:v>
      </x:c>
      <x:c r="L46" s="17" t="n">
        <x:v>0.02495569281175873</x:v>
      </x:c>
      <x:c r="M46" s="20" t="n">
        <x:f>B46*Holdings!$D$5+C46*Holdings!$D$6+D46*Holdings!$D$7+E46*Holdings!$D$8+F46*Holdings!$D$9+G46*Holdings!$D$10+H46*Holdings!$D$11+I46*Holdings!$D$12+J46*Holdings!$D$13+K46*Holdings!$D$14</x:f>
        <x:v>0.014728951635001077</x:v>
      </x:c>
    </x:row>
    <x:row r="47">
      <x:c r="A47" s="14" t="n">
        <x:v>45777</x:v>
      </x:c>
      <x:c r="B47" s="17" t="n">
        <x:v>-0.005920750905006579</x:v>
      </x:c>
      <x:c r="C47" s="17" t="n">
        <x:v>0.06859392199859693</x:v>
      </x:c>
      <x:c r="D47" s="17" t="n">
        <x:v>0.09075162395373008</x:v>
      </x:c>
      <x:c r="E47" s="17" t="n">
        <x:v>0.08076282920880537</x:v>
      </x:c>
      <x:c r="F47" s="17" t="n">
        <x:v>0.028922164946573015</x:v>
      </x:c>
      <x:c r="G47" s="17" t="n">
        <x:v>0.012744135445614566</x:v>
      </x:c>
      <x:c r="H47" s="17" t="n">
        <x:v>-0.04264980919594934</x:v>
      </x:c>
      <x:c r="I47" s="17" t="n">
        <x:v>-0.016817917880298947</x:v>
      </x:c>
      <x:c r="J47" s="17" t="n">
        <x:v>0.04575700955269172</x:v>
      </x:c>
      <x:c r="K47" s="17" t="n">
        <x:v>-0.001474138074599847</x:v>
      </x:c>
      <x:c r="L47" s="17" t="n">
        <x:v>0.010870420141039006</x:v>
      </x:c>
      <x:c r="M47" s="20" t="n">
        <x:f>B47*Holdings!$D$5+C47*Holdings!$D$6+D47*Holdings!$D$7+E47*Holdings!$D$8+F47*Holdings!$D$9+G47*Holdings!$D$10+H47*Holdings!$D$11+I47*Holdings!$D$12+J47*Holdings!$D$13+K47*Holdings!$D$14</x:f>
        <x:v>0.03044437727462541</x:v>
      </x:c>
    </x:row>
    <x:row r="48">
      <x:c r="A48" s="14" t="n">
        <x:v>45808</x:v>
      </x:c>
      <x:c r="B48" s="17" t="n">
        <x:v>-0.04030688756237288</x:v>
      </x:c>
      <x:c r="C48" s="17" t="n">
        <x:v>-0.03622148405459345</x:v>
      </x:c>
      <x:c r="D48" s="17" t="n">
        <x:v>-0.1751670699222306</x:v>
      </x:c>
      <x:c r="E48" s="17" t="n">
        <x:v>-0.05672302669862218</x:v>
      </x:c>
      <x:c r="F48" s="17" t="n">
        <x:v>-0.03314262711143772</x:v>
      </x:c>
      <x:c r="G48" s="17" t="n">
        <x:v>0.004472927318158851</x:v>
      </x:c>
      <x:c r="H48" s="17" t="n">
        <x:v>0.017224047917651614</x:v>
      </x:c>
      <x:c r="I48" s="17" t="n">
        <x:v>0.027850673901857977</x:v>
      </x:c>
      <x:c r="J48" s="17" t="n">
        <x:v>0.12370224754102005</x:v>
      </x:c>
      <x:c r="K48" s="17" t="n">
        <x:v>-0.06890767534111457</x:v>
      </x:c>
      <x:c r="L48" s="17" t="n">
        <x:v>0.0017692378586236348</x:v>
      </x:c>
      <x:c r="M48" s="20" t="n">
        <x:f>B48*Holdings!$D$5+C48*Holdings!$D$6+D48*Holdings!$D$7+E48*Holdings!$D$8+F48*Holdings!$D$9+G48*Holdings!$D$10+H48*Holdings!$D$11+I48*Holdings!$D$12+J48*Holdings!$D$13+K48*Holdings!$D$14</x:f>
        <x:v>-0.03379516470233289</x:v>
      </x:c>
    </x:row>
    <x:row r="49">
      <x:c r="A49" s="14" t="n">
        <x:v>45838</x:v>
      </x:c>
      <x:c r="B49" s="17" t="n">
        <x:v>-0.0769164769437704</x:v>
      </x:c>
      <x:c r="C49" s="17" t="n">
        <x:v>-0.014327753047558902</x:v>
      </x:c>
      <x:c r="D49" s="17" t="n">
        <x:v>-0.15223542382012242</x:v>
      </x:c>
      <x:c r="E49" s="17" t="n">
        <x:v>0.02845319030621534</x:v>
      </x:c>
      <x:c r="F49" s="17" t="n">
        <x:v>-0.10585990641379643</x:v>
      </x:c>
      <x:c r="G49" s="17" t="n">
        <x:v>-0.09642636185530441</x:v>
      </x:c>
      <x:c r="H49" s="17" t="n">
        <x:v>-0.059087086911130245</x:v>
      </x:c>
      <x:c r="I49" s="17" t="n">
        <x:v>-0.06441955060115243</x:v>
      </x:c>
      <x:c r="J49" s="17" t="n">
        <x:v>-0.027742452836532767</x:v>
      </x:c>
      <x:c r="K49" s="17" t="n">
        <x:v>-0.0643580586631267</x:v>
      </x:c>
      <x:c r="L49" s="17" t="n">
        <x:v>-0.05601229754368698</x:v>
      </x:c>
      <x:c r="M49" s="20" t="n">
        <x:f>B49*Holdings!$D$5+C49*Holdings!$D$6+D49*Holdings!$D$7+E49*Holdings!$D$8+F49*Holdings!$D$9+G49*Holdings!$D$10+H49*Holdings!$D$11+I49*Holdings!$D$12+J49*Holdings!$D$13+K49*Holdings!$D$14</x:f>
        <x:v>-0.0646188764235558</x:v>
      </x:c>
    </x:row>
    <x:row r="50">
      <x:c r="A50" s="14" t="n">
        <x:v>45869</x:v>
      </x:c>
      <x:c r="B50" s="17" t="n">
        <x:v>-0.003372748206850412</x:v>
      </x:c>
      <x:c r="C50" s="17" t="n">
        <x:v>0.00025479017666693755</x:v>
      </x:c>
      <x:c r="D50" s="17" t="n">
        <x:v>0.08265148708520488</x:v>
      </x:c>
      <x:c r="E50" s="17" t="n">
        <x:v>-0.11248391972935547</x:v>
      </x:c>
      <x:c r="F50" s="17" t="n">
        <x:v>-0.010486775028482548</x:v>
      </x:c>
      <x:c r="G50" s="17" t="n">
        <x:v>0.016379982025073576</x:v>
      </x:c>
      <x:c r="H50" s="17" t="n">
        <x:v>-0.0336714073473891</x:v>
      </x:c>
      <x:c r="I50" s="17" t="n">
        <x:v>-0.08294411572071274</x:v>
      </x:c>
      <x:c r="J50" s="17" t="n">
        <x:v>0.0036157126427784035</x:v>
      </x:c>
      <x:c r="K50" s="17" t="n">
        <x:v>-0.03026318693861551</x:v>
      </x:c>
      <x:c r="L50" s="17" t="n">
        <x:v>-0.018780357703425316</x:v>
      </x:c>
      <x:c r="M50" s="20" t="n">
        <x:f>B50*Holdings!$D$5+C50*Holdings!$D$6+D50*Holdings!$D$7+E50*Holdings!$D$8+F50*Holdings!$D$9+G50*Holdings!$D$10+H50*Holdings!$D$11+I50*Holdings!$D$12+J50*Holdings!$D$13+K50*Holdings!$D$14</x:f>
        <x:v>-0.01224390296650136</x:v>
      </x:c>
    </x:row>
    <x:row r="51">
      <x:c r="A51" s="14" t="n">
        <x:v>45900</x:v>
      </x:c>
      <x:c r="B51" s="17" t="n">
        <x:v>0.08756781081627146</x:v>
      </x:c>
      <x:c r="C51" s="17" t="n">
        <x:v>0.033851074640933676</x:v>
      </x:c>
      <x:c r="D51" s="17" t="n">
        <x:v>-0.006510839023387104</x:v>
      </x:c>
      <x:c r="E51" s="17" t="n">
        <x:v>-0.0168755455710973</x:v>
      </x:c>
      <x:c r="F51" s="17" t="n">
        <x:v>-0.10619586338810649</x:v>
      </x:c>
      <x:c r="G51" s="17" t="n">
        <x:v>-0.0756970206296403</x:v>
      </x:c>
      <x:c r="H51" s="17" t="n">
        <x:v>0.03998904495147975</x:v>
      </x:c>
      <x:c r="I51" s="17" t="n">
        <x:v>-0.06740170010608725</x:v>
      </x:c>
      <x:c r="J51" s="17" t="n">
        <x:v>-0.023465281032967245</x:v>
      </x:c>
      <x:c r="K51" s="17" t="n">
        <x:v>-0.13277817020742938</x:v>
      </x:c>
      <x:c r="L51" s="17" t="n">
        <x:v>-0.0060599097317556635</x:v>
      </x:c>
      <x:c r="M51" s="20" t="n">
        <x:f>B51*Holdings!$D$5+C51*Holdings!$D$6+D51*Holdings!$D$7+E51*Holdings!$D$8+F51*Holdings!$D$9+G51*Holdings!$D$10+H51*Holdings!$D$11+I51*Holdings!$D$12+J51*Holdings!$D$13+K51*Holdings!$D$14</x:f>
        <x:v>-0.02031496558199792</x:v>
      </x:c>
    </x:row>
    <x:row r="52">
      <x:c r="A52" s="14" t="n">
        <x:v>45930</x:v>
      </x:c>
      <x:c r="B52" s="17" t="n">
        <x:v>0.08955570494650765</x:v>
      </x:c>
      <x:c r="C52" s="17" t="n">
        <x:v>0.1672611357009557</x:v>
      </x:c>
      <x:c r="D52" s="17" t="n">
        <x:v>-0.00034848789057044006</x:v>
      </x:c>
      <x:c r="E52" s="17" t="n">
        <x:v>0.10207152084494552</x:v>
      </x:c>
      <x:c r="F52" s="17" t="n">
        <x:v>-0.006653193343517614</x:v>
      </x:c>
      <x:c r="G52" s="17" t="n">
        <x:v>0.07243448943786614</x:v>
      </x:c>
      <x:c r="H52" s="17" t="n">
        <x:v>0.11770238673515913</x:v>
      </x:c>
      <x:c r="I52" s="17" t="n">
        <x:v>0.04974369656189814</x:v>
      </x:c>
      <x:c r="J52" s="17" t="n">
        <x:v>0.012187830894037707</x:v>
      </x:c>
      <x:c r="K52" s="17" t="n">
        <x:v>0.06290678164897179</x:v>
      </x:c>
      <x:c r="L52" s="17" t="n">
        <x:v>0.06842386649260868</x:v>
      </x:c>
      <x:c r="M52" s="20" t="n">
        <x:f>B52*Holdings!$D$5+C52*Holdings!$D$6+D52*Holdings!$D$7+E52*Holdings!$D$8+F52*Holdings!$D$9+G52*Holdings!$D$10+H52*Holdings!$D$11+I52*Holdings!$D$12+J52*Holdings!$D$13+K52*Holdings!$D$14</x:f>
        <x:v>0.06928779505353182</x:v>
      </x:c>
    </x:row>
    <x:row r="53">
      <x:c r="A53" s="14" t="n">
        <x:v>45961</x:v>
      </x:c>
      <x:c r="B53" s="17" t="n">
        <x:v>0.051774131978248004</x:v>
      </x:c>
      <x:c r="C53" s="17" t="n">
        <x:v>0.026137690888162805</x:v>
      </x:c>
      <x:c r="D53" s="17" t="n">
        <x:v>-0.022212819855011993</x:v>
      </x:c>
      <x:c r="E53" s="17" t="n">
        <x:v>0.04798034396526717</x:v>
      </x:c>
      <x:c r="F53" s="17" t="n">
        <x:v>-0.006141035317415772</x:v>
      </x:c>
      <x:c r="G53" s="17" t="n">
        <x:v>0.04709578989632171</x:v>
      </x:c>
      <x:c r="H53" s="17" t="n">
        <x:v>-0.009759167693011413</x:v>
      </x:c>
      <x:c r="I53" s="17" t="n">
        <x:v>0.03566487476231108</x:v>
      </x:c>
      <x:c r="J53" s="17" t="n">
        <x:v>0.072885341888292</x:v>
      </x:c>
      <x:c r="K53" s="17" t="n">
        <x:v>0.02129206143354563</x:v>
      </x:c>
      <x:c r="L53" s="17" t="n">
        <x:v>0.03340882285170388</x:v>
      </x:c>
      <x:c r="M53" s="20" t="n">
        <x:f>B53*Holdings!$D$5+C53*Holdings!$D$6+D53*Holdings!$D$7+E53*Holdings!$D$8+F53*Holdings!$D$9+G53*Holdings!$D$10+H53*Holdings!$D$11+I53*Holdings!$D$12+J53*Holdings!$D$13+K53*Holdings!$D$14</x:f>
        <x:v>0.02617672485453744</x:v>
      </x:c>
    </x:row>
    <x:row r="54">
      <x:c r="A54" s="14" t="n">
        <x:v>45991</x:v>
      </x:c>
      <x:c r="B54" s="17" t="n">
        <x:v>-0.08923773926535278</x:v>
      </x:c>
      <x:c r="C54" s="17" t="n">
        <x:v>-0.11193349479308873</x:v>
      </x:c>
      <x:c r="D54" s="17" t="n">
        <x:v>-0.051452271255293246</x:v>
      </x:c>
      <x:c r="E54" s="17" t="n">
        <x:v>-0.11156017316125451</x:v>
      </x:c>
      <x:c r="F54" s="17" t="n">
        <x:v>-0.10680233371075654</x:v>
      </x:c>
      <x:c r="G54" s="17" t="n">
        <x:v>-0.05193743430683094</x:v>
      </x:c>
      <x:c r="H54" s="17" t="n">
        <x:v>-0.10618039321957036</x:v>
      </x:c>
      <x:c r="I54" s="17" t="n">
        <x:v>-0.07928118254747156</x:v>
      </x:c>
      <x:c r="J54" s="17" t="n">
        <x:v>-0.09193421741404169</x:v>
      </x:c>
      <x:c r="K54" s="17" t="n">
        <x:v>-0.033093057539378044</x:v>
      </x:c>
      <x:c r="L54" s="17" t="n">
        <x:v>-0.06997496187138418</x:v>
      </x:c>
      <x:c r="M54" s="20" t="n">
        <x:f>B54*Holdings!$D$5+C54*Holdings!$D$6+D54*Holdings!$D$7+E54*Holdings!$D$8+F54*Holdings!$D$9+G54*Holdings!$D$10+H54*Holdings!$D$11+I54*Holdings!$D$12+J54*Holdings!$D$13+K54*Holdings!$D$14</x:f>
        <x:v>-0.08337588359645608</x:v>
      </x:c>
    </x:row>
    <x:row r="55">
      <x:c r="A55" s="14" t="n">
        <x:v>46022</x:v>
      </x:c>
      <x:c r="B55" s="17" t="n">
        <x:v>-0.06049658589431622</x:v>
      </x:c>
      <x:c r="C55" s="17" t="n">
        <x:v>-0.0057693902890324725</x:v>
      </x:c>
      <x:c r="D55" s="17" t="n">
        <x:v>-0.025528392455350046</x:v>
      </x:c>
      <x:c r="E55" s="17" t="n">
        <x:v>0.024876942777429883</x:v>
      </x:c>
      <x:c r="F55" s="17" t="n">
        <x:v>0.06138121035645471</x:v>
      </x:c>
      <x:c r="G55" s="17" t="n">
        <x:v>0.08349302721786163</x:v>
      </x:c>
      <x:c r="H55" s="17" t="n">
        <x:v>0.008407323769784777</x:v>
      </x:c>
      <x:c r="I55" s="17" t="n">
        <x:v>0.05058225827737762</x:v>
      </x:c>
      <x:c r="J55" s="17" t="n">
        <x:v>0.03289575816753745</x:v>
      </x:c>
      <x:c r="K55" s="17" t="n">
        <x:v>0.118705691997105</x:v>
      </x:c>
      <x:c r="L55" s="17" t="n">
        <x:v>0.03245018052579415</x:v>
      </x:c>
      <x:c r="M55" s="20" t="n">
        <x:f>B55*Holdings!$D$5+C55*Holdings!$D$6+D55*Holdings!$D$7+E55*Holdings!$D$8+F55*Holdings!$D$9+G55*Holdings!$D$10+H55*Holdings!$D$11+I55*Holdings!$D$12+J55*Holdings!$D$13+K55*Holdings!$D$14</x:f>
        <x:v>0.022488738501990374</x:v>
      </x:c>
    </x:row>
    <x:row r="56">
      <x:c r="A56" s="14" t="n">
        <x:v>46053</x:v>
      </x:c>
      <x:c r="B56" s="17" t="n">
        <x:v>-0.005642823598267318</x:v>
      </x:c>
      <x:c r="C56" s="17" t="n">
        <x:v>-0.04052147476753114</x:v>
      </x:c>
      <x:c r="D56" s="17" t="n">
        <x:v>0.0165259786266306</x:v>
      </x:c>
      <x:c r="E56" s="17" t="n">
        <x:v>-0.027959753968638097</x:v>
      </x:c>
      <x:c r="F56" s="17" t="n">
        <x:v>0.09393235842324754</x:v>
      </x:c>
      <x:c r="G56" s="17" t="n">
        <x:v>-0.0748682828107051</x:v>
      </x:c>
      <x:c r="H56" s="17" t="n">
        <x:v>-0.17390280318163864</x:v>
      </x:c>
      <x:c r="I56" s="17" t="n">
        <x:v>-0.06638524903199258</x:v>
      </x:c>
      <x:c r="J56" s="17" t="n">
        <x:v>-0.02163129225703974</x:v>
      </x:c>
      <x:c r="K56" s="17" t="n">
        <x:v>0.051493454688934084</x:v>
      </x:c>
      <x:c r="L56" s="17" t="n">
        <x:v>-0.0023519921186404714</x:v>
      </x:c>
      <x:c r="M56" s="20" t="n">
        <x:f>B56*Holdings!$D$5+C56*Holdings!$D$6+D56*Holdings!$D$7+E56*Holdings!$D$8+F56*Holdings!$D$9+G56*Holdings!$D$10+H56*Holdings!$D$11+I56*Holdings!$D$12+J56*Holdings!$D$13+K56*Holdings!$D$14</x:f>
        <x:v>-0.017616876162467272</x:v>
      </x:c>
    </x:row>
    <x:row r="57">
      <x:c r="A57" s="14" t="n">
        <x:v>46081</x:v>
      </x:c>
      <x:c r="B57" s="17" t="n">
        <x:v>-0.01840013715491747</x:v>
      </x:c>
      <x:c r="C57" s="17" t="n">
        <x:v>-0.02089273253980689</x:v>
      </x:c>
      <x:c r="D57" s="17" t="n">
        <x:v>-0.027119762432244586</x:v>
      </x:c>
      <x:c r="E57" s="17" t="n">
        <x:v>-0.048764581940198524</x:v>
      </x:c>
      <x:c r="F57" s="17" t="n">
        <x:v>0.03404699815019405</x:v>
      </x:c>
      <x:c r="G57" s="17" t="n">
        <x:v>-0.11805531532634687</x:v>
      </x:c>
      <x:c r="H57" s="17" t="n">
        <x:v>-0.12818646202242961</x:v>
      </x:c>
      <x:c r="I57" s="17" t="n">
        <x:v>-0.0102527041957864</x:v>
      </x:c>
      <x:c r="J57" s="17" t="n">
        <x:v>0.017138601998854176</x:v>
      </x:c>
      <x:c r="K57" s="17" t="n">
        <x:v>-0.028080819880263813</x:v>
      </x:c>
      <x:c r="L57" s="17" t="n">
        <x:v>-0.016673960089913814</x:v>
      </x:c>
      <x:c r="M57" s="20" t="n">
        <x:f>B57*Holdings!$D$5+C57*Holdings!$D$6+D57*Holdings!$D$7+E57*Holdings!$D$8+F57*Holdings!$D$9+G57*Holdings!$D$10+H57*Holdings!$D$11+I57*Holdings!$D$12+J57*Holdings!$D$13+K57*Holdings!$D$14</x:f>
        <x:v>-0.031770918145497526</x:v>
      </x:c>
    </x:row>
    <x:row r="58">
      <x:c r="A58" s="14" t="n">
        <x:v>46112</x:v>
      </x:c>
      <x:c r="B58" s="17" t="n">
        <x:v>0.1801799441410839</x:v>
      </x:c>
      <x:c r="C58" s="17" t="n">
        <x:v>0.06870235559025777</x:v>
      </x:c>
      <x:c r="D58" s="17" t="n">
        <x:v>0.0077353600207515135</x:v>
      </x:c>
      <x:c r="E58" s="17" t="n">
        <x:v>0.08868525886752736</x:v>
      </x:c>
      <x:c r="F58" s="17" t="n">
        <x:v>0.04827271792117552</x:v>
      </x:c>
      <x:c r="G58" s="17" t="n">
        <x:v>0.13637307964833936</x:v>
      </x:c>
      <x:c r="H58" s="17" t="n">
        <x:v>0.14342196298170365</x:v>
      </x:c>
      <x:c r="I58" s="17" t="n">
        <x:v>-0.016111260726750606</x:v>
      </x:c>
      <x:c r="J58" s="17" t="n">
        <x:v>0.05704584226986245</x:v>
      </x:c>
      <x:c r="K58" s="17" t="n">
        <x:v>-0.007603332204399913</x:v>
      </x:c>
      <x:c r="L58" s="17" t="n">
        <x:v>0.04656370828496418</x:v>
      </x:c>
      <x:c r="M58" s="20" t="n">
        <x:f>B58*Holdings!$D$5+C58*Holdings!$D$6+D58*Holdings!$D$7+E58*Holdings!$D$8+F58*Holdings!$D$9+G58*Holdings!$D$10+H58*Holdings!$D$11+I58*Holdings!$D$12+J58*Holdings!$D$13+K58*Holdings!$D$14</x:f>
        <x:v>0.07376919977519197</x:v>
      </x:c>
    </x:row>
    <x:row r="59">
      <x:c r="A59" s="14" t="n">
        <x:v>46142</x:v>
      </x:c>
      <x:c r="B59" s="17" t="n">
        <x:v>0.06928189618512415</x:v>
      </x:c>
      <x:c r="C59" s="17" t="n">
        <x:v>0.08825078464684785</x:v>
      </x:c>
      <x:c r="D59" s="17" t="n">
        <x:v>0.3477358759090429</x:v>
      </x:c>
      <x:c r="E59" s="17" t="n">
        <x:v>0.09019302061764344</x:v>
      </x:c>
      <x:c r="F59" s="17" t="n">
        <x:v>0.08443904452245238</x:v>
      </x:c>
      <x:c r="G59" s="17" t="n">
        <x:v>0.10103823314422611</x:v>
      </x:c>
      <x:c r="H59" s="17" t="n">
        <x:v>0.1826584314397489</x:v>
      </x:c>
      <x:c r="I59" s="17" t="n">
        <x:v>0.020201032757681342</x:v>
      </x:c>
      <x:c r="J59" s="17" t="n">
        <x:v>0.10890913166752685</x:v>
      </x:c>
      <x:c r="K59" s="17" t="n">
        <x:v>0.18590814478225787</x:v>
      </x:c>
      <x:c r="L59" s="17" t="n">
        <x:v>0.06714190074036343</x:v>
      </x:c>
      <x:c r="M59" s="20" t="n">
        <x:f>B59*Holdings!$D$5+C59*Holdings!$D$6+D59*Holdings!$D$7+E59*Holdings!$D$8+F59*Holdings!$D$9+G59*Holdings!$D$10+H59*Holdings!$D$11+I59*Holdings!$D$12+J59*Holdings!$D$13+K59*Holdings!$D$14</x:f>
        <x:v>0.13096072758153074</x:v>
      </x:c>
    </x:row>
    <x:row r="60">
      <x:c r="A60" s="14" t="n">
        <x:v>46173</x:v>
      </x:c>
      <x:c r="B60" s="17" t="n">
        <x:v>0.08862780805471134</x:v>
      </x:c>
      <x:c r="C60" s="17" t="n">
        <x:v>0.10923537578892546</x:v>
      </x:c>
      <x:c r="D60" s="17" t="n">
        <x:v>0.17497112697344042</x:v>
      </x:c>
      <x:c r="E60" s="17" t="n">
        <x:v>0.03733831902713221</x:v>
      </x:c>
      <x:c r="F60" s="17" t="n">
        <x:v>0.01237111163703739</x:v>
      </x:c>
      <x:c r="G60" s="17" t="n">
        <x:v>0.026537077418051724</x:v>
      </x:c>
      <x:c r="H60" s="17" t="n">
        <x:v>0.03716352747871854</x:v>
      </x:c>
      <x:c r="I60" s="17" t="n">
        <x:v>0.045701359559802146</x:v>
      </x:c>
      <x:c r="J60" s="17" t="n">
        <x:v>0.025144088944631868</x:v>
      </x:c>
      <x:c r="K60" s="17" t="n">
        <x:v>0.06240609793244602</x:v>
      </x:c>
      <x:c r="L60" s="17" t="n">
        <x:v>0.06224819366766148</x:v>
      </x:c>
      <x:c r="M60" s="20" t="n">
        <x:f>B60*Holdings!$D$5+C60*Holdings!$D$6+D60*Holdings!$D$7+E60*Holdings!$D$8+F60*Holdings!$D$9+G60*Holdings!$D$10+H60*Holdings!$D$11+I60*Holdings!$D$12+J60*Holdings!$D$13+K60*Holdings!$D$14</x:f>
        <x:v>0.06901698625258595</x:v>
      </x:c>
    </x:row>
    <x:row r="61">
      <x:c r="A61" s="14" t="n">
        <x:v>46203</x:v>
      </x:c>
      <x:c r="B61" s="17" t="n">
        <x:v>-0.032805298834254794</x:v>
      </x:c>
      <x:c r="C61" s="17" t="n">
        <x:v>-0.02533799804615909</x:v>
      </x:c>
      <x:c r="D61" s="17" t="n">
        <x:v>-0.2662281988896821</x:v>
      </x:c>
      <x:c r="E61" s="17" t="n">
        <x:v>0.009051594295465258</x:v>
      </x:c>
      <x:c r="F61" s="17" t="n">
        <x:v>-0.034841966255137746</x:v>
      </x:c>
      <x:c r="G61" s="17" t="n">
        <x:v>0.06829547239623952</x:v>
      </x:c>
      <x:c r="H61" s="17" t="n">
        <x:v>0.020466572315187025</x:v>
      </x:c>
      <x:c r="I61" s="17" t="n">
        <x:v>-0.04801170630928216</x:v>
      </x:c>
      <x:c r="J61" s="17" t="n">
        <x:v>-0.027592314198707737</x:v>
      </x:c>
      <x:c r="K61" s="17" t="n">
        <x:v>-0.02227732327332904</x:v>
      </x:c>
      <x:c r="L61" s="17" t="n">
        <x:v>-0.024638576016672187</x:v>
      </x:c>
      <x:c r="M61" s="20" t="n">
        <x:f>B61*Holdings!$D$5+C61*Holdings!$D$6+D61*Holdings!$D$7+E61*Holdings!$D$8+F61*Holdings!$D$9+G61*Holdings!$D$10+H61*Holdings!$D$11+I61*Holdings!$D$12+J61*Holdings!$D$13+K61*Holdings!$D$14</x:f>
        <x:v>-0.04262978697268008</x:v>
      </x:c>
    </x:row>
    <x:row r="62">
      <x:c r="A62" s="14" t="n">
        <x:v>46234</x:v>
      </x:c>
      <x:c r="B62" s="17" t="n">
        <x:v>-0.05949238529238748</x:v>
      </x:c>
      <x:c r="C62" s="17" t="n">
        <x:v>0.07227195814389772</x:v>
      </x:c>
      <x:c r="D62" s="17" t="n">
        <x:v>0.019779073237020155</x:v>
      </x:c>
      <x:c r="E62" s="17" t="n">
        <x:v>0.012320550854739766</x:v>
      </x:c>
      <x:c r="F62" s="17" t="n">
        <x:v>-0.019076881099811108</x:v>
      </x:c>
      <x:c r="G62" s="17" t="n">
        <x:v>0.00835734569444544</x:v>
      </x:c>
      <x:c r="H62" s="17" t="n">
        <x:v>0.024111889753611962</x:v>
      </x:c>
      <x:c r="I62" s="17" t="n">
        <x:v>-0.011586530264626091</x:v>
      </x:c>
      <x:c r="J62" s="17" t="n">
        <x:v>-0.04477389204405498</x:v>
      </x:c>
      <x:c r="K62" s="17" t="n">
        <x:v>0.0006330896107839806</x:v>
      </x:c>
      <x:c r="L62" s="17" t="n">
        <x:v>0.0013713062164040198</x:v>
      </x:c>
      <x:c r="M62" s="20" t="n">
        <x:f>B62*Holdings!$D$5+C62*Holdings!$D$6+D62*Holdings!$D$7+E62*Holdings!$D$8+F62*Holdings!$D$9+G62*Holdings!$D$10+H62*Holdings!$D$11+I62*Holdings!$D$12+J62*Holdings!$D$13+K62*Holdings!$D$14</x:f>
        <x:v>0.0008746102559908419</x:v>
      </x:c>
    </x:row>
    <x:row r="63">
      <x:c r="A63" s="14" t="n">
        <x:v>46265</x:v>
      </x:c>
      <x:c r="B63" s="17" t="n">
        <x:v>0.09624749621296404</x:v>
      </x:c>
      <x:c r="C63" s="17" t="n">
        <x:v>0.02454780847047409</x:v>
      </x:c>
      <x:c r="D63" s="17" t="n">
        <x:v>-0.017454377908650683</x:v>
      </x:c>
      <x:c r="E63" s="17" t="n">
        <x:v>0.07120727198206753</x:v>
      </x:c>
      <x:c r="F63" s="17" t="n">
        <x:v>0.06262830369748179</x:v>
      </x:c>
      <x:c r="G63" s="17" t="n">
        <x:v>0.11361272955952596</x:v>
      </x:c>
      <x:c r="H63" s="17" t="n">
        <x:v>0.2585698822301136</x:v>
      </x:c>
      <x:c r="I63" s="17" t="n">
        <x:v>0.06589361879681936</x:v>
      </x:c>
      <x:c r="J63" s="17" t="n">
        <x:v>0.006461369770740388</x:v>
      </x:c>
      <x:c r="K63" s="17" t="n">
        <x:v>0.04099743883937448</x:v>
      </x:c>
      <x:c r="L63" s="17" t="n">
        <x:v>0.03280251099328311</x:v>
      </x:c>
      <x:c r="M63" s="20" t="n">
        <x:f>B63*Holdings!$D$5+C63*Holdings!$D$6+D63*Holdings!$D$7+E63*Holdings!$D$8+F63*Holdings!$D$9+G63*Holdings!$D$10+H63*Holdings!$D$11+I63*Holdings!$D$12+J63*Holdings!$D$13+K63*Holdings!$D$14</x:f>
        <x:v>0.06550914098773278</x:v>
      </x:c>
    </x:row>
    <x:row r="64">
      <x:c r="A64" s="14" t="n">
        <x:v>46295</x:v>
      </x:c>
      <x:c r="B64" s="17" t="n">
        <x:v>0.11423071053489685</x:v>
      </x:c>
      <x:c r="C64" s="17" t="n">
        <x:v>0.20229576435743551</x:v>
      </x:c>
      <x:c r="D64" s="17" t="n">
        <x:v>0.20253398193963706</x:v>
      </x:c>
      <x:c r="E64" s="17" t="n">
        <x:v>0.09932588543306321</x:v>
      </x:c>
      <x:c r="F64" s="17" t="n">
        <x:v>0.026906355104464423</x:v>
      </x:c>
      <x:c r="G64" s="17" t="n">
        <x:v>0.08095854398232553</x:v>
      </x:c>
      <x:c r="H64" s="17" t="n">
        <x:v>0.1410709232984124</x:v>
      </x:c>
      <x:c r="I64" s="17" t="n">
        <x:v>0.021506180412493324</x:v>
      </x:c>
      <x:c r="J64" s="17" t="n">
        <x:v>0.07269696021987304</x:v>
      </x:c>
      <x:c r="K64" s="17" t="n">
        <x:v>0.05484583202086321</x:v>
      </x:c>
      <x:c r="L64" s="17" t="n">
        <x:v>0.06442048888214469</x:v>
      </x:c>
      <x:c r="M64" s="20" t="n">
        <x:f>B64*Holdings!$D$5+C64*Holdings!$D$6+D64*Holdings!$D$7+E64*Holdings!$D$8+F64*Holdings!$D$9+G64*Holdings!$D$10+H64*Holdings!$D$11+I64*Holdings!$D$12+J64*Holdings!$D$13+K64*Holdings!$D$14</x:f>
        <x:v>0.10918505696571026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64" hidden="0" customWidth="1"/>
    <x:col min="4" max="4" width="46" hidden="0" customWidth="1"/>
  </x:cols>
  <x:sheetData>
    <x:row r="1" ht="28" customHeight="1">
      <x:c r="A1" s="3" t="str">
        <x:v>Methodology &amp; Sources</x:v>
      </x:c>
      <x:c r="B1" s="3"/>
      <x:c r="C1" s="3"/>
      <x:c r="D1" s="3"/>
    </x:row>
    <x:row r="3">
      <x:c r="A3" s="11" t="str">
        <x:v>Item</x:v>
      </x:c>
      <x:c r="B3" s="11" t="str">
        <x:v>Method / Source</x:v>
      </x:c>
      <x:c r="C3" s="11" t="str">
        <x:v>URL</x:v>
      </x:c>
      <x:c r="D3" s="11" t="str">
        <x:v>Notes</x:v>
      </x:c>
    </x:row>
    <x:row r="4" ht="38" customHeight="1">
      <x:c r="A4" s="48" t="str">
        <x:v>Portfolio construction</x:v>
      </x:c>
      <x:c r="B4" s="48" t="str">
        <x:v>Illustrative 10-stock diversified U.S. equity portfolio</x:v>
      </x:c>
      <x:c r="C4" s="74" t="str"/>
      <x:c r="D4" s="48" t="str">
        <x:v>Weights are editable; total should equal 100%.</x:v>
      </x:c>
    </x:row>
    <x:row r="5" ht="38" customHeight="1">
      <x:c r="A5" s="48" t="str">
        <x:v>Return dataset</x:v>
      </x:c>
      <x:c r="B5" s="48" t="str">
        <x:v>60-month deterministic scenario series</x:v>
      </x:c>
      <x:c r="C5" s="74" t="str"/>
      <x:c r="D5" s="48" t="str">
        <x:v>Calibrated to plausible equity volatilities and market betas. Not actual price history.</x:v>
      </x:c>
    </x:row>
    <x:row r="6" ht="38" customHeight="1">
      <x:c r="A6" s="48" t="str">
        <x:v>Benchmark</x:v>
      </x:c>
      <x:c r="B6" s="48" t="str">
        <x:v>SPDR S&amp;P 500 ETF Trust (SPY)</x:v>
      </x:c>
      <x:c r="C6" s="74" t="str">
        <x:v>https://www.ssga.com/us/en/intermediary/etfs/spdr-sp-500-etf-trust-spy</x:v>
      </x:c>
      <x:c r="D6" s="48" t="str">
        <x:v>Benchmark proxy for U.S. large-cap equities.</x:v>
      </x:c>
    </x:row>
    <x:row r="7" ht="38" customHeight="1">
      <x:c r="A7" s="48" t="str">
        <x:v>Apple investor information</x:v>
      </x:c>
      <x:c r="B7" s="48" t="str">
        <x:v>Apple Investor Relations</x:v>
      </x:c>
      <x:c r="C7" s="74" t="str">
        <x:v>https://investor.apple.com/</x:v>
      </x:c>
      <x:c r="D7" s="48" t="str">
        <x:v>Company reference.</x:v>
      </x:c>
    </x:row>
    <x:row r="8" ht="38" customHeight="1">
      <x:c r="A8" s="48" t="str">
        <x:v>Microsoft investor information</x:v>
      </x:c>
      <x:c r="B8" s="48" t="str">
        <x:v>Microsoft Investor Relations</x:v>
      </x:c>
      <x:c r="C8" s="74" t="str">
        <x:v>https://www.microsoft.com/en-us/investor/</x:v>
      </x:c>
      <x:c r="D8" s="48" t="str">
        <x:v>Company reference.</x:v>
      </x:c>
    </x:row>
    <x:row r="9" ht="38" customHeight="1">
      <x:c r="A9" s="48" t="str">
        <x:v>Risk-free rate</x:v>
      </x:c>
      <x:c r="B9" s="48" t="str">
        <x:v>Illustrative 4.0% annual rate</x:v>
      </x:c>
      <x:c r="C9" s="74" t="str"/>
      <x:c r="D9" s="48" t="str">
        <x:v>Editable assumption used for Sharpe ratio.</x:v>
      </x:c>
    </x:row>
    <x:row r="10" ht="38" customHeight="1">
      <x:c r="A10" s="48" t="str">
        <x:v>VaR / CVaR</x:v>
      </x:c>
      <x:c r="B10" s="48" t="str">
        <x:v>Historical-simulation method on monthly scenario returns</x:v>
      </x:c>
      <x:c r="C10" s="74" t="str"/>
      <x:c r="D10" s="48" t="str">
        <x:v>95% VaR = 5th percentile loss; CVaR = average loss beyond VaR.</x:v>
      </x:c>
    </x:row>
    <x:row r="11" ht="38" customHeight="1">
      <x:c r="A11" s="48" t="str">
        <x:v>Max drawdown</x:v>
      </x:c>
      <x:c r="B11" s="48" t="str">
        <x:v>Peak-to-trough wealth decline</x:v>
      </x:c>
      <x:c r="C11" s="74" t="str"/>
      <x:c r="D11" s="48" t="str">
        <x:v>Calculated from cumulative monthly portfolio wealth.</x:v>
      </x:c>
    </x:row>
    <x:row r="12" ht="38" customHeight="1">
      <x:c r="A12" s="48" t="str">
        <x:v>Risk contribution</x:v>
      </x:c>
      <x:c r="B12" s="48" t="str">
        <x:v>Weight × standalone volatility / weighted sum</x:v>
      </x:c>
      <x:c r="C12" s="74" t="str"/>
      <x:c r="D12" s="48" t="str">
        <x:v>Simplified recruiting dashboard metric; not covariance-based marginal contribution to risk.</x:v>
      </x:c>
    </x:row>
    <x:row r="14">
      <x:c r="A14" s="11" t="str">
        <x:v>Important Note</x:v>
      </x:c>
      <x:c r="B14" s="11"/>
      <x:c r="C14" s="11"/>
      <x:c r="D14" s="11"/>
    </x:row>
    <x:row r="15">
      <x:c r="A15" s="78" t="str">
        <x:v>This workbook is designed as a portfolio analytics / recruiting project. The return dataset is explicitly illustrative rather than a representation of actual historical security performance. To convert the dashboard into a live investment tool, replace the blue monthly return inputs on the Return Data sheet with verified total-return data from a licensed or authoritative market-data source. All risk calculations and dashboard outputs will then update automatically.</x:v>
      </x:c>
      <x:c r="B15" s="78"/>
      <x:c r="C15" s="78"/>
      <x:c r="D15" s="78"/>
    </x:row>
    <x:row r="16">
      <x:c r="A16" s="78"/>
      <x:c r="B16" s="78"/>
      <x:c r="C16" s="78"/>
      <x:c r="D16" s="78"/>
    </x:row>
    <x:row r="17">
      <x:c r="A17" s="78"/>
      <x:c r="B17" s="78"/>
      <x:c r="C17" s="78"/>
      <x:c r="D17" s="78"/>
    </x:row>
    <x:row r="18">
      <x:c r="A18" s="78"/>
      <x:c r="B18" s="78"/>
      <x:c r="C18" s="78"/>
      <x:c r="D18" s="78"/>
    </x:row>
    <x:row r="19">
      <x:c r="A19" s="78"/>
      <x:c r="B19" s="78"/>
      <x:c r="C19" s="78"/>
      <x:c r="D19" s="78"/>
    </x:row>
  </x:sheetData>
  <x:mergeCells>
    <x:mergeCell ref="A1:D1"/>
    <x:mergeCell ref="A14:D14"/>
    <x:mergeCell ref="A15:D19"/>
  </x:mergeCells>
  <x:pageMargins left="0.7" right="0.7" top="0.75" bottom="0.75" header="0.3" footer="0.3"/>
</x:worksheet>
</file>