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Loan Data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color rgb="000000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EAF0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Borrowers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'Dashboard'!$A$10:$A$14</f>
            </numRef>
          </cat>
          <val>
            <numRef>
              <f>'Dashboard'!$B$10:$B$14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Borrowers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5" customWidth="1" min="4" max="4"/>
    <col width="17" customWidth="1" min="5" max="5"/>
    <col width="17" customWidth="1" min="6" max="6"/>
    <col width="15" customWidth="1" min="7" max="7"/>
    <col width="19" customWidth="1" min="8" max="8"/>
    <col width="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Credit Risk Scoring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Consumer Credit Underwriting &amp; Portfolio Risk Project | 500 synthetic borrowers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Portfolio Credit Snapshot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4" t="inlineStr">
        <is>
          <t>Borrowers</t>
        </is>
      </c>
      <c r="B5" s="4" t="inlineStr">
        <is>
          <t>Exposure</t>
        </is>
      </c>
      <c r="C5" s="4" t="inlineStr">
        <is>
          <t>Observed Default</t>
        </is>
      </c>
      <c r="D5" s="4" t="inlineStr">
        <is>
          <t>Avg. PD</t>
        </is>
      </c>
      <c r="E5" s="4" t="inlineStr">
        <is>
          <t>Expected Loss</t>
        </is>
      </c>
      <c r="F5" s="4" t="inlineStr">
        <is>
          <t>EL % Exposure</t>
        </is>
      </c>
      <c r="G5" s="4" t="inlineStr">
        <is>
          <t>Avg. Score</t>
        </is>
      </c>
      <c r="H5" s="4" t="inlineStr">
        <is>
          <t>High-Risk Exposure</t>
        </is>
      </c>
      <c r="I5" s="2" t="n"/>
      <c r="J5" s="2" t="n"/>
      <c r="K5" s="2" t="n"/>
      <c r="L5" s="2" t="n"/>
      <c r="M5" s="2" t="n"/>
      <c r="N5" s="2" t="n"/>
    </row>
    <row r="6">
      <c r="A6" s="5">
        <f>'Model Performance'!B5</f>
        <v/>
      </c>
      <c r="B6" s="6">
        <f>'Model Performance'!B6</f>
        <v/>
      </c>
      <c r="C6" s="7">
        <f>'Model Performance'!B7</f>
        <v/>
      </c>
      <c r="D6" s="7">
        <f>'Model Performance'!B8</f>
        <v/>
      </c>
      <c r="E6" s="6">
        <f>'Model Performance'!B9</f>
        <v/>
      </c>
      <c r="F6" s="7">
        <f>'Model Performance'!B10</f>
        <v/>
      </c>
      <c r="G6" s="5">
        <f>'Model Performance'!B12</f>
        <v/>
      </c>
      <c r="H6" s="6">
        <f>'Model Performance'!B13</f>
        <v/>
      </c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Risk Tier Distribution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4" t="inlineStr">
        <is>
          <t>Tier</t>
        </is>
      </c>
      <c r="B9" s="4" t="inlineStr">
        <is>
          <t>Borrowers</t>
        </is>
      </c>
      <c r="C9" s="4" t="inlineStr">
        <is>
          <t>Exposure</t>
        </is>
      </c>
      <c r="D9" s="4" t="inlineStr">
        <is>
          <t>Default Rate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>
        <f>'Model Performance'!A17</f>
        <v/>
      </c>
      <c r="B10" s="2">
        <f>'Model Performance'!B17</f>
        <v/>
      </c>
      <c r="C10" s="8">
        <f>'Model Performance'!C17</f>
        <v/>
      </c>
      <c r="D10" s="9">
        <f>'Model Performance'!D17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>
        <f>'Model Performance'!A18</f>
        <v/>
      </c>
      <c r="B11" s="2">
        <f>'Model Performance'!B18</f>
        <v/>
      </c>
      <c r="C11" s="8">
        <f>'Model Performance'!C18</f>
        <v/>
      </c>
      <c r="D11" s="9">
        <f>'Model Performance'!D18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>
        <f>'Model Performance'!A19</f>
        <v/>
      </c>
      <c r="B12" s="2">
        <f>'Model Performance'!B19</f>
        <v/>
      </c>
      <c r="C12" s="8">
        <f>'Model Performance'!C19</f>
        <v/>
      </c>
      <c r="D12" s="9">
        <f>'Model Performance'!D19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>
        <f>'Model Performance'!A20</f>
        <v/>
      </c>
      <c r="B13" s="2">
        <f>'Model Performance'!B20</f>
        <v/>
      </c>
      <c r="C13" s="8">
        <f>'Model Performance'!C20</f>
        <v/>
      </c>
      <c r="D13" s="9">
        <f>'Model Performance'!D20</f>
        <v/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>
        <f>'Model Performance'!A21</f>
        <v/>
      </c>
      <c r="B14" s="2">
        <f>'Model Performance'!B21</f>
        <v/>
      </c>
      <c r="C14" s="8">
        <f>'Model Performance'!C21</f>
        <v/>
      </c>
      <c r="D14" s="9">
        <f>'Model Performance'!D21</f>
        <v/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3" t="inlineStr">
        <is>
          <t>Underwriting Takeaways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The model combines FICO, debt-to-income, utilization, delinquency history, employment stability, loan-to-income and term into transparent risk points. The score maps to an estimated probability of default, risk tier and underwriting decision, while the portfolio view aggregates expected loss and high-risk exposure. This demonstrates both borrower-level underwriting and portfolio credit monitoring.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</sheetData>
  <mergeCells count="6">
    <mergeCell ref="A22:N22"/>
    <mergeCell ref="A4:N4"/>
    <mergeCell ref="A2:N2"/>
    <mergeCell ref="A8:E8"/>
    <mergeCell ref="A23:N27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 ht="28" customHeight="1">
      <c r="A1" s="1" t="inlineStr">
        <is>
          <t>Credit Risk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Illustrative consumer-loan underwriting model | Transparent points score + PD + risk tier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Scoring Framework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Factor</t>
        </is>
      </c>
      <c r="B5" s="4" t="inlineStr">
        <is>
          <t>Low Risk</t>
        </is>
      </c>
      <c r="C5" s="4" t="inlineStr">
        <is>
          <t>Moderate Risk</t>
        </is>
      </c>
      <c r="D5" s="4" t="inlineStr">
        <is>
          <t>High Risk</t>
        </is>
      </c>
      <c r="E5" s="4" t="inlineStr">
        <is>
          <t>Points</t>
        </is>
      </c>
      <c r="F5" s="2" t="n"/>
      <c r="G5" s="2" t="n"/>
      <c r="H5" s="2" t="n"/>
    </row>
    <row r="6">
      <c r="A6" s="2" t="inlineStr">
        <is>
          <t>FICO Score</t>
        </is>
      </c>
      <c r="B6" s="2" t="inlineStr">
        <is>
          <t>&gt;=740</t>
        </is>
      </c>
      <c r="C6" s="2" t="inlineStr">
        <is>
          <t>670–739</t>
        </is>
      </c>
      <c r="D6" s="2" t="inlineStr">
        <is>
          <t>&lt;670</t>
        </is>
      </c>
      <c r="E6" s="2" t="inlineStr">
        <is>
          <t>0 / 15 / 30</t>
        </is>
      </c>
      <c r="F6" s="2" t="n"/>
      <c r="G6" s="2" t="n"/>
      <c r="H6" s="2" t="n"/>
    </row>
    <row r="7">
      <c r="A7" s="2" t="inlineStr">
        <is>
          <t>Debt-to-Income</t>
        </is>
      </c>
      <c r="B7" s="2" t="inlineStr">
        <is>
          <t>&lt;=25%</t>
        </is>
      </c>
      <c r="C7" s="2" t="inlineStr">
        <is>
          <t>25–40%</t>
        </is>
      </c>
      <c r="D7" s="2" t="inlineStr">
        <is>
          <t>&gt;40%</t>
        </is>
      </c>
      <c r="E7" s="2" t="inlineStr">
        <is>
          <t>0 / 15 / 30</t>
        </is>
      </c>
      <c r="F7" s="2" t="n"/>
      <c r="G7" s="2" t="n"/>
      <c r="H7" s="2" t="n"/>
    </row>
    <row r="8">
      <c r="A8" s="2" t="inlineStr">
        <is>
          <t>Utilization</t>
        </is>
      </c>
      <c r="B8" s="2" t="inlineStr">
        <is>
          <t>&lt;=30%</t>
        </is>
      </c>
      <c r="C8" s="2" t="inlineStr">
        <is>
          <t>30–60%</t>
        </is>
      </c>
      <c r="D8" s="2" t="inlineStr">
        <is>
          <t>&gt;60%</t>
        </is>
      </c>
      <c r="E8" s="2" t="inlineStr">
        <is>
          <t>0 / 10 / 20</t>
        </is>
      </c>
      <c r="F8" s="2" t="n"/>
      <c r="G8" s="2" t="n"/>
      <c r="H8" s="2" t="n"/>
    </row>
    <row r="9">
      <c r="A9" s="2" t="inlineStr">
        <is>
          <t>Delinquencies</t>
        </is>
      </c>
      <c r="B9" s="2" t="inlineStr">
        <is>
          <t>0</t>
        </is>
      </c>
      <c r="C9" s="2" t="inlineStr">
        <is>
          <t>1</t>
        </is>
      </c>
      <c r="D9" s="2" t="inlineStr">
        <is>
          <t>2+</t>
        </is>
      </c>
      <c r="E9" s="2" t="inlineStr">
        <is>
          <t>0 / 10 / 25</t>
        </is>
      </c>
      <c r="F9" s="2" t="n"/>
      <c r="G9" s="2" t="n"/>
      <c r="H9" s="2" t="n"/>
    </row>
    <row r="10">
      <c r="A10" s="2" t="inlineStr">
        <is>
          <t>Employment Years</t>
        </is>
      </c>
      <c r="B10" s="2" t="inlineStr">
        <is>
          <t>&gt;=5</t>
        </is>
      </c>
      <c r="C10" s="2" t="inlineStr">
        <is>
          <t>2–5</t>
        </is>
      </c>
      <c r="D10" s="2" t="inlineStr">
        <is>
          <t>&lt;2</t>
        </is>
      </c>
      <c r="E10" s="2" t="inlineStr">
        <is>
          <t>0 / 5 / 10</t>
        </is>
      </c>
      <c r="F10" s="2" t="n"/>
      <c r="G10" s="2" t="n"/>
      <c r="H10" s="2" t="n"/>
    </row>
    <row r="11">
      <c r="A11" s="2" t="inlineStr">
        <is>
          <t>Loan / Income</t>
        </is>
      </c>
      <c r="B11" s="2" t="inlineStr">
        <is>
          <t>&lt;=25%</t>
        </is>
      </c>
      <c r="C11" s="2" t="inlineStr">
        <is>
          <t>25–50%</t>
        </is>
      </c>
      <c r="D11" s="2" t="inlineStr">
        <is>
          <t>&gt;50%</t>
        </is>
      </c>
      <c r="E11" s="2" t="inlineStr">
        <is>
          <t>0 / 10 / 20</t>
        </is>
      </c>
      <c r="F11" s="2" t="n"/>
      <c r="G11" s="2" t="n"/>
      <c r="H11" s="2" t="n"/>
    </row>
    <row r="12">
      <c r="A12" s="2" t="inlineStr">
        <is>
          <t>Term</t>
        </is>
      </c>
      <c r="B12" s="2" t="inlineStr">
        <is>
          <t>36 mo.</t>
        </is>
      </c>
      <c r="C12" s="2" t="inlineStr">
        <is>
          <t>48 mo.</t>
        </is>
      </c>
      <c r="D12" s="2" t="inlineStr">
        <is>
          <t>60 mo.</t>
        </is>
      </c>
      <c r="E12" s="2" t="inlineStr">
        <is>
          <t>0 / 3 / 6</t>
        </is>
      </c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Risk Tier Thresholds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Points</t>
        </is>
      </c>
      <c r="B15" s="4" t="inlineStr">
        <is>
          <t>Tier</t>
        </is>
      </c>
      <c r="C15" s="4" t="inlineStr">
        <is>
          <t>Indicative PD</t>
        </is>
      </c>
      <c r="D15" s="4" t="inlineStr">
        <is>
          <t>Underwriting View</t>
        </is>
      </c>
      <c r="E15" s="2" t="n"/>
      <c r="F15" s="2" t="n"/>
      <c r="G15" s="2" t="n"/>
      <c r="H15" s="2" t="n"/>
    </row>
    <row r="16">
      <c r="A16" s="2" t="inlineStr">
        <is>
          <t>0–19</t>
        </is>
      </c>
      <c r="B16" s="2" t="inlineStr">
        <is>
          <t>A</t>
        </is>
      </c>
      <c r="C16" s="2" t="inlineStr">
        <is>
          <t>&lt;3%</t>
        </is>
      </c>
      <c r="D16" s="2" t="inlineStr">
        <is>
          <t>Low risk</t>
        </is>
      </c>
      <c r="E16" s="2" t="n"/>
      <c r="F16" s="2" t="n"/>
      <c r="G16" s="2" t="n"/>
      <c r="H16" s="2" t="n"/>
    </row>
    <row r="17">
      <c r="A17" s="2" t="inlineStr">
        <is>
          <t>20–39</t>
        </is>
      </c>
      <c r="B17" s="2" t="inlineStr">
        <is>
          <t>B</t>
        </is>
      </c>
      <c r="C17" s="2" t="inlineStr">
        <is>
          <t>3–7%</t>
        </is>
      </c>
      <c r="D17" s="2" t="inlineStr">
        <is>
          <t>Acceptable</t>
        </is>
      </c>
      <c r="E17" s="2" t="n"/>
      <c r="F17" s="2" t="n"/>
      <c r="G17" s="2" t="n"/>
      <c r="H17" s="2" t="n"/>
    </row>
    <row r="18">
      <c r="A18" s="2" t="inlineStr">
        <is>
          <t>40–59</t>
        </is>
      </c>
      <c r="B18" s="2" t="inlineStr">
        <is>
          <t>C</t>
        </is>
      </c>
      <c r="C18" s="2" t="inlineStr">
        <is>
          <t>7–15%</t>
        </is>
      </c>
      <c r="D18" s="2" t="inlineStr">
        <is>
          <t>Conditional</t>
        </is>
      </c>
      <c r="E18" s="2" t="n"/>
      <c r="F18" s="2" t="n"/>
      <c r="G18" s="2" t="n"/>
      <c r="H18" s="2" t="n"/>
    </row>
    <row r="19">
      <c r="A19" s="2" t="inlineStr">
        <is>
          <t>60–79</t>
        </is>
      </c>
      <c r="B19" s="2" t="inlineStr">
        <is>
          <t>D</t>
        </is>
      </c>
      <c r="C19" s="2" t="inlineStr">
        <is>
          <t>15–30%</t>
        </is>
      </c>
      <c r="D19" s="2" t="inlineStr">
        <is>
          <t>Enhanced review</t>
        </is>
      </c>
      <c r="E19" s="2" t="n"/>
      <c r="F19" s="2" t="n"/>
      <c r="G19" s="2" t="n"/>
      <c r="H19" s="2" t="n"/>
    </row>
    <row r="20">
      <c r="A20" s="2" t="inlineStr">
        <is>
          <t>80+</t>
        </is>
      </c>
      <c r="B20" s="2" t="inlineStr">
        <is>
          <t>E</t>
        </is>
      </c>
      <c r="C20" s="2" t="inlineStr">
        <is>
          <t>&gt;30%</t>
        </is>
      </c>
      <c r="D20" s="2" t="inlineStr">
        <is>
          <t>Very high risk</t>
        </is>
      </c>
      <c r="E20" s="2" t="n"/>
      <c r="F20" s="2" t="n"/>
      <c r="G20" s="2" t="n"/>
      <c r="H20" s="2" t="n"/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5" customWidth="1" min="17" max="17"/>
  </cols>
  <sheetData>
    <row r="1" ht="28" customHeight="1">
      <c r="A1" s="1" t="inlineStr">
        <is>
          <t>Synthetic Loan-Level Dataset &amp; Scoring Output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500 synthetic borrowers; blue cells are generated inputs, not real customer data. All risk outputs are formula-driven.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Borrower ID</t>
        </is>
      </c>
      <c r="B4" s="4" t="inlineStr">
        <is>
          <t>Income</t>
        </is>
      </c>
      <c r="C4" s="4" t="inlineStr">
        <is>
          <t>DTI</t>
        </is>
      </c>
      <c r="D4" s="4" t="inlineStr">
        <is>
          <t>FICO</t>
        </is>
      </c>
      <c r="E4" s="4" t="inlineStr">
        <is>
          <t>Utilization</t>
        </is>
      </c>
      <c r="F4" s="4" t="inlineStr">
        <is>
          <t>Delinq.</t>
        </is>
      </c>
      <c r="G4" s="4" t="inlineStr">
        <is>
          <t>Employment Yrs</t>
        </is>
      </c>
      <c r="H4" s="4" t="inlineStr">
        <is>
          <t>Loan Amount</t>
        </is>
      </c>
      <c r="I4" s="4" t="inlineStr">
        <is>
          <t>Term</t>
        </is>
      </c>
      <c r="J4" s="4" t="inlineStr">
        <is>
          <t>Observed Default</t>
        </is>
      </c>
      <c r="K4" s="4" t="inlineStr">
        <is>
          <t>Risk Points</t>
        </is>
      </c>
      <c r="L4" s="4" t="inlineStr">
        <is>
          <t>Credit Score</t>
        </is>
      </c>
      <c r="M4" s="4" t="inlineStr">
        <is>
          <t>Est. PD</t>
        </is>
      </c>
      <c r="N4" s="4" t="inlineStr">
        <is>
          <t>Risk Tier</t>
        </is>
      </c>
      <c r="O4" s="4" t="inlineStr">
        <is>
          <t>Decision</t>
        </is>
      </c>
      <c r="P4" s="4" t="inlineStr">
        <is>
          <t>Expected Loss</t>
        </is>
      </c>
      <c r="Q4" s="4" t="inlineStr">
        <is>
          <t>Loan / Income</t>
        </is>
      </c>
    </row>
    <row r="5">
      <c r="A5" s="11" t="inlineStr">
        <is>
          <t>B0001</t>
        </is>
      </c>
      <c r="B5" s="12" t="n">
        <v>105283</v>
      </c>
      <c r="C5" s="13" t="n">
        <v>0.3791787164677974</v>
      </c>
      <c r="D5" s="11" t="n">
        <v>687</v>
      </c>
      <c r="E5" s="13" t="n">
        <v>0.7164505152927694</v>
      </c>
      <c r="F5" s="11" t="n">
        <v>0</v>
      </c>
      <c r="G5" s="11" t="n">
        <v>1.3</v>
      </c>
      <c r="H5" s="12" t="n">
        <v>16981</v>
      </c>
      <c r="I5" s="11" t="n">
        <v>60</v>
      </c>
      <c r="J5" s="11" t="n">
        <v>0</v>
      </c>
      <c r="K5" s="2">
        <f>IF(D5&gt;=740,0,IF(D5&gt;=670,15,30))+IF(C5&lt;=25%,0,IF(C5&lt;=40%,15,30))+IF(E5&lt;=30%,0,IF(E5&lt;=60%,10,20))+IF(F5=0,0,IF(F5=1,10,25))+IF(G5&gt;=5,0,IF(G5&gt;=2,5,10))+IF(H5/B5&lt;=25%,0,IF(H5/B5&lt;=50%,10,20))+IF(I5=36,0,IF(I5=48,3,6))</f>
        <v/>
      </c>
      <c r="L5" s="2">
        <f>850-K5*3.5</f>
        <v/>
      </c>
      <c r="M5" s="9">
        <f>1/(1+EXP(-(-4.2+0.055*K5)))</f>
        <v/>
      </c>
      <c r="N5" s="2">
        <f>IF(K5&lt;20,"A",IF(K5&lt;40,"B",IF(K5&lt;60,"C",IF(K5&lt;80,"D","E"))))</f>
        <v/>
      </c>
      <c r="O5" s="2">
        <f>IF(OR(N5="D",N5="E"),"Enhanced Review",IF(N5="C","Conditional","Approve"))</f>
        <v/>
      </c>
      <c r="P5" s="8">
        <f>H5*M5*45%</f>
        <v/>
      </c>
      <c r="Q5" s="9">
        <f>H5/B5</f>
        <v/>
      </c>
    </row>
    <row r="6">
      <c r="A6" s="11" t="inlineStr">
        <is>
          <t>B0002</t>
        </is>
      </c>
      <c r="B6" s="12" t="n">
        <v>236249</v>
      </c>
      <c r="C6" s="13" t="n">
        <v>0.4985735928584224</v>
      </c>
      <c r="D6" s="11" t="n">
        <v>641</v>
      </c>
      <c r="E6" s="13" t="n">
        <v>0.2725654289369756</v>
      </c>
      <c r="F6" s="11" t="n">
        <v>0</v>
      </c>
      <c r="G6" s="11" t="n">
        <v>14.2</v>
      </c>
      <c r="H6" s="12" t="n">
        <v>28110</v>
      </c>
      <c r="I6" s="11" t="n">
        <v>60</v>
      </c>
      <c r="J6" s="11" t="n">
        <v>0</v>
      </c>
      <c r="K6" s="2">
        <f>IF(D6&gt;=740,0,IF(D6&gt;=670,15,30))+IF(C6&lt;=25%,0,IF(C6&lt;=40%,15,30))+IF(E6&lt;=30%,0,IF(E6&lt;=60%,10,20))+IF(F6=0,0,IF(F6=1,10,25))+IF(G6&gt;=5,0,IF(G6&gt;=2,5,10))+IF(H6/B6&lt;=25%,0,IF(H6/B6&lt;=50%,10,20))+IF(I6=36,0,IF(I6=48,3,6))</f>
        <v/>
      </c>
      <c r="L6" s="2">
        <f>850-K6*3.5</f>
        <v/>
      </c>
      <c r="M6" s="9">
        <f>1/(1+EXP(-(-4.2+0.055*K6)))</f>
        <v/>
      </c>
      <c r="N6" s="2">
        <f>IF(K6&lt;20,"A",IF(K6&lt;40,"B",IF(K6&lt;60,"C",IF(K6&lt;80,"D","E"))))</f>
        <v/>
      </c>
      <c r="O6" s="2">
        <f>IF(OR(N6="D",N6="E"),"Enhanced Review",IF(N6="C","Conditional","Approve"))</f>
        <v/>
      </c>
      <c r="P6" s="8">
        <f>H6*M6*45%</f>
        <v/>
      </c>
      <c r="Q6" s="9">
        <f>H6/B6</f>
        <v/>
      </c>
    </row>
    <row r="7">
      <c r="A7" s="11" t="inlineStr">
        <is>
          <t>B0003</t>
        </is>
      </c>
      <c r="B7" s="12" t="n">
        <v>277445</v>
      </c>
      <c r="C7" s="13" t="n">
        <v>0.37441433944811</v>
      </c>
      <c r="D7" s="11" t="n">
        <v>658</v>
      </c>
      <c r="E7" s="13" t="n">
        <v>0.1701726926616438</v>
      </c>
      <c r="F7" s="11" t="n">
        <v>0</v>
      </c>
      <c r="G7" s="11" t="n">
        <v>11.1</v>
      </c>
      <c r="H7" s="12" t="n">
        <v>18616</v>
      </c>
      <c r="I7" s="11" t="n">
        <v>36</v>
      </c>
      <c r="J7" s="11" t="n">
        <v>0</v>
      </c>
      <c r="K7" s="2">
        <f>IF(D7&gt;=740,0,IF(D7&gt;=670,15,30))+IF(C7&lt;=25%,0,IF(C7&lt;=40%,15,30))+IF(E7&lt;=30%,0,IF(E7&lt;=60%,10,20))+IF(F7=0,0,IF(F7=1,10,25))+IF(G7&gt;=5,0,IF(G7&gt;=2,5,10))+IF(H7/B7&lt;=25%,0,IF(H7/B7&lt;=50%,10,20))+IF(I7=36,0,IF(I7=48,3,6))</f>
        <v/>
      </c>
      <c r="L7" s="2">
        <f>850-K7*3.5</f>
        <v/>
      </c>
      <c r="M7" s="9">
        <f>1/(1+EXP(-(-4.2+0.055*K7)))</f>
        <v/>
      </c>
      <c r="N7" s="2">
        <f>IF(K7&lt;20,"A",IF(K7&lt;40,"B",IF(K7&lt;60,"C",IF(K7&lt;80,"D","E"))))</f>
        <v/>
      </c>
      <c r="O7" s="2">
        <f>IF(OR(N7="D",N7="E"),"Enhanced Review",IF(N7="C","Conditional","Approve"))</f>
        <v/>
      </c>
      <c r="P7" s="8">
        <f>H7*M7*45%</f>
        <v/>
      </c>
      <c r="Q7" s="9">
        <f>H7/B7</f>
        <v/>
      </c>
    </row>
    <row r="8">
      <c r="A8" s="11" t="inlineStr">
        <is>
          <t>B0004</t>
        </is>
      </c>
      <c r="B8" s="12" t="n">
        <v>89446</v>
      </c>
      <c r="C8" s="13" t="n">
        <v>0.1891642919455978</v>
      </c>
      <c r="D8" s="11" t="n">
        <v>681</v>
      </c>
      <c r="E8" s="13" t="n">
        <v>0.5401466572636414</v>
      </c>
      <c r="F8" s="11" t="n">
        <v>1</v>
      </c>
      <c r="G8" s="11" t="n">
        <v>22.8</v>
      </c>
      <c r="H8" s="12" t="n">
        <v>16999</v>
      </c>
      <c r="I8" s="11" t="n">
        <v>36</v>
      </c>
      <c r="J8" s="11" t="n">
        <v>0</v>
      </c>
      <c r="K8" s="2">
        <f>IF(D8&gt;=740,0,IF(D8&gt;=670,15,30))+IF(C8&lt;=25%,0,IF(C8&lt;=40%,15,30))+IF(E8&lt;=30%,0,IF(E8&lt;=60%,10,20))+IF(F8=0,0,IF(F8=1,10,25))+IF(G8&gt;=5,0,IF(G8&gt;=2,5,10))+IF(H8/B8&lt;=25%,0,IF(H8/B8&lt;=50%,10,20))+IF(I8=36,0,IF(I8=48,3,6))</f>
        <v/>
      </c>
      <c r="L8" s="2">
        <f>850-K8*3.5</f>
        <v/>
      </c>
      <c r="M8" s="9">
        <f>1/(1+EXP(-(-4.2+0.055*K8)))</f>
        <v/>
      </c>
      <c r="N8" s="2">
        <f>IF(K8&lt;20,"A",IF(K8&lt;40,"B",IF(K8&lt;60,"C",IF(K8&lt;80,"D","E"))))</f>
        <v/>
      </c>
      <c r="O8" s="2">
        <f>IF(OR(N8="D",N8="E"),"Enhanced Review",IF(N8="C","Conditional","Approve"))</f>
        <v/>
      </c>
      <c r="P8" s="8">
        <f>H8*M8*45%</f>
        <v/>
      </c>
      <c r="Q8" s="9">
        <f>H8/B8</f>
        <v/>
      </c>
    </row>
    <row r="9">
      <c r="A9" s="11" t="inlineStr">
        <is>
          <t>B0005</t>
        </is>
      </c>
      <c r="B9" s="12" t="n">
        <v>35828</v>
      </c>
      <c r="C9" s="13" t="n">
        <v>0.3452599058110443</v>
      </c>
      <c r="D9" s="11" t="n">
        <v>734</v>
      </c>
      <c r="E9" s="13" t="n">
        <v>0.4403344200431367</v>
      </c>
      <c r="F9" s="11" t="n">
        <v>0</v>
      </c>
      <c r="G9" s="11" t="n">
        <v>3.8</v>
      </c>
      <c r="H9" s="12" t="n">
        <v>30195</v>
      </c>
      <c r="I9" s="11" t="n">
        <v>60</v>
      </c>
      <c r="J9" s="11" t="n">
        <v>0</v>
      </c>
      <c r="K9" s="2">
        <f>IF(D9&gt;=740,0,IF(D9&gt;=670,15,30))+IF(C9&lt;=25%,0,IF(C9&lt;=40%,15,30))+IF(E9&lt;=30%,0,IF(E9&lt;=60%,10,20))+IF(F9=0,0,IF(F9=1,10,25))+IF(G9&gt;=5,0,IF(G9&gt;=2,5,10))+IF(H9/B9&lt;=25%,0,IF(H9/B9&lt;=50%,10,20))+IF(I9=36,0,IF(I9=48,3,6))</f>
        <v/>
      </c>
      <c r="L9" s="2">
        <f>850-K9*3.5</f>
        <v/>
      </c>
      <c r="M9" s="9">
        <f>1/(1+EXP(-(-4.2+0.055*K9)))</f>
        <v/>
      </c>
      <c r="N9" s="2">
        <f>IF(K9&lt;20,"A",IF(K9&lt;40,"B",IF(K9&lt;60,"C",IF(K9&lt;80,"D","E"))))</f>
        <v/>
      </c>
      <c r="O9" s="2">
        <f>IF(OR(N9="D",N9="E"),"Enhanced Review",IF(N9="C","Conditional","Approve"))</f>
        <v/>
      </c>
      <c r="P9" s="8">
        <f>H9*M9*45%</f>
        <v/>
      </c>
      <c r="Q9" s="9">
        <f>H9/B9</f>
        <v/>
      </c>
    </row>
    <row r="10">
      <c r="A10" s="11" t="inlineStr">
        <is>
          <t>B0006</t>
        </is>
      </c>
      <c r="B10" s="12" t="n">
        <v>76524</v>
      </c>
      <c r="C10" s="13" t="n">
        <v>0.2009274548083564</v>
      </c>
      <c r="D10" s="11" t="n">
        <v>762</v>
      </c>
      <c r="E10" s="13" t="n">
        <v>0.2627740970574362</v>
      </c>
      <c r="F10" s="11" t="n">
        <v>0</v>
      </c>
      <c r="G10" s="11" t="n">
        <v>11.9</v>
      </c>
      <c r="H10" s="12" t="n">
        <v>42741</v>
      </c>
      <c r="I10" s="11" t="n">
        <v>36</v>
      </c>
      <c r="J10" s="11" t="n">
        <v>0</v>
      </c>
      <c r="K10" s="2">
        <f>IF(D10&gt;=740,0,IF(D10&gt;=670,15,30))+IF(C10&lt;=25%,0,IF(C10&lt;=40%,15,30))+IF(E10&lt;=30%,0,IF(E10&lt;=60%,10,20))+IF(F10=0,0,IF(F10=1,10,25))+IF(G10&gt;=5,0,IF(G10&gt;=2,5,10))+IF(H10/B10&lt;=25%,0,IF(H10/B10&lt;=50%,10,20))+IF(I10=36,0,IF(I10=48,3,6))</f>
        <v/>
      </c>
      <c r="L10" s="2">
        <f>850-K10*3.5</f>
        <v/>
      </c>
      <c r="M10" s="9">
        <f>1/(1+EXP(-(-4.2+0.055*K10)))</f>
        <v/>
      </c>
      <c r="N10" s="2">
        <f>IF(K10&lt;20,"A",IF(K10&lt;40,"B",IF(K10&lt;60,"C",IF(K10&lt;80,"D","E"))))</f>
        <v/>
      </c>
      <c r="O10" s="2">
        <f>IF(OR(N10="D",N10="E"),"Enhanced Review",IF(N10="C","Conditional","Approve"))</f>
        <v/>
      </c>
      <c r="P10" s="8">
        <f>H10*M10*45%</f>
        <v/>
      </c>
      <c r="Q10" s="9">
        <f>H10/B10</f>
        <v/>
      </c>
    </row>
    <row r="11">
      <c r="A11" s="11" t="inlineStr">
        <is>
          <t>B0007</t>
        </is>
      </c>
      <c r="B11" s="12" t="n">
        <v>97580</v>
      </c>
      <c r="C11" s="13" t="n">
        <v>0.4027012958688616</v>
      </c>
      <c r="D11" s="11" t="n">
        <v>623</v>
      </c>
      <c r="E11" s="13" t="n">
        <v>0.1039282749930441</v>
      </c>
      <c r="F11" s="11" t="n">
        <v>0</v>
      </c>
      <c r="G11" s="11" t="n">
        <v>14.5</v>
      </c>
      <c r="H11" s="12" t="n">
        <v>16583</v>
      </c>
      <c r="I11" s="11" t="n">
        <v>48</v>
      </c>
      <c r="J11" s="11" t="n">
        <v>0</v>
      </c>
      <c r="K11" s="2">
        <f>IF(D11&gt;=740,0,IF(D11&gt;=670,15,30))+IF(C11&lt;=25%,0,IF(C11&lt;=40%,15,30))+IF(E11&lt;=30%,0,IF(E11&lt;=60%,10,20))+IF(F11=0,0,IF(F11=1,10,25))+IF(G11&gt;=5,0,IF(G11&gt;=2,5,10))+IF(H11/B11&lt;=25%,0,IF(H11/B11&lt;=50%,10,20))+IF(I11=36,0,IF(I11=48,3,6))</f>
        <v/>
      </c>
      <c r="L11" s="2">
        <f>850-K11*3.5</f>
        <v/>
      </c>
      <c r="M11" s="9">
        <f>1/(1+EXP(-(-4.2+0.055*K11)))</f>
        <v/>
      </c>
      <c r="N11" s="2">
        <f>IF(K11&lt;20,"A",IF(K11&lt;40,"B",IF(K11&lt;60,"C",IF(K11&lt;80,"D","E"))))</f>
        <v/>
      </c>
      <c r="O11" s="2">
        <f>IF(OR(N11="D",N11="E"),"Enhanced Review",IF(N11="C","Conditional","Approve"))</f>
        <v/>
      </c>
      <c r="P11" s="8">
        <f>H11*M11*45%</f>
        <v/>
      </c>
      <c r="Q11" s="9">
        <f>H11/B11</f>
        <v/>
      </c>
    </row>
    <row r="12">
      <c r="A12" s="11" t="inlineStr">
        <is>
          <t>B0008</t>
        </is>
      </c>
      <c r="B12" s="12" t="n">
        <v>35212</v>
      </c>
      <c r="C12" s="13" t="n">
        <v>0.2173026446416867</v>
      </c>
      <c r="D12" s="11" t="n">
        <v>610</v>
      </c>
      <c r="E12" s="13" t="n">
        <v>0.503323139739027</v>
      </c>
      <c r="F12" s="11" t="n">
        <v>0</v>
      </c>
      <c r="G12" s="11" t="n">
        <v>2</v>
      </c>
      <c r="H12" s="12" t="n">
        <v>14029</v>
      </c>
      <c r="I12" s="11" t="n">
        <v>36</v>
      </c>
      <c r="J12" s="11" t="n">
        <v>1</v>
      </c>
      <c r="K12" s="2">
        <f>IF(D12&gt;=740,0,IF(D12&gt;=670,15,30))+IF(C12&lt;=25%,0,IF(C12&lt;=40%,15,30))+IF(E12&lt;=30%,0,IF(E12&lt;=60%,10,20))+IF(F12=0,0,IF(F12=1,10,25))+IF(G12&gt;=5,0,IF(G12&gt;=2,5,10))+IF(H12/B12&lt;=25%,0,IF(H12/B12&lt;=50%,10,20))+IF(I12=36,0,IF(I12=48,3,6))</f>
        <v/>
      </c>
      <c r="L12" s="2">
        <f>850-K12*3.5</f>
        <v/>
      </c>
      <c r="M12" s="9">
        <f>1/(1+EXP(-(-4.2+0.055*K12)))</f>
        <v/>
      </c>
      <c r="N12" s="2">
        <f>IF(K12&lt;20,"A",IF(K12&lt;40,"B",IF(K12&lt;60,"C",IF(K12&lt;80,"D","E"))))</f>
        <v/>
      </c>
      <c r="O12" s="2">
        <f>IF(OR(N12="D",N12="E"),"Enhanced Review",IF(N12="C","Conditional","Approve"))</f>
        <v/>
      </c>
      <c r="P12" s="8">
        <f>H12*M12*45%</f>
        <v/>
      </c>
      <c r="Q12" s="9">
        <f>H12/B12</f>
        <v/>
      </c>
    </row>
    <row r="13">
      <c r="A13" s="11" t="inlineStr">
        <is>
          <t>B0009</t>
        </is>
      </c>
      <c r="B13" s="12" t="n">
        <v>53355</v>
      </c>
      <c r="C13" s="13" t="n">
        <v>0.1805160137492475</v>
      </c>
      <c r="D13" s="11" t="n">
        <v>744</v>
      </c>
      <c r="E13" s="13" t="n">
        <v>0.6940584151997464</v>
      </c>
      <c r="F13" s="11" t="n">
        <v>0</v>
      </c>
      <c r="G13" s="11" t="n">
        <v>2.2</v>
      </c>
      <c r="H13" s="12" t="n">
        <v>16147</v>
      </c>
      <c r="I13" s="11" t="n">
        <v>60</v>
      </c>
      <c r="J13" s="11" t="n">
        <v>0</v>
      </c>
      <c r="K13" s="2">
        <f>IF(D13&gt;=740,0,IF(D13&gt;=670,15,30))+IF(C13&lt;=25%,0,IF(C13&lt;=40%,15,30))+IF(E13&lt;=30%,0,IF(E13&lt;=60%,10,20))+IF(F13=0,0,IF(F13=1,10,25))+IF(G13&gt;=5,0,IF(G13&gt;=2,5,10))+IF(H13/B13&lt;=25%,0,IF(H13/B13&lt;=50%,10,20))+IF(I13=36,0,IF(I13=48,3,6))</f>
        <v/>
      </c>
      <c r="L13" s="2">
        <f>850-K13*3.5</f>
        <v/>
      </c>
      <c r="M13" s="9">
        <f>1/(1+EXP(-(-4.2+0.055*K13)))</f>
        <v/>
      </c>
      <c r="N13" s="2">
        <f>IF(K13&lt;20,"A",IF(K13&lt;40,"B",IF(K13&lt;60,"C",IF(K13&lt;80,"D","E"))))</f>
        <v/>
      </c>
      <c r="O13" s="2">
        <f>IF(OR(N13="D",N13="E"),"Enhanced Review",IF(N13="C","Conditional","Approve"))</f>
        <v/>
      </c>
      <c r="P13" s="8">
        <f>H13*M13*45%</f>
        <v/>
      </c>
      <c r="Q13" s="9">
        <f>H13/B13</f>
        <v/>
      </c>
    </row>
    <row r="14">
      <c r="A14" s="11" t="inlineStr">
        <is>
          <t>B0010</t>
        </is>
      </c>
      <c r="B14" s="12" t="n">
        <v>134746</v>
      </c>
      <c r="C14" s="13" t="n">
        <v>0.1033996495718208</v>
      </c>
      <c r="D14" s="11" t="n">
        <v>764</v>
      </c>
      <c r="E14" s="13" t="n">
        <v>0.1574781084788723</v>
      </c>
      <c r="F14" s="11" t="n">
        <v>0</v>
      </c>
      <c r="G14" s="11" t="n">
        <v>4.3</v>
      </c>
      <c r="H14" s="12" t="n">
        <v>4978</v>
      </c>
      <c r="I14" s="11" t="n">
        <v>36</v>
      </c>
      <c r="J14" s="11" t="n">
        <v>0</v>
      </c>
      <c r="K14" s="2">
        <f>IF(D14&gt;=740,0,IF(D14&gt;=670,15,30))+IF(C14&lt;=25%,0,IF(C14&lt;=40%,15,30))+IF(E14&lt;=30%,0,IF(E14&lt;=60%,10,20))+IF(F14=0,0,IF(F14=1,10,25))+IF(G14&gt;=5,0,IF(G14&gt;=2,5,10))+IF(H14/B14&lt;=25%,0,IF(H14/B14&lt;=50%,10,20))+IF(I14=36,0,IF(I14=48,3,6))</f>
        <v/>
      </c>
      <c r="L14" s="2">
        <f>850-K14*3.5</f>
        <v/>
      </c>
      <c r="M14" s="9">
        <f>1/(1+EXP(-(-4.2+0.055*K14)))</f>
        <v/>
      </c>
      <c r="N14" s="2">
        <f>IF(K14&lt;20,"A",IF(K14&lt;40,"B",IF(K14&lt;60,"C",IF(K14&lt;80,"D","E"))))</f>
        <v/>
      </c>
      <c r="O14" s="2">
        <f>IF(OR(N14="D",N14="E"),"Enhanced Review",IF(N14="C","Conditional","Approve"))</f>
        <v/>
      </c>
      <c r="P14" s="8">
        <f>H14*M14*45%</f>
        <v/>
      </c>
      <c r="Q14" s="9">
        <f>H14/B14</f>
        <v/>
      </c>
    </row>
    <row r="15">
      <c r="A15" s="11" t="inlineStr">
        <is>
          <t>B0011</t>
        </is>
      </c>
      <c r="B15" s="12" t="n">
        <v>181091</v>
      </c>
      <c r="C15" s="13" t="n">
        <v>0.3158359477314552</v>
      </c>
      <c r="D15" s="11" t="n">
        <v>686</v>
      </c>
      <c r="E15" s="13" t="n">
        <v>0.3919164664996183</v>
      </c>
      <c r="F15" s="11" t="n">
        <v>0</v>
      </c>
      <c r="G15" s="11" t="n">
        <v>3</v>
      </c>
      <c r="H15" s="12" t="n">
        <v>13373</v>
      </c>
      <c r="I15" s="11" t="n">
        <v>48</v>
      </c>
      <c r="J15" s="11" t="n">
        <v>0</v>
      </c>
      <c r="K15" s="2">
        <f>IF(D15&gt;=740,0,IF(D15&gt;=670,15,30))+IF(C15&lt;=25%,0,IF(C15&lt;=40%,15,30))+IF(E15&lt;=30%,0,IF(E15&lt;=60%,10,20))+IF(F15=0,0,IF(F15=1,10,25))+IF(G15&gt;=5,0,IF(G15&gt;=2,5,10))+IF(H15/B15&lt;=25%,0,IF(H15/B15&lt;=50%,10,20))+IF(I15=36,0,IF(I15=48,3,6))</f>
        <v/>
      </c>
      <c r="L15" s="2">
        <f>850-K15*3.5</f>
        <v/>
      </c>
      <c r="M15" s="9">
        <f>1/(1+EXP(-(-4.2+0.055*K15)))</f>
        <v/>
      </c>
      <c r="N15" s="2">
        <f>IF(K15&lt;20,"A",IF(K15&lt;40,"B",IF(K15&lt;60,"C",IF(K15&lt;80,"D","E"))))</f>
        <v/>
      </c>
      <c r="O15" s="2">
        <f>IF(OR(N15="D",N15="E"),"Enhanced Review",IF(N15="C","Conditional","Approve"))</f>
        <v/>
      </c>
      <c r="P15" s="8">
        <f>H15*M15*45%</f>
        <v/>
      </c>
      <c r="Q15" s="9">
        <f>H15/B15</f>
        <v/>
      </c>
    </row>
    <row r="16">
      <c r="A16" s="11" t="inlineStr">
        <is>
          <t>B0012</t>
        </is>
      </c>
      <c r="B16" s="12" t="n">
        <v>33856</v>
      </c>
      <c r="C16" s="13" t="n">
        <v>0.4635034400405431</v>
      </c>
      <c r="D16" s="11" t="n">
        <v>686</v>
      </c>
      <c r="E16" s="13" t="n">
        <v>0.9099912377102115</v>
      </c>
      <c r="F16" s="11" t="n">
        <v>1</v>
      </c>
      <c r="G16" s="11" t="n">
        <v>8.6</v>
      </c>
      <c r="H16" s="12" t="n">
        <v>15722</v>
      </c>
      <c r="I16" s="11" t="n">
        <v>60</v>
      </c>
      <c r="J16" s="11" t="n">
        <v>0</v>
      </c>
      <c r="K16" s="2">
        <f>IF(D16&gt;=740,0,IF(D16&gt;=670,15,30))+IF(C16&lt;=25%,0,IF(C16&lt;=40%,15,30))+IF(E16&lt;=30%,0,IF(E16&lt;=60%,10,20))+IF(F16=0,0,IF(F16=1,10,25))+IF(G16&gt;=5,0,IF(G16&gt;=2,5,10))+IF(H16/B16&lt;=25%,0,IF(H16/B16&lt;=50%,10,20))+IF(I16=36,0,IF(I16=48,3,6))</f>
        <v/>
      </c>
      <c r="L16" s="2">
        <f>850-K16*3.5</f>
        <v/>
      </c>
      <c r="M16" s="9">
        <f>1/(1+EXP(-(-4.2+0.055*K16)))</f>
        <v/>
      </c>
      <c r="N16" s="2">
        <f>IF(K16&lt;20,"A",IF(K16&lt;40,"B",IF(K16&lt;60,"C",IF(K16&lt;80,"D","E"))))</f>
        <v/>
      </c>
      <c r="O16" s="2">
        <f>IF(OR(N16="D",N16="E"),"Enhanced Review",IF(N16="C","Conditional","Approve"))</f>
        <v/>
      </c>
      <c r="P16" s="8">
        <f>H16*M16*45%</f>
        <v/>
      </c>
      <c r="Q16" s="9">
        <f>H16/B16</f>
        <v/>
      </c>
    </row>
    <row r="17">
      <c r="A17" s="11" t="inlineStr">
        <is>
          <t>B0013</t>
        </is>
      </c>
      <c r="B17" s="12" t="n">
        <v>92650</v>
      </c>
      <c r="C17" s="13" t="n">
        <v>0.380826913446095</v>
      </c>
      <c r="D17" s="11" t="n">
        <v>595</v>
      </c>
      <c r="E17" s="13" t="n">
        <v>0.1472132481512929</v>
      </c>
      <c r="F17" s="11" t="n">
        <v>0</v>
      </c>
      <c r="G17" s="11" t="n">
        <v>19.4</v>
      </c>
      <c r="H17" s="12" t="n">
        <v>38607</v>
      </c>
      <c r="I17" s="11" t="n">
        <v>36</v>
      </c>
      <c r="J17" s="11" t="n">
        <v>0</v>
      </c>
      <c r="K17" s="2">
        <f>IF(D17&gt;=740,0,IF(D17&gt;=670,15,30))+IF(C17&lt;=25%,0,IF(C17&lt;=40%,15,30))+IF(E17&lt;=30%,0,IF(E17&lt;=60%,10,20))+IF(F17=0,0,IF(F17=1,10,25))+IF(G17&gt;=5,0,IF(G17&gt;=2,5,10))+IF(H17/B17&lt;=25%,0,IF(H17/B17&lt;=50%,10,20))+IF(I17=36,0,IF(I17=48,3,6))</f>
        <v/>
      </c>
      <c r="L17" s="2">
        <f>850-K17*3.5</f>
        <v/>
      </c>
      <c r="M17" s="9">
        <f>1/(1+EXP(-(-4.2+0.055*K17)))</f>
        <v/>
      </c>
      <c r="N17" s="2">
        <f>IF(K17&lt;20,"A",IF(K17&lt;40,"B",IF(K17&lt;60,"C",IF(K17&lt;80,"D","E"))))</f>
        <v/>
      </c>
      <c r="O17" s="2">
        <f>IF(OR(N17="D",N17="E"),"Enhanced Review",IF(N17="C","Conditional","Approve"))</f>
        <v/>
      </c>
      <c r="P17" s="8">
        <f>H17*M17*45%</f>
        <v/>
      </c>
      <c r="Q17" s="9">
        <f>H17/B17</f>
        <v/>
      </c>
    </row>
    <row r="18">
      <c r="A18" s="11" t="inlineStr">
        <is>
          <t>B0014</t>
        </is>
      </c>
      <c r="B18" s="12" t="n">
        <v>69896</v>
      </c>
      <c r="C18" s="13" t="n">
        <v>0.3579932823751616</v>
      </c>
      <c r="D18" s="11" t="n">
        <v>711</v>
      </c>
      <c r="E18" s="13" t="n">
        <v>0.2160880096944613</v>
      </c>
      <c r="F18" s="11" t="n">
        <v>0</v>
      </c>
      <c r="G18" s="11" t="n">
        <v>2.5</v>
      </c>
      <c r="H18" s="12" t="n">
        <v>30706</v>
      </c>
      <c r="I18" s="11" t="n">
        <v>60</v>
      </c>
      <c r="J18" s="11" t="n">
        <v>0</v>
      </c>
      <c r="K18" s="2">
        <f>IF(D18&gt;=740,0,IF(D18&gt;=670,15,30))+IF(C18&lt;=25%,0,IF(C18&lt;=40%,15,30))+IF(E18&lt;=30%,0,IF(E18&lt;=60%,10,20))+IF(F18=0,0,IF(F18=1,10,25))+IF(G18&gt;=5,0,IF(G18&gt;=2,5,10))+IF(H18/B18&lt;=25%,0,IF(H18/B18&lt;=50%,10,20))+IF(I18=36,0,IF(I18=48,3,6))</f>
        <v/>
      </c>
      <c r="L18" s="2">
        <f>850-K18*3.5</f>
        <v/>
      </c>
      <c r="M18" s="9">
        <f>1/(1+EXP(-(-4.2+0.055*K18)))</f>
        <v/>
      </c>
      <c r="N18" s="2">
        <f>IF(K18&lt;20,"A",IF(K18&lt;40,"B",IF(K18&lt;60,"C",IF(K18&lt;80,"D","E"))))</f>
        <v/>
      </c>
      <c r="O18" s="2">
        <f>IF(OR(N18="D",N18="E"),"Enhanced Review",IF(N18="C","Conditional","Approve"))</f>
        <v/>
      </c>
      <c r="P18" s="8">
        <f>H18*M18*45%</f>
        <v/>
      </c>
      <c r="Q18" s="9">
        <f>H18/B18</f>
        <v/>
      </c>
    </row>
    <row r="19">
      <c r="A19" s="11" t="inlineStr">
        <is>
          <t>B0015</t>
        </is>
      </c>
      <c r="B19" s="12" t="n">
        <v>91082</v>
      </c>
      <c r="C19" s="13" t="n">
        <v>0.33532090515524</v>
      </c>
      <c r="D19" s="11" t="n">
        <v>697</v>
      </c>
      <c r="E19" s="13" t="n">
        <v>0.6432334039726257</v>
      </c>
      <c r="F19" s="11" t="n">
        <v>0</v>
      </c>
      <c r="G19" s="11" t="n">
        <v>8.6</v>
      </c>
      <c r="H19" s="12" t="n">
        <v>7877</v>
      </c>
      <c r="I19" s="11" t="n">
        <v>60</v>
      </c>
      <c r="J19" s="11" t="n">
        <v>0</v>
      </c>
      <c r="K19" s="2">
        <f>IF(D19&gt;=740,0,IF(D19&gt;=670,15,30))+IF(C19&lt;=25%,0,IF(C19&lt;=40%,15,30))+IF(E19&lt;=30%,0,IF(E19&lt;=60%,10,20))+IF(F19=0,0,IF(F19=1,10,25))+IF(G19&gt;=5,0,IF(G19&gt;=2,5,10))+IF(H19/B19&lt;=25%,0,IF(H19/B19&lt;=50%,10,20))+IF(I19=36,0,IF(I19=48,3,6))</f>
        <v/>
      </c>
      <c r="L19" s="2">
        <f>850-K19*3.5</f>
        <v/>
      </c>
      <c r="M19" s="9">
        <f>1/(1+EXP(-(-4.2+0.055*K19)))</f>
        <v/>
      </c>
      <c r="N19" s="2">
        <f>IF(K19&lt;20,"A",IF(K19&lt;40,"B",IF(K19&lt;60,"C",IF(K19&lt;80,"D","E"))))</f>
        <v/>
      </c>
      <c r="O19" s="2">
        <f>IF(OR(N19="D",N19="E"),"Enhanced Review",IF(N19="C","Conditional","Approve"))</f>
        <v/>
      </c>
      <c r="P19" s="8">
        <f>H19*M19*45%</f>
        <v/>
      </c>
      <c r="Q19" s="9">
        <f>H19/B19</f>
        <v/>
      </c>
    </row>
    <row r="20">
      <c r="A20" s="11" t="inlineStr">
        <is>
          <t>B0016</t>
        </is>
      </c>
      <c r="B20" s="12" t="n">
        <v>42981</v>
      </c>
      <c r="C20" s="13" t="n">
        <v>0.2869335880523421</v>
      </c>
      <c r="D20" s="11" t="n">
        <v>769</v>
      </c>
      <c r="E20" s="13" t="n">
        <v>0.5519650101171644</v>
      </c>
      <c r="F20" s="11" t="n">
        <v>0</v>
      </c>
      <c r="G20" s="11" t="n">
        <v>9.300000000000001</v>
      </c>
      <c r="H20" s="12" t="n">
        <v>20312</v>
      </c>
      <c r="I20" s="11" t="n">
        <v>36</v>
      </c>
      <c r="J20" s="11" t="n">
        <v>0</v>
      </c>
      <c r="K20" s="2">
        <f>IF(D20&gt;=740,0,IF(D20&gt;=670,15,30))+IF(C20&lt;=25%,0,IF(C20&lt;=40%,15,30))+IF(E20&lt;=30%,0,IF(E20&lt;=60%,10,20))+IF(F20=0,0,IF(F20=1,10,25))+IF(G20&gt;=5,0,IF(G20&gt;=2,5,10))+IF(H20/B20&lt;=25%,0,IF(H20/B20&lt;=50%,10,20))+IF(I20=36,0,IF(I20=48,3,6))</f>
        <v/>
      </c>
      <c r="L20" s="2">
        <f>850-K20*3.5</f>
        <v/>
      </c>
      <c r="M20" s="9">
        <f>1/(1+EXP(-(-4.2+0.055*K20)))</f>
        <v/>
      </c>
      <c r="N20" s="2">
        <f>IF(K20&lt;20,"A",IF(K20&lt;40,"B",IF(K20&lt;60,"C",IF(K20&lt;80,"D","E"))))</f>
        <v/>
      </c>
      <c r="O20" s="2">
        <f>IF(OR(N20="D",N20="E"),"Enhanced Review",IF(N20="C","Conditional","Approve"))</f>
        <v/>
      </c>
      <c r="P20" s="8">
        <f>H20*M20*45%</f>
        <v/>
      </c>
      <c r="Q20" s="9">
        <f>H20/B20</f>
        <v/>
      </c>
    </row>
    <row r="21">
      <c r="A21" s="11" t="inlineStr">
        <is>
          <t>B0017</t>
        </is>
      </c>
      <c r="B21" s="12" t="n">
        <v>105204</v>
      </c>
      <c r="C21" s="13" t="n">
        <v>0.237572726138099</v>
      </c>
      <c r="D21" s="11" t="n">
        <v>728</v>
      </c>
      <c r="E21" s="13" t="n">
        <v>0.4526153049852917</v>
      </c>
      <c r="F21" s="11" t="n">
        <v>1</v>
      </c>
      <c r="G21" s="11" t="n">
        <v>7.8</v>
      </c>
      <c r="H21" s="12" t="n">
        <v>26199</v>
      </c>
      <c r="I21" s="11" t="n">
        <v>36</v>
      </c>
      <c r="J21" s="11" t="n">
        <v>0</v>
      </c>
      <c r="K21" s="2">
        <f>IF(D21&gt;=740,0,IF(D21&gt;=670,15,30))+IF(C21&lt;=25%,0,IF(C21&lt;=40%,15,30))+IF(E21&lt;=30%,0,IF(E21&lt;=60%,10,20))+IF(F21=0,0,IF(F21=1,10,25))+IF(G21&gt;=5,0,IF(G21&gt;=2,5,10))+IF(H21/B21&lt;=25%,0,IF(H21/B21&lt;=50%,10,20))+IF(I21=36,0,IF(I21=48,3,6))</f>
        <v/>
      </c>
      <c r="L21" s="2">
        <f>850-K21*3.5</f>
        <v/>
      </c>
      <c r="M21" s="9">
        <f>1/(1+EXP(-(-4.2+0.055*K21)))</f>
        <v/>
      </c>
      <c r="N21" s="2">
        <f>IF(K21&lt;20,"A",IF(K21&lt;40,"B",IF(K21&lt;60,"C",IF(K21&lt;80,"D","E"))))</f>
        <v/>
      </c>
      <c r="O21" s="2">
        <f>IF(OR(N21="D",N21="E"),"Enhanced Review",IF(N21="C","Conditional","Approve"))</f>
        <v/>
      </c>
      <c r="P21" s="8">
        <f>H21*M21*45%</f>
        <v/>
      </c>
      <c r="Q21" s="9">
        <f>H21/B21</f>
        <v/>
      </c>
    </row>
    <row r="22">
      <c r="A22" s="11" t="inlineStr">
        <is>
          <t>B0018</t>
        </is>
      </c>
      <c r="B22" s="12" t="n">
        <v>64552</v>
      </c>
      <c r="C22" s="13" t="n">
        <v>0.08493069566055483</v>
      </c>
      <c r="D22" s="11" t="n">
        <v>726</v>
      </c>
      <c r="E22" s="13" t="n">
        <v>0.5907835132950863</v>
      </c>
      <c r="F22" s="11" t="n">
        <v>0</v>
      </c>
      <c r="G22" s="11" t="n">
        <v>21.6</v>
      </c>
      <c r="H22" s="12" t="n">
        <v>22926</v>
      </c>
      <c r="I22" s="11" t="n">
        <v>48</v>
      </c>
      <c r="J22" s="11" t="n">
        <v>0</v>
      </c>
      <c r="K22" s="2">
        <f>IF(D22&gt;=740,0,IF(D22&gt;=670,15,30))+IF(C22&lt;=25%,0,IF(C22&lt;=40%,15,30))+IF(E22&lt;=30%,0,IF(E22&lt;=60%,10,20))+IF(F22=0,0,IF(F22=1,10,25))+IF(G22&gt;=5,0,IF(G22&gt;=2,5,10))+IF(H22/B22&lt;=25%,0,IF(H22/B22&lt;=50%,10,20))+IF(I22=36,0,IF(I22=48,3,6))</f>
        <v/>
      </c>
      <c r="L22" s="2">
        <f>850-K22*3.5</f>
        <v/>
      </c>
      <c r="M22" s="9">
        <f>1/(1+EXP(-(-4.2+0.055*K22)))</f>
        <v/>
      </c>
      <c r="N22" s="2">
        <f>IF(K22&lt;20,"A",IF(K22&lt;40,"B",IF(K22&lt;60,"C",IF(K22&lt;80,"D","E"))))</f>
        <v/>
      </c>
      <c r="O22" s="2">
        <f>IF(OR(N22="D",N22="E"),"Enhanced Review",IF(N22="C","Conditional","Approve"))</f>
        <v/>
      </c>
      <c r="P22" s="8">
        <f>H22*M22*45%</f>
        <v/>
      </c>
      <c r="Q22" s="9">
        <f>H22/B22</f>
        <v/>
      </c>
    </row>
    <row r="23">
      <c r="A23" s="11" t="inlineStr">
        <is>
          <t>B0019</t>
        </is>
      </c>
      <c r="B23" s="12" t="n">
        <v>79490</v>
      </c>
      <c r="C23" s="13" t="n">
        <v>0.07214651864401984</v>
      </c>
      <c r="D23" s="11" t="n">
        <v>795</v>
      </c>
      <c r="E23" s="13" t="n">
        <v>0.6774362934060367</v>
      </c>
      <c r="F23" s="11" t="n">
        <v>0</v>
      </c>
      <c r="G23" s="11" t="n">
        <v>4.5</v>
      </c>
      <c r="H23" s="12" t="n">
        <v>18197</v>
      </c>
      <c r="I23" s="11" t="n">
        <v>36</v>
      </c>
      <c r="J23" s="11" t="n">
        <v>0</v>
      </c>
      <c r="K23" s="2">
        <f>IF(D23&gt;=740,0,IF(D23&gt;=670,15,30))+IF(C23&lt;=25%,0,IF(C23&lt;=40%,15,30))+IF(E23&lt;=30%,0,IF(E23&lt;=60%,10,20))+IF(F23=0,0,IF(F23=1,10,25))+IF(G23&gt;=5,0,IF(G23&gt;=2,5,10))+IF(H23/B23&lt;=25%,0,IF(H23/B23&lt;=50%,10,20))+IF(I23=36,0,IF(I23=48,3,6))</f>
        <v/>
      </c>
      <c r="L23" s="2">
        <f>850-K23*3.5</f>
        <v/>
      </c>
      <c r="M23" s="9">
        <f>1/(1+EXP(-(-4.2+0.055*K23)))</f>
        <v/>
      </c>
      <c r="N23" s="2">
        <f>IF(K23&lt;20,"A",IF(K23&lt;40,"B",IF(K23&lt;60,"C",IF(K23&lt;80,"D","E"))))</f>
        <v/>
      </c>
      <c r="O23" s="2">
        <f>IF(OR(N23="D",N23="E"),"Enhanced Review",IF(N23="C","Conditional","Approve"))</f>
        <v/>
      </c>
      <c r="P23" s="8">
        <f>H23*M23*45%</f>
        <v/>
      </c>
      <c r="Q23" s="9">
        <f>H23/B23</f>
        <v/>
      </c>
    </row>
    <row r="24">
      <c r="A24" s="11" t="inlineStr">
        <is>
          <t>B0020</t>
        </is>
      </c>
      <c r="B24" s="12" t="n">
        <v>59502</v>
      </c>
      <c r="C24" s="13" t="n">
        <v>0.2836239965179413</v>
      </c>
      <c r="D24" s="11" t="n">
        <v>691</v>
      </c>
      <c r="E24" s="13" t="n">
        <v>0.4412378586376251</v>
      </c>
      <c r="F24" s="11" t="n">
        <v>0</v>
      </c>
      <c r="G24" s="11" t="n">
        <v>8.699999999999999</v>
      </c>
      <c r="H24" s="12" t="n">
        <v>40642</v>
      </c>
      <c r="I24" s="11" t="n">
        <v>60</v>
      </c>
      <c r="J24" s="11" t="n">
        <v>0</v>
      </c>
      <c r="K24" s="2">
        <f>IF(D24&gt;=740,0,IF(D24&gt;=670,15,30))+IF(C24&lt;=25%,0,IF(C24&lt;=40%,15,30))+IF(E24&lt;=30%,0,IF(E24&lt;=60%,10,20))+IF(F24=0,0,IF(F24=1,10,25))+IF(G24&gt;=5,0,IF(G24&gt;=2,5,10))+IF(H24/B24&lt;=25%,0,IF(H24/B24&lt;=50%,10,20))+IF(I24=36,0,IF(I24=48,3,6))</f>
        <v/>
      </c>
      <c r="L24" s="2">
        <f>850-K24*3.5</f>
        <v/>
      </c>
      <c r="M24" s="9">
        <f>1/(1+EXP(-(-4.2+0.055*K24)))</f>
        <v/>
      </c>
      <c r="N24" s="2">
        <f>IF(K24&lt;20,"A",IF(K24&lt;40,"B",IF(K24&lt;60,"C",IF(K24&lt;80,"D","E"))))</f>
        <v/>
      </c>
      <c r="O24" s="2">
        <f>IF(OR(N24="D",N24="E"),"Enhanced Review",IF(N24="C","Conditional","Approve"))</f>
        <v/>
      </c>
      <c r="P24" s="8">
        <f>H24*M24*45%</f>
        <v/>
      </c>
      <c r="Q24" s="9">
        <f>H24/B24</f>
        <v/>
      </c>
    </row>
    <row r="25">
      <c r="A25" s="11" t="inlineStr">
        <is>
          <t>B0021</t>
        </is>
      </c>
      <c r="B25" s="12" t="n">
        <v>77363</v>
      </c>
      <c r="C25" s="13" t="n">
        <v>0.3898199397051137</v>
      </c>
      <c r="D25" s="11" t="n">
        <v>611</v>
      </c>
      <c r="E25" s="13" t="n">
        <v>0.5899921244282719</v>
      </c>
      <c r="F25" s="11" t="n">
        <v>1</v>
      </c>
      <c r="G25" s="11" t="n">
        <v>5.7</v>
      </c>
      <c r="H25" s="12" t="n">
        <v>14978</v>
      </c>
      <c r="I25" s="11" t="n">
        <v>36</v>
      </c>
      <c r="J25" s="11" t="n">
        <v>0</v>
      </c>
      <c r="K25" s="2">
        <f>IF(D25&gt;=740,0,IF(D25&gt;=670,15,30))+IF(C25&lt;=25%,0,IF(C25&lt;=40%,15,30))+IF(E25&lt;=30%,0,IF(E25&lt;=60%,10,20))+IF(F25=0,0,IF(F25=1,10,25))+IF(G25&gt;=5,0,IF(G25&gt;=2,5,10))+IF(H25/B25&lt;=25%,0,IF(H25/B25&lt;=50%,10,20))+IF(I25=36,0,IF(I25=48,3,6))</f>
        <v/>
      </c>
      <c r="L25" s="2">
        <f>850-K25*3.5</f>
        <v/>
      </c>
      <c r="M25" s="9">
        <f>1/(1+EXP(-(-4.2+0.055*K25)))</f>
        <v/>
      </c>
      <c r="N25" s="2">
        <f>IF(K25&lt;20,"A",IF(K25&lt;40,"B",IF(K25&lt;60,"C",IF(K25&lt;80,"D","E"))))</f>
        <v/>
      </c>
      <c r="O25" s="2">
        <f>IF(OR(N25="D",N25="E"),"Enhanced Review",IF(N25="C","Conditional","Approve"))</f>
        <v/>
      </c>
      <c r="P25" s="8">
        <f>H25*M25*45%</f>
        <v/>
      </c>
      <c r="Q25" s="9">
        <f>H25/B25</f>
        <v/>
      </c>
    </row>
    <row r="26">
      <c r="A26" s="11" t="inlineStr">
        <is>
          <t>B0022</t>
        </is>
      </c>
      <c r="B26" s="12" t="n">
        <v>76163</v>
      </c>
      <c r="C26" s="13" t="n">
        <v>0.3791861203025761</v>
      </c>
      <c r="D26" s="11" t="n">
        <v>690</v>
      </c>
      <c r="E26" s="13" t="n">
        <v>0.591182758729961</v>
      </c>
      <c r="F26" s="11" t="n">
        <v>0</v>
      </c>
      <c r="G26" s="11" t="n">
        <v>7.2</v>
      </c>
      <c r="H26" s="12" t="n">
        <v>18296</v>
      </c>
      <c r="I26" s="11" t="n">
        <v>36</v>
      </c>
      <c r="J26" s="11" t="n">
        <v>1</v>
      </c>
      <c r="K26" s="2">
        <f>IF(D26&gt;=740,0,IF(D26&gt;=670,15,30))+IF(C26&lt;=25%,0,IF(C26&lt;=40%,15,30))+IF(E26&lt;=30%,0,IF(E26&lt;=60%,10,20))+IF(F26=0,0,IF(F26=1,10,25))+IF(G26&gt;=5,0,IF(G26&gt;=2,5,10))+IF(H26/B26&lt;=25%,0,IF(H26/B26&lt;=50%,10,20))+IF(I26=36,0,IF(I26=48,3,6))</f>
        <v/>
      </c>
      <c r="L26" s="2">
        <f>850-K26*3.5</f>
        <v/>
      </c>
      <c r="M26" s="9">
        <f>1/(1+EXP(-(-4.2+0.055*K26)))</f>
        <v/>
      </c>
      <c r="N26" s="2">
        <f>IF(K26&lt;20,"A",IF(K26&lt;40,"B",IF(K26&lt;60,"C",IF(K26&lt;80,"D","E"))))</f>
        <v/>
      </c>
      <c r="O26" s="2">
        <f>IF(OR(N26="D",N26="E"),"Enhanced Review",IF(N26="C","Conditional","Approve"))</f>
        <v/>
      </c>
      <c r="P26" s="8">
        <f>H26*M26*45%</f>
        <v/>
      </c>
      <c r="Q26" s="9">
        <f>H26/B26</f>
        <v/>
      </c>
    </row>
    <row r="27">
      <c r="A27" s="11" t="inlineStr">
        <is>
          <t>B0023</t>
        </is>
      </c>
      <c r="B27" s="12" t="n">
        <v>56551</v>
      </c>
      <c r="C27" s="13" t="n">
        <v>0.2327915466637397</v>
      </c>
      <c r="D27" s="11" t="n">
        <v>710</v>
      </c>
      <c r="E27" s="13" t="n">
        <v>0.04698179261486884</v>
      </c>
      <c r="F27" s="11" t="n">
        <v>1</v>
      </c>
      <c r="G27" s="11" t="n">
        <v>16.3</v>
      </c>
      <c r="H27" s="12" t="n">
        <v>74208</v>
      </c>
      <c r="I27" s="11" t="n">
        <v>36</v>
      </c>
      <c r="J27" s="11" t="n">
        <v>0</v>
      </c>
      <c r="K27" s="2">
        <f>IF(D27&gt;=740,0,IF(D27&gt;=670,15,30))+IF(C27&lt;=25%,0,IF(C27&lt;=40%,15,30))+IF(E27&lt;=30%,0,IF(E27&lt;=60%,10,20))+IF(F27=0,0,IF(F27=1,10,25))+IF(G27&gt;=5,0,IF(G27&gt;=2,5,10))+IF(H27/B27&lt;=25%,0,IF(H27/B27&lt;=50%,10,20))+IF(I27=36,0,IF(I27=48,3,6))</f>
        <v/>
      </c>
      <c r="L27" s="2">
        <f>850-K27*3.5</f>
        <v/>
      </c>
      <c r="M27" s="9">
        <f>1/(1+EXP(-(-4.2+0.055*K27)))</f>
        <v/>
      </c>
      <c r="N27" s="2">
        <f>IF(K27&lt;20,"A",IF(K27&lt;40,"B",IF(K27&lt;60,"C",IF(K27&lt;80,"D","E"))))</f>
        <v/>
      </c>
      <c r="O27" s="2">
        <f>IF(OR(N27="D",N27="E"),"Enhanced Review",IF(N27="C","Conditional","Approve"))</f>
        <v/>
      </c>
      <c r="P27" s="8">
        <f>H27*M27*45%</f>
        <v/>
      </c>
      <c r="Q27" s="9">
        <f>H27/B27</f>
        <v/>
      </c>
    </row>
    <row r="28">
      <c r="A28" s="11" t="inlineStr">
        <is>
          <t>B0024</t>
        </is>
      </c>
      <c r="B28" s="12" t="n">
        <v>50927</v>
      </c>
      <c r="C28" s="13" t="n">
        <v>0.2781099266400072</v>
      </c>
      <c r="D28" s="11" t="n">
        <v>716</v>
      </c>
      <c r="E28" s="13" t="n">
        <v>0.8067114514987178</v>
      </c>
      <c r="F28" s="11" t="n">
        <v>0</v>
      </c>
      <c r="G28" s="11" t="n">
        <v>4.7</v>
      </c>
      <c r="H28" s="12" t="n">
        <v>21785</v>
      </c>
      <c r="I28" s="11" t="n">
        <v>60</v>
      </c>
      <c r="J28" s="11" t="n">
        <v>0</v>
      </c>
      <c r="K28" s="2">
        <f>IF(D28&gt;=740,0,IF(D28&gt;=670,15,30))+IF(C28&lt;=25%,0,IF(C28&lt;=40%,15,30))+IF(E28&lt;=30%,0,IF(E28&lt;=60%,10,20))+IF(F28=0,0,IF(F28=1,10,25))+IF(G28&gt;=5,0,IF(G28&gt;=2,5,10))+IF(H28/B28&lt;=25%,0,IF(H28/B28&lt;=50%,10,20))+IF(I28=36,0,IF(I28=48,3,6))</f>
        <v/>
      </c>
      <c r="L28" s="2">
        <f>850-K28*3.5</f>
        <v/>
      </c>
      <c r="M28" s="9">
        <f>1/(1+EXP(-(-4.2+0.055*K28)))</f>
        <v/>
      </c>
      <c r="N28" s="2">
        <f>IF(K28&lt;20,"A",IF(K28&lt;40,"B",IF(K28&lt;60,"C",IF(K28&lt;80,"D","E"))))</f>
        <v/>
      </c>
      <c r="O28" s="2">
        <f>IF(OR(N28="D",N28="E"),"Enhanced Review",IF(N28="C","Conditional","Approve"))</f>
        <v/>
      </c>
      <c r="P28" s="8">
        <f>H28*M28*45%</f>
        <v/>
      </c>
      <c r="Q28" s="9">
        <f>H28/B28</f>
        <v/>
      </c>
    </row>
    <row r="29">
      <c r="A29" s="11" t="inlineStr">
        <is>
          <t>B0025</t>
        </is>
      </c>
      <c r="B29" s="12" t="n">
        <v>101678</v>
      </c>
      <c r="C29" s="13" t="n">
        <v>0.3148331342342347</v>
      </c>
      <c r="D29" s="11" t="n">
        <v>830</v>
      </c>
      <c r="E29" s="13" t="n">
        <v>0.3716539079738458</v>
      </c>
      <c r="F29" s="11" t="n">
        <v>0</v>
      </c>
      <c r="G29" s="11" t="n">
        <v>6.6</v>
      </c>
      <c r="H29" s="12" t="n">
        <v>45062</v>
      </c>
      <c r="I29" s="11" t="n">
        <v>36</v>
      </c>
      <c r="J29" s="11" t="n">
        <v>0</v>
      </c>
      <c r="K29" s="2">
        <f>IF(D29&gt;=740,0,IF(D29&gt;=670,15,30))+IF(C29&lt;=25%,0,IF(C29&lt;=40%,15,30))+IF(E29&lt;=30%,0,IF(E29&lt;=60%,10,20))+IF(F29=0,0,IF(F29=1,10,25))+IF(G29&gt;=5,0,IF(G29&gt;=2,5,10))+IF(H29/B29&lt;=25%,0,IF(H29/B29&lt;=50%,10,20))+IF(I29=36,0,IF(I29=48,3,6))</f>
        <v/>
      </c>
      <c r="L29" s="2">
        <f>850-K29*3.5</f>
        <v/>
      </c>
      <c r="M29" s="9">
        <f>1/(1+EXP(-(-4.2+0.055*K29)))</f>
        <v/>
      </c>
      <c r="N29" s="2">
        <f>IF(K29&lt;20,"A",IF(K29&lt;40,"B",IF(K29&lt;60,"C",IF(K29&lt;80,"D","E"))))</f>
        <v/>
      </c>
      <c r="O29" s="2">
        <f>IF(OR(N29="D",N29="E"),"Enhanced Review",IF(N29="C","Conditional","Approve"))</f>
        <v/>
      </c>
      <c r="P29" s="8">
        <f>H29*M29*45%</f>
        <v/>
      </c>
      <c r="Q29" s="9">
        <f>H29/B29</f>
        <v/>
      </c>
    </row>
    <row r="30">
      <c r="A30" s="11" t="inlineStr">
        <is>
          <t>B0026</t>
        </is>
      </c>
      <c r="B30" s="12" t="n">
        <v>134696</v>
      </c>
      <c r="C30" s="13" t="n">
        <v>0.4550868383959422</v>
      </c>
      <c r="D30" s="11" t="n">
        <v>729</v>
      </c>
      <c r="E30" s="13" t="n">
        <v>0.5304734137468718</v>
      </c>
      <c r="F30" s="11" t="n">
        <v>1</v>
      </c>
      <c r="G30" s="11" t="n">
        <v>6.9</v>
      </c>
      <c r="H30" s="12" t="n">
        <v>13427</v>
      </c>
      <c r="I30" s="11" t="n">
        <v>36</v>
      </c>
      <c r="J30" s="11" t="n">
        <v>0</v>
      </c>
      <c r="K30" s="2">
        <f>IF(D30&gt;=740,0,IF(D30&gt;=670,15,30))+IF(C30&lt;=25%,0,IF(C30&lt;=40%,15,30))+IF(E30&lt;=30%,0,IF(E30&lt;=60%,10,20))+IF(F30=0,0,IF(F30=1,10,25))+IF(G30&gt;=5,0,IF(G30&gt;=2,5,10))+IF(H30/B30&lt;=25%,0,IF(H30/B30&lt;=50%,10,20))+IF(I30=36,0,IF(I30=48,3,6))</f>
        <v/>
      </c>
      <c r="L30" s="2">
        <f>850-K30*3.5</f>
        <v/>
      </c>
      <c r="M30" s="9">
        <f>1/(1+EXP(-(-4.2+0.055*K30)))</f>
        <v/>
      </c>
      <c r="N30" s="2">
        <f>IF(K30&lt;20,"A",IF(K30&lt;40,"B",IF(K30&lt;60,"C",IF(K30&lt;80,"D","E"))))</f>
        <v/>
      </c>
      <c r="O30" s="2">
        <f>IF(OR(N30="D",N30="E"),"Enhanced Review",IF(N30="C","Conditional","Approve"))</f>
        <v/>
      </c>
      <c r="P30" s="8">
        <f>H30*M30*45%</f>
        <v/>
      </c>
      <c r="Q30" s="9">
        <f>H30/B30</f>
        <v/>
      </c>
    </row>
    <row r="31">
      <c r="A31" s="11" t="inlineStr">
        <is>
          <t>B0027</t>
        </is>
      </c>
      <c r="B31" s="12" t="n">
        <v>84110</v>
      </c>
      <c r="C31" s="13" t="n">
        <v>0.3716696294536955</v>
      </c>
      <c r="D31" s="11" t="n">
        <v>659</v>
      </c>
      <c r="E31" s="13" t="n">
        <v>0.318778006327854</v>
      </c>
      <c r="F31" s="11" t="n">
        <v>0</v>
      </c>
      <c r="G31" s="11" t="n">
        <v>6.8</v>
      </c>
      <c r="H31" s="12" t="n">
        <v>21578</v>
      </c>
      <c r="I31" s="11" t="n">
        <v>60</v>
      </c>
      <c r="J31" s="11" t="n">
        <v>1</v>
      </c>
      <c r="K31" s="2">
        <f>IF(D31&gt;=740,0,IF(D31&gt;=670,15,30))+IF(C31&lt;=25%,0,IF(C31&lt;=40%,15,30))+IF(E31&lt;=30%,0,IF(E31&lt;=60%,10,20))+IF(F31=0,0,IF(F31=1,10,25))+IF(G31&gt;=5,0,IF(G31&gt;=2,5,10))+IF(H31/B31&lt;=25%,0,IF(H31/B31&lt;=50%,10,20))+IF(I31=36,0,IF(I31=48,3,6))</f>
        <v/>
      </c>
      <c r="L31" s="2">
        <f>850-K31*3.5</f>
        <v/>
      </c>
      <c r="M31" s="9">
        <f>1/(1+EXP(-(-4.2+0.055*K31)))</f>
        <v/>
      </c>
      <c r="N31" s="2">
        <f>IF(K31&lt;20,"A",IF(K31&lt;40,"B",IF(K31&lt;60,"C",IF(K31&lt;80,"D","E"))))</f>
        <v/>
      </c>
      <c r="O31" s="2">
        <f>IF(OR(N31="D",N31="E"),"Enhanced Review",IF(N31="C","Conditional","Approve"))</f>
        <v/>
      </c>
      <c r="P31" s="8">
        <f>H31*M31*45%</f>
        <v/>
      </c>
      <c r="Q31" s="9">
        <f>H31/B31</f>
        <v/>
      </c>
    </row>
    <row r="32">
      <c r="A32" s="11" t="inlineStr">
        <is>
          <t>B0028</t>
        </is>
      </c>
      <c r="B32" s="12" t="n">
        <v>65331</v>
      </c>
      <c r="C32" s="13" t="n">
        <v>0.2712675921834551</v>
      </c>
      <c r="D32" s="11" t="n">
        <v>658</v>
      </c>
      <c r="E32" s="13" t="n">
        <v>0.7682524756582571</v>
      </c>
      <c r="F32" s="11" t="n">
        <v>1</v>
      </c>
      <c r="G32" s="11" t="n">
        <v>3.6</v>
      </c>
      <c r="H32" s="12" t="n">
        <v>15064</v>
      </c>
      <c r="I32" s="11" t="n">
        <v>36</v>
      </c>
      <c r="J32" s="11" t="n">
        <v>1</v>
      </c>
      <c r="K32" s="2">
        <f>IF(D32&gt;=740,0,IF(D32&gt;=670,15,30))+IF(C32&lt;=25%,0,IF(C32&lt;=40%,15,30))+IF(E32&lt;=30%,0,IF(E32&lt;=60%,10,20))+IF(F32=0,0,IF(F32=1,10,25))+IF(G32&gt;=5,0,IF(G32&gt;=2,5,10))+IF(H32/B32&lt;=25%,0,IF(H32/B32&lt;=50%,10,20))+IF(I32=36,0,IF(I32=48,3,6))</f>
        <v/>
      </c>
      <c r="L32" s="2">
        <f>850-K32*3.5</f>
        <v/>
      </c>
      <c r="M32" s="9">
        <f>1/(1+EXP(-(-4.2+0.055*K32)))</f>
        <v/>
      </c>
      <c r="N32" s="2">
        <f>IF(K32&lt;20,"A",IF(K32&lt;40,"B",IF(K32&lt;60,"C",IF(K32&lt;80,"D","E"))))</f>
        <v/>
      </c>
      <c r="O32" s="2">
        <f>IF(OR(N32="D",N32="E"),"Enhanced Review",IF(N32="C","Conditional","Approve"))</f>
        <v/>
      </c>
      <c r="P32" s="8">
        <f>H32*M32*45%</f>
        <v/>
      </c>
      <c r="Q32" s="9">
        <f>H32/B32</f>
        <v/>
      </c>
    </row>
    <row r="33">
      <c r="A33" s="11" t="inlineStr">
        <is>
          <t>B0029</t>
        </is>
      </c>
      <c r="B33" s="12" t="n">
        <v>148956</v>
      </c>
      <c r="C33" s="13" t="n">
        <v>0.3155024858449157</v>
      </c>
      <c r="D33" s="11" t="n">
        <v>694</v>
      </c>
      <c r="E33" s="13" t="n">
        <v>0.02095173574213422</v>
      </c>
      <c r="F33" s="11" t="n">
        <v>0</v>
      </c>
      <c r="G33" s="11" t="n">
        <v>2.5</v>
      </c>
      <c r="H33" s="12" t="n">
        <v>44291</v>
      </c>
      <c r="I33" s="11" t="n">
        <v>36</v>
      </c>
      <c r="J33" s="11" t="n">
        <v>0</v>
      </c>
      <c r="K33" s="2">
        <f>IF(D33&gt;=740,0,IF(D33&gt;=670,15,30))+IF(C33&lt;=25%,0,IF(C33&lt;=40%,15,30))+IF(E33&lt;=30%,0,IF(E33&lt;=60%,10,20))+IF(F33=0,0,IF(F33=1,10,25))+IF(G33&gt;=5,0,IF(G33&gt;=2,5,10))+IF(H33/B33&lt;=25%,0,IF(H33/B33&lt;=50%,10,20))+IF(I33=36,0,IF(I33=48,3,6))</f>
        <v/>
      </c>
      <c r="L33" s="2">
        <f>850-K33*3.5</f>
        <v/>
      </c>
      <c r="M33" s="9">
        <f>1/(1+EXP(-(-4.2+0.055*K33)))</f>
        <v/>
      </c>
      <c r="N33" s="2">
        <f>IF(K33&lt;20,"A",IF(K33&lt;40,"B",IF(K33&lt;60,"C",IF(K33&lt;80,"D","E"))))</f>
        <v/>
      </c>
      <c r="O33" s="2">
        <f>IF(OR(N33="D",N33="E"),"Enhanced Review",IF(N33="C","Conditional","Approve"))</f>
        <v/>
      </c>
      <c r="P33" s="8">
        <f>H33*M33*45%</f>
        <v/>
      </c>
      <c r="Q33" s="9">
        <f>H33/B33</f>
        <v/>
      </c>
    </row>
    <row r="34">
      <c r="A34" s="11" t="inlineStr">
        <is>
          <t>B0030</t>
        </is>
      </c>
      <c r="B34" s="12" t="n">
        <v>184516</v>
      </c>
      <c r="C34" s="13" t="n">
        <v>0.255171989910238</v>
      </c>
      <c r="D34" s="11" t="n">
        <v>746</v>
      </c>
      <c r="E34" s="13" t="n">
        <v>0.3713351709731956</v>
      </c>
      <c r="F34" s="11" t="n">
        <v>1</v>
      </c>
      <c r="G34" s="11" t="n">
        <v>5.9</v>
      </c>
      <c r="H34" s="12" t="n">
        <v>22478</v>
      </c>
      <c r="I34" s="11" t="n">
        <v>60</v>
      </c>
      <c r="J34" s="11" t="n">
        <v>0</v>
      </c>
      <c r="K34" s="2">
        <f>IF(D34&gt;=740,0,IF(D34&gt;=670,15,30))+IF(C34&lt;=25%,0,IF(C34&lt;=40%,15,30))+IF(E34&lt;=30%,0,IF(E34&lt;=60%,10,20))+IF(F34=0,0,IF(F34=1,10,25))+IF(G34&gt;=5,0,IF(G34&gt;=2,5,10))+IF(H34/B34&lt;=25%,0,IF(H34/B34&lt;=50%,10,20))+IF(I34=36,0,IF(I34=48,3,6))</f>
        <v/>
      </c>
      <c r="L34" s="2">
        <f>850-K34*3.5</f>
        <v/>
      </c>
      <c r="M34" s="9">
        <f>1/(1+EXP(-(-4.2+0.055*K34)))</f>
        <v/>
      </c>
      <c r="N34" s="2">
        <f>IF(K34&lt;20,"A",IF(K34&lt;40,"B",IF(K34&lt;60,"C",IF(K34&lt;80,"D","E"))))</f>
        <v/>
      </c>
      <c r="O34" s="2">
        <f>IF(OR(N34="D",N34="E"),"Enhanced Review",IF(N34="C","Conditional","Approve"))</f>
        <v/>
      </c>
      <c r="P34" s="8">
        <f>H34*M34*45%</f>
        <v/>
      </c>
      <c r="Q34" s="9">
        <f>H34/B34</f>
        <v/>
      </c>
    </row>
    <row r="35">
      <c r="A35" s="11" t="inlineStr">
        <is>
          <t>B0031</t>
        </is>
      </c>
      <c r="B35" s="12" t="n">
        <v>67677</v>
      </c>
      <c r="C35" s="13" t="n">
        <v>0.3368102637749384</v>
      </c>
      <c r="D35" s="11" t="n">
        <v>719</v>
      </c>
      <c r="E35" s="13" t="n">
        <v>0.3790171711266876</v>
      </c>
      <c r="F35" s="11" t="n">
        <v>0</v>
      </c>
      <c r="G35" s="11" t="n">
        <v>25.1</v>
      </c>
      <c r="H35" s="12" t="n">
        <v>15647</v>
      </c>
      <c r="I35" s="11" t="n">
        <v>36</v>
      </c>
      <c r="J35" s="11" t="n">
        <v>0</v>
      </c>
      <c r="K35" s="2">
        <f>IF(D35&gt;=740,0,IF(D35&gt;=670,15,30))+IF(C35&lt;=25%,0,IF(C35&lt;=40%,15,30))+IF(E35&lt;=30%,0,IF(E35&lt;=60%,10,20))+IF(F35=0,0,IF(F35=1,10,25))+IF(G35&gt;=5,0,IF(G35&gt;=2,5,10))+IF(H35/B35&lt;=25%,0,IF(H35/B35&lt;=50%,10,20))+IF(I35=36,0,IF(I35=48,3,6))</f>
        <v/>
      </c>
      <c r="L35" s="2">
        <f>850-K35*3.5</f>
        <v/>
      </c>
      <c r="M35" s="9">
        <f>1/(1+EXP(-(-4.2+0.055*K35)))</f>
        <v/>
      </c>
      <c r="N35" s="2">
        <f>IF(K35&lt;20,"A",IF(K35&lt;40,"B",IF(K35&lt;60,"C",IF(K35&lt;80,"D","E"))))</f>
        <v/>
      </c>
      <c r="O35" s="2">
        <f>IF(OR(N35="D",N35="E"),"Enhanced Review",IF(N35="C","Conditional","Approve"))</f>
        <v/>
      </c>
      <c r="P35" s="8">
        <f>H35*M35*45%</f>
        <v/>
      </c>
      <c r="Q35" s="9">
        <f>H35/B35</f>
        <v/>
      </c>
    </row>
    <row r="36">
      <c r="A36" s="11" t="inlineStr">
        <is>
          <t>B0032</t>
        </is>
      </c>
      <c r="B36" s="12" t="n">
        <v>64686</v>
      </c>
      <c r="C36" s="13" t="n">
        <v>0.1649729956807889</v>
      </c>
      <c r="D36" s="11" t="n">
        <v>751</v>
      </c>
      <c r="E36" s="13" t="n">
        <v>0.4126887795412998</v>
      </c>
      <c r="F36" s="11" t="n">
        <v>1</v>
      </c>
      <c r="G36" s="11" t="n">
        <v>2.9</v>
      </c>
      <c r="H36" s="12" t="n">
        <v>8715</v>
      </c>
      <c r="I36" s="11" t="n">
        <v>36</v>
      </c>
      <c r="J36" s="11" t="n">
        <v>0</v>
      </c>
      <c r="K36" s="2">
        <f>IF(D36&gt;=740,0,IF(D36&gt;=670,15,30))+IF(C36&lt;=25%,0,IF(C36&lt;=40%,15,30))+IF(E36&lt;=30%,0,IF(E36&lt;=60%,10,20))+IF(F36=0,0,IF(F36=1,10,25))+IF(G36&gt;=5,0,IF(G36&gt;=2,5,10))+IF(H36/B36&lt;=25%,0,IF(H36/B36&lt;=50%,10,20))+IF(I36=36,0,IF(I36=48,3,6))</f>
        <v/>
      </c>
      <c r="L36" s="2">
        <f>850-K36*3.5</f>
        <v/>
      </c>
      <c r="M36" s="9">
        <f>1/(1+EXP(-(-4.2+0.055*K36)))</f>
        <v/>
      </c>
      <c r="N36" s="2">
        <f>IF(K36&lt;20,"A",IF(K36&lt;40,"B",IF(K36&lt;60,"C",IF(K36&lt;80,"D","E"))))</f>
        <v/>
      </c>
      <c r="O36" s="2">
        <f>IF(OR(N36="D",N36="E"),"Enhanced Review",IF(N36="C","Conditional","Approve"))</f>
        <v/>
      </c>
      <c r="P36" s="8">
        <f>H36*M36*45%</f>
        <v/>
      </c>
      <c r="Q36" s="9">
        <f>H36/B36</f>
        <v/>
      </c>
    </row>
    <row r="37">
      <c r="A37" s="11" t="inlineStr">
        <is>
          <t>B0033</t>
        </is>
      </c>
      <c r="B37" s="12" t="n">
        <v>22000</v>
      </c>
      <c r="C37" s="13" t="n">
        <v>0.3264283460564612</v>
      </c>
      <c r="D37" s="11" t="n">
        <v>686</v>
      </c>
      <c r="E37" s="13" t="n">
        <v>0.1274965830344062</v>
      </c>
      <c r="F37" s="11" t="n">
        <v>0</v>
      </c>
      <c r="G37" s="11" t="n">
        <v>8.300000000000001</v>
      </c>
      <c r="H37" s="12" t="n">
        <v>5648</v>
      </c>
      <c r="I37" s="11" t="n">
        <v>48</v>
      </c>
      <c r="J37" s="11" t="n">
        <v>1</v>
      </c>
      <c r="K37" s="2">
        <f>IF(D37&gt;=740,0,IF(D37&gt;=670,15,30))+IF(C37&lt;=25%,0,IF(C37&lt;=40%,15,30))+IF(E37&lt;=30%,0,IF(E37&lt;=60%,10,20))+IF(F37=0,0,IF(F37=1,10,25))+IF(G37&gt;=5,0,IF(G37&gt;=2,5,10))+IF(H37/B37&lt;=25%,0,IF(H37/B37&lt;=50%,10,20))+IF(I37=36,0,IF(I37=48,3,6))</f>
        <v/>
      </c>
      <c r="L37" s="2">
        <f>850-K37*3.5</f>
        <v/>
      </c>
      <c r="M37" s="9">
        <f>1/(1+EXP(-(-4.2+0.055*K37)))</f>
        <v/>
      </c>
      <c r="N37" s="2">
        <f>IF(K37&lt;20,"A",IF(K37&lt;40,"B",IF(K37&lt;60,"C",IF(K37&lt;80,"D","E"))))</f>
        <v/>
      </c>
      <c r="O37" s="2">
        <f>IF(OR(N37="D",N37="E"),"Enhanced Review",IF(N37="C","Conditional","Approve"))</f>
        <v/>
      </c>
      <c r="P37" s="8">
        <f>H37*M37*45%</f>
        <v/>
      </c>
      <c r="Q37" s="9">
        <f>H37/B37</f>
        <v/>
      </c>
    </row>
    <row r="38">
      <c r="A38" s="11" t="inlineStr">
        <is>
          <t>B0034</t>
        </is>
      </c>
      <c r="B38" s="12" t="n">
        <v>134773</v>
      </c>
      <c r="C38" s="13" t="n">
        <v>0.4157226554966785</v>
      </c>
      <c r="D38" s="11" t="n">
        <v>665</v>
      </c>
      <c r="E38" s="13" t="n">
        <v>0.2416947434418862</v>
      </c>
      <c r="F38" s="11" t="n">
        <v>1</v>
      </c>
      <c r="G38" s="11" t="n">
        <v>6</v>
      </c>
      <c r="H38" s="12" t="n">
        <v>37957</v>
      </c>
      <c r="I38" s="11" t="n">
        <v>60</v>
      </c>
      <c r="J38" s="11" t="n">
        <v>0</v>
      </c>
      <c r="K38" s="2">
        <f>IF(D38&gt;=740,0,IF(D38&gt;=670,15,30))+IF(C38&lt;=25%,0,IF(C38&lt;=40%,15,30))+IF(E38&lt;=30%,0,IF(E38&lt;=60%,10,20))+IF(F38=0,0,IF(F38=1,10,25))+IF(G38&gt;=5,0,IF(G38&gt;=2,5,10))+IF(H38/B38&lt;=25%,0,IF(H38/B38&lt;=50%,10,20))+IF(I38=36,0,IF(I38=48,3,6))</f>
        <v/>
      </c>
      <c r="L38" s="2">
        <f>850-K38*3.5</f>
        <v/>
      </c>
      <c r="M38" s="9">
        <f>1/(1+EXP(-(-4.2+0.055*K38)))</f>
        <v/>
      </c>
      <c r="N38" s="2">
        <f>IF(K38&lt;20,"A",IF(K38&lt;40,"B",IF(K38&lt;60,"C",IF(K38&lt;80,"D","E"))))</f>
        <v/>
      </c>
      <c r="O38" s="2">
        <f>IF(OR(N38="D",N38="E"),"Enhanced Review",IF(N38="C","Conditional","Approve"))</f>
        <v/>
      </c>
      <c r="P38" s="8">
        <f>H38*M38*45%</f>
        <v/>
      </c>
      <c r="Q38" s="9">
        <f>H38/B38</f>
        <v/>
      </c>
    </row>
    <row r="39">
      <c r="A39" s="11" t="inlineStr">
        <is>
          <t>B0035</t>
        </is>
      </c>
      <c r="B39" s="12" t="n">
        <v>69340</v>
      </c>
      <c r="C39" s="13" t="n">
        <v>0.4558147296631251</v>
      </c>
      <c r="D39" s="11" t="n">
        <v>752</v>
      </c>
      <c r="E39" s="13" t="n">
        <v>0.04745868826967102</v>
      </c>
      <c r="F39" s="11" t="n">
        <v>1</v>
      </c>
      <c r="G39" s="11" t="n">
        <v>26.7</v>
      </c>
      <c r="H39" s="12" t="n">
        <v>43006</v>
      </c>
      <c r="I39" s="11" t="n">
        <v>36</v>
      </c>
      <c r="J39" s="11" t="n">
        <v>0</v>
      </c>
      <c r="K39" s="2">
        <f>IF(D39&gt;=740,0,IF(D39&gt;=670,15,30))+IF(C39&lt;=25%,0,IF(C39&lt;=40%,15,30))+IF(E39&lt;=30%,0,IF(E39&lt;=60%,10,20))+IF(F39=0,0,IF(F39=1,10,25))+IF(G39&gt;=5,0,IF(G39&gt;=2,5,10))+IF(H39/B39&lt;=25%,0,IF(H39/B39&lt;=50%,10,20))+IF(I39=36,0,IF(I39=48,3,6))</f>
        <v/>
      </c>
      <c r="L39" s="2">
        <f>850-K39*3.5</f>
        <v/>
      </c>
      <c r="M39" s="9">
        <f>1/(1+EXP(-(-4.2+0.055*K39)))</f>
        <v/>
      </c>
      <c r="N39" s="2">
        <f>IF(K39&lt;20,"A",IF(K39&lt;40,"B",IF(K39&lt;60,"C",IF(K39&lt;80,"D","E"))))</f>
        <v/>
      </c>
      <c r="O39" s="2">
        <f>IF(OR(N39="D",N39="E"),"Enhanced Review",IF(N39="C","Conditional","Approve"))</f>
        <v/>
      </c>
      <c r="P39" s="8">
        <f>H39*M39*45%</f>
        <v/>
      </c>
      <c r="Q39" s="9">
        <f>H39/B39</f>
        <v/>
      </c>
    </row>
    <row r="40">
      <c r="A40" s="11" t="inlineStr">
        <is>
          <t>B0036</t>
        </is>
      </c>
      <c r="B40" s="12" t="n">
        <v>55269</v>
      </c>
      <c r="C40" s="13" t="n">
        <v>0.2430821237736676</v>
      </c>
      <c r="D40" s="11" t="n">
        <v>786</v>
      </c>
      <c r="E40" s="13" t="n">
        <v>0.7818091905689737</v>
      </c>
      <c r="F40" s="11" t="n">
        <v>0</v>
      </c>
      <c r="G40" s="11" t="n">
        <v>8.300000000000001</v>
      </c>
      <c r="H40" s="12" t="n">
        <v>16874</v>
      </c>
      <c r="I40" s="11" t="n">
        <v>60</v>
      </c>
      <c r="J40" s="11" t="n">
        <v>0</v>
      </c>
      <c r="K40" s="2">
        <f>IF(D40&gt;=740,0,IF(D40&gt;=670,15,30))+IF(C40&lt;=25%,0,IF(C40&lt;=40%,15,30))+IF(E40&lt;=30%,0,IF(E40&lt;=60%,10,20))+IF(F40=0,0,IF(F40=1,10,25))+IF(G40&gt;=5,0,IF(G40&gt;=2,5,10))+IF(H40/B40&lt;=25%,0,IF(H40/B40&lt;=50%,10,20))+IF(I40=36,0,IF(I40=48,3,6))</f>
        <v/>
      </c>
      <c r="L40" s="2">
        <f>850-K40*3.5</f>
        <v/>
      </c>
      <c r="M40" s="9">
        <f>1/(1+EXP(-(-4.2+0.055*K40)))</f>
        <v/>
      </c>
      <c r="N40" s="2">
        <f>IF(K40&lt;20,"A",IF(K40&lt;40,"B",IF(K40&lt;60,"C",IF(K40&lt;80,"D","E"))))</f>
        <v/>
      </c>
      <c r="O40" s="2">
        <f>IF(OR(N40="D",N40="E"),"Enhanced Review",IF(N40="C","Conditional","Approve"))</f>
        <v/>
      </c>
      <c r="P40" s="8">
        <f>H40*M40*45%</f>
        <v/>
      </c>
      <c r="Q40" s="9">
        <f>H40/B40</f>
        <v/>
      </c>
    </row>
    <row r="41">
      <c r="A41" s="11" t="inlineStr">
        <is>
          <t>B0037</t>
        </is>
      </c>
      <c r="B41" s="12" t="n">
        <v>125399</v>
      </c>
      <c r="C41" s="13" t="n">
        <v>0.2331004995343342</v>
      </c>
      <c r="D41" s="11" t="n">
        <v>728</v>
      </c>
      <c r="E41" s="13" t="n">
        <v>0.303061671517686</v>
      </c>
      <c r="F41" s="11" t="n">
        <v>3</v>
      </c>
      <c r="G41" s="11" t="n">
        <v>2.9</v>
      </c>
      <c r="H41" s="12" t="n">
        <v>27708</v>
      </c>
      <c r="I41" s="11" t="n">
        <v>60</v>
      </c>
      <c r="J41" s="11" t="n">
        <v>1</v>
      </c>
      <c r="K41" s="2">
        <f>IF(D41&gt;=740,0,IF(D41&gt;=670,15,30))+IF(C41&lt;=25%,0,IF(C41&lt;=40%,15,30))+IF(E41&lt;=30%,0,IF(E41&lt;=60%,10,20))+IF(F41=0,0,IF(F41=1,10,25))+IF(G41&gt;=5,0,IF(G41&gt;=2,5,10))+IF(H41/B41&lt;=25%,0,IF(H41/B41&lt;=50%,10,20))+IF(I41=36,0,IF(I41=48,3,6))</f>
        <v/>
      </c>
      <c r="L41" s="2">
        <f>850-K41*3.5</f>
        <v/>
      </c>
      <c r="M41" s="9">
        <f>1/(1+EXP(-(-4.2+0.055*K41)))</f>
        <v/>
      </c>
      <c r="N41" s="2">
        <f>IF(K41&lt;20,"A",IF(K41&lt;40,"B",IF(K41&lt;60,"C",IF(K41&lt;80,"D","E"))))</f>
        <v/>
      </c>
      <c r="O41" s="2">
        <f>IF(OR(N41="D",N41="E"),"Enhanced Review",IF(N41="C","Conditional","Approve"))</f>
        <v/>
      </c>
      <c r="P41" s="8">
        <f>H41*M41*45%</f>
        <v/>
      </c>
      <c r="Q41" s="9">
        <f>H41/B41</f>
        <v/>
      </c>
    </row>
    <row r="42">
      <c r="A42" s="11" t="inlineStr">
        <is>
          <t>B0038</t>
        </is>
      </c>
      <c r="B42" s="12" t="n">
        <v>125929</v>
      </c>
      <c r="C42" s="13" t="n">
        <v>0.03</v>
      </c>
      <c r="D42" s="11" t="n">
        <v>618</v>
      </c>
      <c r="E42" s="13" t="n">
        <v>0.1902509184109698</v>
      </c>
      <c r="F42" s="11" t="n">
        <v>0</v>
      </c>
      <c r="G42" s="11" t="n">
        <v>9.9</v>
      </c>
      <c r="H42" s="12" t="n">
        <v>44847</v>
      </c>
      <c r="I42" s="11" t="n">
        <v>60</v>
      </c>
      <c r="J42" s="11" t="n">
        <v>0</v>
      </c>
      <c r="K42" s="2">
        <f>IF(D42&gt;=740,0,IF(D42&gt;=670,15,30))+IF(C42&lt;=25%,0,IF(C42&lt;=40%,15,30))+IF(E42&lt;=30%,0,IF(E42&lt;=60%,10,20))+IF(F42=0,0,IF(F42=1,10,25))+IF(G42&gt;=5,0,IF(G42&gt;=2,5,10))+IF(H42/B42&lt;=25%,0,IF(H42/B42&lt;=50%,10,20))+IF(I42=36,0,IF(I42=48,3,6))</f>
        <v/>
      </c>
      <c r="L42" s="2">
        <f>850-K42*3.5</f>
        <v/>
      </c>
      <c r="M42" s="9">
        <f>1/(1+EXP(-(-4.2+0.055*K42)))</f>
        <v/>
      </c>
      <c r="N42" s="2">
        <f>IF(K42&lt;20,"A",IF(K42&lt;40,"B",IF(K42&lt;60,"C",IF(K42&lt;80,"D","E"))))</f>
        <v/>
      </c>
      <c r="O42" s="2">
        <f>IF(OR(N42="D",N42="E"),"Enhanced Review",IF(N42="C","Conditional","Approve"))</f>
        <v/>
      </c>
      <c r="P42" s="8">
        <f>H42*M42*45%</f>
        <v/>
      </c>
      <c r="Q42" s="9">
        <f>H42/B42</f>
        <v/>
      </c>
    </row>
    <row r="43">
      <c r="A43" s="11" t="inlineStr">
        <is>
          <t>B0039</t>
        </is>
      </c>
      <c r="B43" s="12" t="n">
        <v>124904</v>
      </c>
      <c r="C43" s="13" t="n">
        <v>0.2889618490958685</v>
      </c>
      <c r="D43" s="11" t="n">
        <v>729</v>
      </c>
      <c r="E43" s="13" t="n">
        <v>0.5481961010073413</v>
      </c>
      <c r="F43" s="11" t="n">
        <v>2</v>
      </c>
      <c r="G43" s="11" t="n">
        <v>8.199999999999999</v>
      </c>
      <c r="H43" s="12" t="n">
        <v>38898</v>
      </c>
      <c r="I43" s="11" t="n">
        <v>60</v>
      </c>
      <c r="J43" s="11" t="n">
        <v>1</v>
      </c>
      <c r="K43" s="2">
        <f>IF(D43&gt;=740,0,IF(D43&gt;=670,15,30))+IF(C43&lt;=25%,0,IF(C43&lt;=40%,15,30))+IF(E43&lt;=30%,0,IF(E43&lt;=60%,10,20))+IF(F43=0,0,IF(F43=1,10,25))+IF(G43&gt;=5,0,IF(G43&gt;=2,5,10))+IF(H43/B43&lt;=25%,0,IF(H43/B43&lt;=50%,10,20))+IF(I43=36,0,IF(I43=48,3,6))</f>
        <v/>
      </c>
      <c r="L43" s="2">
        <f>850-K43*3.5</f>
        <v/>
      </c>
      <c r="M43" s="9">
        <f>1/(1+EXP(-(-4.2+0.055*K43)))</f>
        <v/>
      </c>
      <c r="N43" s="2">
        <f>IF(K43&lt;20,"A",IF(K43&lt;40,"B",IF(K43&lt;60,"C",IF(K43&lt;80,"D","E"))))</f>
        <v/>
      </c>
      <c r="O43" s="2">
        <f>IF(OR(N43="D",N43="E"),"Enhanced Review",IF(N43="C","Conditional","Approve"))</f>
        <v/>
      </c>
      <c r="P43" s="8">
        <f>H43*M43*45%</f>
        <v/>
      </c>
      <c r="Q43" s="9">
        <f>H43/B43</f>
        <v/>
      </c>
    </row>
    <row r="44">
      <c r="A44" s="11" t="inlineStr">
        <is>
          <t>B0040</t>
        </is>
      </c>
      <c r="B44" s="12" t="n">
        <v>60639</v>
      </c>
      <c r="C44" s="13" t="n">
        <v>0.03957076950350322</v>
      </c>
      <c r="D44" s="11" t="n">
        <v>711</v>
      </c>
      <c r="E44" s="13" t="n">
        <v>0.3177346888128227</v>
      </c>
      <c r="F44" s="11" t="n">
        <v>0</v>
      </c>
      <c r="G44" s="11" t="n">
        <v>9.5</v>
      </c>
      <c r="H44" s="12" t="n">
        <v>28333</v>
      </c>
      <c r="I44" s="11" t="n">
        <v>60</v>
      </c>
      <c r="J44" s="11" t="n">
        <v>0</v>
      </c>
      <c r="K44" s="2">
        <f>IF(D44&gt;=740,0,IF(D44&gt;=670,15,30))+IF(C44&lt;=25%,0,IF(C44&lt;=40%,15,30))+IF(E44&lt;=30%,0,IF(E44&lt;=60%,10,20))+IF(F44=0,0,IF(F44=1,10,25))+IF(G44&gt;=5,0,IF(G44&gt;=2,5,10))+IF(H44/B44&lt;=25%,0,IF(H44/B44&lt;=50%,10,20))+IF(I44=36,0,IF(I44=48,3,6))</f>
        <v/>
      </c>
      <c r="L44" s="2">
        <f>850-K44*3.5</f>
        <v/>
      </c>
      <c r="M44" s="9">
        <f>1/(1+EXP(-(-4.2+0.055*K44)))</f>
        <v/>
      </c>
      <c r="N44" s="2">
        <f>IF(K44&lt;20,"A",IF(K44&lt;40,"B",IF(K44&lt;60,"C",IF(K44&lt;80,"D","E"))))</f>
        <v/>
      </c>
      <c r="O44" s="2">
        <f>IF(OR(N44="D",N44="E"),"Enhanced Review",IF(N44="C","Conditional","Approve"))</f>
        <v/>
      </c>
      <c r="P44" s="8">
        <f>H44*M44*45%</f>
        <v/>
      </c>
      <c r="Q44" s="9">
        <f>H44/B44</f>
        <v/>
      </c>
    </row>
    <row r="45">
      <c r="A45" s="11" t="inlineStr">
        <is>
          <t>B0041</t>
        </is>
      </c>
      <c r="B45" s="12" t="n">
        <v>53784</v>
      </c>
      <c r="C45" s="13" t="n">
        <v>0.08284095264839746</v>
      </c>
      <c r="D45" s="11" t="n">
        <v>667</v>
      </c>
      <c r="E45" s="13" t="n">
        <v>0.4458721453088174</v>
      </c>
      <c r="F45" s="11" t="n">
        <v>0</v>
      </c>
      <c r="G45" s="11" t="n">
        <v>8.6</v>
      </c>
      <c r="H45" s="12" t="n">
        <v>46354</v>
      </c>
      <c r="I45" s="11" t="n">
        <v>36</v>
      </c>
      <c r="J45" s="11" t="n">
        <v>0</v>
      </c>
      <c r="K45" s="2">
        <f>IF(D45&gt;=740,0,IF(D45&gt;=670,15,30))+IF(C45&lt;=25%,0,IF(C45&lt;=40%,15,30))+IF(E45&lt;=30%,0,IF(E45&lt;=60%,10,20))+IF(F45=0,0,IF(F45=1,10,25))+IF(G45&gt;=5,0,IF(G45&gt;=2,5,10))+IF(H45/B45&lt;=25%,0,IF(H45/B45&lt;=50%,10,20))+IF(I45=36,0,IF(I45=48,3,6))</f>
        <v/>
      </c>
      <c r="L45" s="2">
        <f>850-K45*3.5</f>
        <v/>
      </c>
      <c r="M45" s="9">
        <f>1/(1+EXP(-(-4.2+0.055*K45)))</f>
        <v/>
      </c>
      <c r="N45" s="2">
        <f>IF(K45&lt;20,"A",IF(K45&lt;40,"B",IF(K45&lt;60,"C",IF(K45&lt;80,"D","E"))))</f>
        <v/>
      </c>
      <c r="O45" s="2">
        <f>IF(OR(N45="D",N45="E"),"Enhanced Review",IF(N45="C","Conditional","Approve"))</f>
        <v/>
      </c>
      <c r="P45" s="8">
        <f>H45*M45*45%</f>
        <v/>
      </c>
      <c r="Q45" s="9">
        <f>H45/B45</f>
        <v/>
      </c>
    </row>
    <row r="46">
      <c r="A46" s="11" t="inlineStr">
        <is>
          <t>B0042</t>
        </is>
      </c>
      <c r="B46" s="12" t="n">
        <v>85760</v>
      </c>
      <c r="C46" s="13" t="n">
        <v>0.3370243454323421</v>
      </c>
      <c r="D46" s="11" t="n">
        <v>695</v>
      </c>
      <c r="E46" s="13" t="n">
        <v>0.2793621394301232</v>
      </c>
      <c r="F46" s="11" t="n">
        <v>2</v>
      </c>
      <c r="G46" s="11" t="n">
        <v>5.2</v>
      </c>
      <c r="H46" s="12" t="n">
        <v>28694</v>
      </c>
      <c r="I46" s="11" t="n">
        <v>60</v>
      </c>
      <c r="J46" s="11" t="n">
        <v>1</v>
      </c>
      <c r="K46" s="2">
        <f>IF(D46&gt;=740,0,IF(D46&gt;=670,15,30))+IF(C46&lt;=25%,0,IF(C46&lt;=40%,15,30))+IF(E46&lt;=30%,0,IF(E46&lt;=60%,10,20))+IF(F46=0,0,IF(F46=1,10,25))+IF(G46&gt;=5,0,IF(G46&gt;=2,5,10))+IF(H46/B46&lt;=25%,0,IF(H46/B46&lt;=50%,10,20))+IF(I46=36,0,IF(I46=48,3,6))</f>
        <v/>
      </c>
      <c r="L46" s="2">
        <f>850-K46*3.5</f>
        <v/>
      </c>
      <c r="M46" s="9">
        <f>1/(1+EXP(-(-4.2+0.055*K46)))</f>
        <v/>
      </c>
      <c r="N46" s="2">
        <f>IF(K46&lt;20,"A",IF(K46&lt;40,"B",IF(K46&lt;60,"C",IF(K46&lt;80,"D","E"))))</f>
        <v/>
      </c>
      <c r="O46" s="2">
        <f>IF(OR(N46="D",N46="E"),"Enhanced Review",IF(N46="C","Conditional","Approve"))</f>
        <v/>
      </c>
      <c r="P46" s="8">
        <f>H46*M46*45%</f>
        <v/>
      </c>
      <c r="Q46" s="9">
        <f>H46/B46</f>
        <v/>
      </c>
    </row>
    <row r="47">
      <c r="A47" s="11" t="inlineStr">
        <is>
          <t>B0043</t>
        </is>
      </c>
      <c r="B47" s="12" t="n">
        <v>105278</v>
      </c>
      <c r="C47" s="13" t="n">
        <v>0.2485341158915475</v>
      </c>
      <c r="D47" s="11" t="n">
        <v>698</v>
      </c>
      <c r="E47" s="13" t="n">
        <v>0.2590039089556516</v>
      </c>
      <c r="F47" s="11" t="n">
        <v>0</v>
      </c>
      <c r="G47" s="11" t="n">
        <v>0.7</v>
      </c>
      <c r="H47" s="12" t="n">
        <v>15985</v>
      </c>
      <c r="I47" s="11" t="n">
        <v>48</v>
      </c>
      <c r="J47" s="11" t="n">
        <v>0</v>
      </c>
      <c r="K47" s="2">
        <f>IF(D47&gt;=740,0,IF(D47&gt;=670,15,30))+IF(C47&lt;=25%,0,IF(C47&lt;=40%,15,30))+IF(E47&lt;=30%,0,IF(E47&lt;=60%,10,20))+IF(F47=0,0,IF(F47=1,10,25))+IF(G47&gt;=5,0,IF(G47&gt;=2,5,10))+IF(H47/B47&lt;=25%,0,IF(H47/B47&lt;=50%,10,20))+IF(I47=36,0,IF(I47=48,3,6))</f>
        <v/>
      </c>
      <c r="L47" s="2">
        <f>850-K47*3.5</f>
        <v/>
      </c>
      <c r="M47" s="9">
        <f>1/(1+EXP(-(-4.2+0.055*K47)))</f>
        <v/>
      </c>
      <c r="N47" s="2">
        <f>IF(K47&lt;20,"A",IF(K47&lt;40,"B",IF(K47&lt;60,"C",IF(K47&lt;80,"D","E"))))</f>
        <v/>
      </c>
      <c r="O47" s="2">
        <f>IF(OR(N47="D",N47="E"),"Enhanced Review",IF(N47="C","Conditional","Approve"))</f>
        <v/>
      </c>
      <c r="P47" s="8">
        <f>H47*M47*45%</f>
        <v/>
      </c>
      <c r="Q47" s="9">
        <f>H47/B47</f>
        <v/>
      </c>
    </row>
    <row r="48">
      <c r="A48" s="11" t="inlineStr">
        <is>
          <t>B0044</t>
        </is>
      </c>
      <c r="B48" s="12" t="n">
        <v>34593</v>
      </c>
      <c r="C48" s="13" t="n">
        <v>0.4303953892044249</v>
      </c>
      <c r="D48" s="11" t="n">
        <v>732</v>
      </c>
      <c r="E48" s="13" t="n">
        <v>0.4683097792914745</v>
      </c>
      <c r="F48" s="11" t="n">
        <v>0</v>
      </c>
      <c r="G48" s="11" t="n">
        <v>1.7</v>
      </c>
      <c r="H48" s="12" t="n">
        <v>90000</v>
      </c>
      <c r="I48" s="11" t="n">
        <v>48</v>
      </c>
      <c r="J48" s="11" t="n">
        <v>1</v>
      </c>
      <c r="K48" s="2">
        <f>IF(D48&gt;=740,0,IF(D48&gt;=670,15,30))+IF(C48&lt;=25%,0,IF(C48&lt;=40%,15,30))+IF(E48&lt;=30%,0,IF(E48&lt;=60%,10,20))+IF(F48=0,0,IF(F48=1,10,25))+IF(G48&gt;=5,0,IF(G48&gt;=2,5,10))+IF(H48/B48&lt;=25%,0,IF(H48/B48&lt;=50%,10,20))+IF(I48=36,0,IF(I48=48,3,6))</f>
        <v/>
      </c>
      <c r="L48" s="2">
        <f>850-K48*3.5</f>
        <v/>
      </c>
      <c r="M48" s="9">
        <f>1/(1+EXP(-(-4.2+0.055*K48)))</f>
        <v/>
      </c>
      <c r="N48" s="2">
        <f>IF(K48&lt;20,"A",IF(K48&lt;40,"B",IF(K48&lt;60,"C",IF(K48&lt;80,"D","E"))))</f>
        <v/>
      </c>
      <c r="O48" s="2">
        <f>IF(OR(N48="D",N48="E"),"Enhanced Review",IF(N48="C","Conditional","Approve"))</f>
        <v/>
      </c>
      <c r="P48" s="8">
        <f>H48*M48*45%</f>
        <v/>
      </c>
      <c r="Q48" s="9">
        <f>H48/B48</f>
        <v/>
      </c>
    </row>
    <row r="49">
      <c r="A49" s="11" t="inlineStr">
        <is>
          <t>B0045</t>
        </is>
      </c>
      <c r="B49" s="12" t="n">
        <v>208015</v>
      </c>
      <c r="C49" s="13" t="n">
        <v>0.3652298519880076</v>
      </c>
      <c r="D49" s="11" t="n">
        <v>612</v>
      </c>
      <c r="E49" s="13" t="n">
        <v>0.02375310081414867</v>
      </c>
      <c r="F49" s="11" t="n">
        <v>1</v>
      </c>
      <c r="G49" s="11" t="n">
        <v>25.4</v>
      </c>
      <c r="H49" s="12" t="n">
        <v>23189</v>
      </c>
      <c r="I49" s="11" t="n">
        <v>36</v>
      </c>
      <c r="J49" s="11" t="n">
        <v>0</v>
      </c>
      <c r="K49" s="2">
        <f>IF(D49&gt;=740,0,IF(D49&gt;=670,15,30))+IF(C49&lt;=25%,0,IF(C49&lt;=40%,15,30))+IF(E49&lt;=30%,0,IF(E49&lt;=60%,10,20))+IF(F49=0,0,IF(F49=1,10,25))+IF(G49&gt;=5,0,IF(G49&gt;=2,5,10))+IF(H49/B49&lt;=25%,0,IF(H49/B49&lt;=50%,10,20))+IF(I49=36,0,IF(I49=48,3,6))</f>
        <v/>
      </c>
      <c r="L49" s="2">
        <f>850-K49*3.5</f>
        <v/>
      </c>
      <c r="M49" s="9">
        <f>1/(1+EXP(-(-4.2+0.055*K49)))</f>
        <v/>
      </c>
      <c r="N49" s="2">
        <f>IF(K49&lt;20,"A",IF(K49&lt;40,"B",IF(K49&lt;60,"C",IF(K49&lt;80,"D","E"))))</f>
        <v/>
      </c>
      <c r="O49" s="2">
        <f>IF(OR(N49="D",N49="E"),"Enhanced Review",IF(N49="C","Conditional","Approve"))</f>
        <v/>
      </c>
      <c r="P49" s="8">
        <f>H49*M49*45%</f>
        <v/>
      </c>
      <c r="Q49" s="9">
        <f>H49/B49</f>
        <v/>
      </c>
    </row>
    <row r="50">
      <c r="A50" s="11" t="inlineStr">
        <is>
          <t>B0046</t>
        </is>
      </c>
      <c r="B50" s="12" t="n">
        <v>44815</v>
      </c>
      <c r="C50" s="13" t="n">
        <v>0.2351586468327399</v>
      </c>
      <c r="D50" s="11" t="n">
        <v>602</v>
      </c>
      <c r="E50" s="13" t="n">
        <v>0.7881243492972274</v>
      </c>
      <c r="F50" s="11" t="n">
        <v>0</v>
      </c>
      <c r="G50" s="11" t="n">
        <v>4.2</v>
      </c>
      <c r="H50" s="12" t="n">
        <v>41627</v>
      </c>
      <c r="I50" s="11" t="n">
        <v>60</v>
      </c>
      <c r="J50" s="11" t="n">
        <v>0</v>
      </c>
      <c r="K50" s="2">
        <f>IF(D50&gt;=740,0,IF(D50&gt;=670,15,30))+IF(C50&lt;=25%,0,IF(C50&lt;=40%,15,30))+IF(E50&lt;=30%,0,IF(E50&lt;=60%,10,20))+IF(F50=0,0,IF(F50=1,10,25))+IF(G50&gt;=5,0,IF(G50&gt;=2,5,10))+IF(H50/B50&lt;=25%,0,IF(H50/B50&lt;=50%,10,20))+IF(I50=36,0,IF(I50=48,3,6))</f>
        <v/>
      </c>
      <c r="L50" s="2">
        <f>850-K50*3.5</f>
        <v/>
      </c>
      <c r="M50" s="9">
        <f>1/(1+EXP(-(-4.2+0.055*K50)))</f>
        <v/>
      </c>
      <c r="N50" s="2">
        <f>IF(K50&lt;20,"A",IF(K50&lt;40,"B",IF(K50&lt;60,"C",IF(K50&lt;80,"D","E"))))</f>
        <v/>
      </c>
      <c r="O50" s="2">
        <f>IF(OR(N50="D",N50="E"),"Enhanced Review",IF(N50="C","Conditional","Approve"))</f>
        <v/>
      </c>
      <c r="P50" s="8">
        <f>H50*M50*45%</f>
        <v/>
      </c>
      <c r="Q50" s="9">
        <f>H50/B50</f>
        <v/>
      </c>
    </row>
    <row r="51">
      <c r="A51" s="11" t="inlineStr">
        <is>
          <t>B0047</t>
        </is>
      </c>
      <c r="B51" s="12" t="n">
        <v>82713</v>
      </c>
      <c r="C51" s="13" t="n">
        <v>0.2671611582820142</v>
      </c>
      <c r="D51" s="11" t="n">
        <v>806</v>
      </c>
      <c r="E51" s="13" t="n">
        <v>0.396946937700247</v>
      </c>
      <c r="F51" s="11" t="n">
        <v>1</v>
      </c>
      <c r="G51" s="11" t="n">
        <v>1.9</v>
      </c>
      <c r="H51" s="12" t="n">
        <v>34552</v>
      </c>
      <c r="I51" s="11" t="n">
        <v>36</v>
      </c>
      <c r="J51" s="11" t="n">
        <v>0</v>
      </c>
      <c r="K51" s="2">
        <f>IF(D51&gt;=740,0,IF(D51&gt;=670,15,30))+IF(C51&lt;=25%,0,IF(C51&lt;=40%,15,30))+IF(E51&lt;=30%,0,IF(E51&lt;=60%,10,20))+IF(F51=0,0,IF(F51=1,10,25))+IF(G51&gt;=5,0,IF(G51&gt;=2,5,10))+IF(H51/B51&lt;=25%,0,IF(H51/B51&lt;=50%,10,20))+IF(I51=36,0,IF(I51=48,3,6))</f>
        <v/>
      </c>
      <c r="L51" s="2">
        <f>850-K51*3.5</f>
        <v/>
      </c>
      <c r="M51" s="9">
        <f>1/(1+EXP(-(-4.2+0.055*K51)))</f>
        <v/>
      </c>
      <c r="N51" s="2">
        <f>IF(K51&lt;20,"A",IF(K51&lt;40,"B",IF(K51&lt;60,"C",IF(K51&lt;80,"D","E"))))</f>
        <v/>
      </c>
      <c r="O51" s="2">
        <f>IF(OR(N51="D",N51="E"),"Enhanced Review",IF(N51="C","Conditional","Approve"))</f>
        <v/>
      </c>
      <c r="P51" s="8">
        <f>H51*M51*45%</f>
        <v/>
      </c>
      <c r="Q51" s="9">
        <f>H51/B51</f>
        <v/>
      </c>
    </row>
    <row r="52">
      <c r="A52" s="11" t="inlineStr">
        <is>
          <t>B0048</t>
        </is>
      </c>
      <c r="B52" s="12" t="n">
        <v>57412</v>
      </c>
      <c r="C52" s="13" t="n">
        <v>0.2509311452233952</v>
      </c>
      <c r="D52" s="11" t="n">
        <v>686</v>
      </c>
      <c r="E52" s="13" t="n">
        <v>0.8174125191260014</v>
      </c>
      <c r="F52" s="11" t="n">
        <v>0</v>
      </c>
      <c r="G52" s="11" t="n">
        <v>13.2</v>
      </c>
      <c r="H52" s="12" t="n">
        <v>12841</v>
      </c>
      <c r="I52" s="11" t="n">
        <v>60</v>
      </c>
      <c r="J52" s="11" t="n">
        <v>0</v>
      </c>
      <c r="K52" s="2">
        <f>IF(D52&gt;=740,0,IF(D52&gt;=670,15,30))+IF(C52&lt;=25%,0,IF(C52&lt;=40%,15,30))+IF(E52&lt;=30%,0,IF(E52&lt;=60%,10,20))+IF(F52=0,0,IF(F52=1,10,25))+IF(G52&gt;=5,0,IF(G52&gt;=2,5,10))+IF(H52/B52&lt;=25%,0,IF(H52/B52&lt;=50%,10,20))+IF(I52=36,0,IF(I52=48,3,6))</f>
        <v/>
      </c>
      <c r="L52" s="2">
        <f>850-K52*3.5</f>
        <v/>
      </c>
      <c r="M52" s="9">
        <f>1/(1+EXP(-(-4.2+0.055*K52)))</f>
        <v/>
      </c>
      <c r="N52" s="2">
        <f>IF(K52&lt;20,"A",IF(K52&lt;40,"B",IF(K52&lt;60,"C",IF(K52&lt;80,"D","E"))))</f>
        <v/>
      </c>
      <c r="O52" s="2">
        <f>IF(OR(N52="D",N52="E"),"Enhanced Review",IF(N52="C","Conditional","Approve"))</f>
        <v/>
      </c>
      <c r="P52" s="8">
        <f>H52*M52*45%</f>
        <v/>
      </c>
      <c r="Q52" s="9">
        <f>H52/B52</f>
        <v/>
      </c>
    </row>
    <row r="53">
      <c r="A53" s="11" t="inlineStr">
        <is>
          <t>B0049</t>
        </is>
      </c>
      <c r="B53" s="12" t="n">
        <v>109041</v>
      </c>
      <c r="C53" s="13" t="n">
        <v>0.1040617096559139</v>
      </c>
      <c r="D53" s="11" t="n">
        <v>669</v>
      </c>
      <c r="E53" s="13" t="n">
        <v>0.7998354204341818</v>
      </c>
      <c r="F53" s="11" t="n">
        <v>0</v>
      </c>
      <c r="G53" s="11" t="n">
        <v>13.3</v>
      </c>
      <c r="H53" s="12" t="n">
        <v>12062</v>
      </c>
      <c r="I53" s="11" t="n">
        <v>36</v>
      </c>
      <c r="J53" s="11" t="n">
        <v>0</v>
      </c>
      <c r="K53" s="2">
        <f>IF(D53&gt;=740,0,IF(D53&gt;=670,15,30))+IF(C53&lt;=25%,0,IF(C53&lt;=40%,15,30))+IF(E53&lt;=30%,0,IF(E53&lt;=60%,10,20))+IF(F53=0,0,IF(F53=1,10,25))+IF(G53&gt;=5,0,IF(G53&gt;=2,5,10))+IF(H53/B53&lt;=25%,0,IF(H53/B53&lt;=50%,10,20))+IF(I53=36,0,IF(I53=48,3,6))</f>
        <v/>
      </c>
      <c r="L53" s="2">
        <f>850-K53*3.5</f>
        <v/>
      </c>
      <c r="M53" s="9">
        <f>1/(1+EXP(-(-4.2+0.055*K53)))</f>
        <v/>
      </c>
      <c r="N53" s="2">
        <f>IF(K53&lt;20,"A",IF(K53&lt;40,"B",IF(K53&lt;60,"C",IF(K53&lt;80,"D","E"))))</f>
        <v/>
      </c>
      <c r="O53" s="2">
        <f>IF(OR(N53="D",N53="E"),"Enhanced Review",IF(N53="C","Conditional","Approve"))</f>
        <v/>
      </c>
      <c r="P53" s="8">
        <f>H53*M53*45%</f>
        <v/>
      </c>
      <c r="Q53" s="9">
        <f>H53/B53</f>
        <v/>
      </c>
    </row>
    <row r="54">
      <c r="A54" s="11" t="inlineStr">
        <is>
          <t>B0050</t>
        </is>
      </c>
      <c r="B54" s="12" t="n">
        <v>91412</v>
      </c>
      <c r="C54" s="13" t="n">
        <v>0.4648826937842483</v>
      </c>
      <c r="D54" s="11" t="n">
        <v>613</v>
      </c>
      <c r="E54" s="13" t="n">
        <v>0.4609653150653097</v>
      </c>
      <c r="F54" s="11" t="n">
        <v>1</v>
      </c>
      <c r="G54" s="11" t="n">
        <v>5.8</v>
      </c>
      <c r="H54" s="12" t="n">
        <v>16564</v>
      </c>
      <c r="I54" s="11" t="n">
        <v>60</v>
      </c>
      <c r="J54" s="11" t="n">
        <v>1</v>
      </c>
      <c r="K54" s="2">
        <f>IF(D54&gt;=740,0,IF(D54&gt;=670,15,30))+IF(C54&lt;=25%,0,IF(C54&lt;=40%,15,30))+IF(E54&lt;=30%,0,IF(E54&lt;=60%,10,20))+IF(F54=0,0,IF(F54=1,10,25))+IF(G54&gt;=5,0,IF(G54&gt;=2,5,10))+IF(H54/B54&lt;=25%,0,IF(H54/B54&lt;=50%,10,20))+IF(I54=36,0,IF(I54=48,3,6))</f>
        <v/>
      </c>
      <c r="L54" s="2">
        <f>850-K54*3.5</f>
        <v/>
      </c>
      <c r="M54" s="9">
        <f>1/(1+EXP(-(-4.2+0.055*K54)))</f>
        <v/>
      </c>
      <c r="N54" s="2">
        <f>IF(K54&lt;20,"A",IF(K54&lt;40,"B",IF(K54&lt;60,"C",IF(K54&lt;80,"D","E"))))</f>
        <v/>
      </c>
      <c r="O54" s="2">
        <f>IF(OR(N54="D",N54="E"),"Enhanced Review",IF(N54="C","Conditional","Approve"))</f>
        <v/>
      </c>
      <c r="P54" s="8">
        <f>H54*M54*45%</f>
        <v/>
      </c>
      <c r="Q54" s="9">
        <f>H54/B54</f>
        <v/>
      </c>
    </row>
    <row r="55">
      <c r="A55" s="11" t="inlineStr">
        <is>
          <t>B0051</t>
        </is>
      </c>
      <c r="B55" s="12" t="n">
        <v>107528</v>
      </c>
      <c r="C55" s="13" t="n">
        <v>0.161283199981297</v>
      </c>
      <c r="D55" s="11" t="n">
        <v>722</v>
      </c>
      <c r="E55" s="13" t="n">
        <v>0.5347483133696974</v>
      </c>
      <c r="F55" s="11" t="n">
        <v>2</v>
      </c>
      <c r="G55" s="11" t="n">
        <v>4.1</v>
      </c>
      <c r="H55" s="12" t="n">
        <v>90000</v>
      </c>
      <c r="I55" s="11" t="n">
        <v>60</v>
      </c>
      <c r="J55" s="11" t="n">
        <v>1</v>
      </c>
      <c r="K55" s="2">
        <f>IF(D55&gt;=740,0,IF(D55&gt;=670,15,30))+IF(C55&lt;=25%,0,IF(C55&lt;=40%,15,30))+IF(E55&lt;=30%,0,IF(E55&lt;=60%,10,20))+IF(F55=0,0,IF(F55=1,10,25))+IF(G55&gt;=5,0,IF(G55&gt;=2,5,10))+IF(H55/B55&lt;=25%,0,IF(H55/B55&lt;=50%,10,20))+IF(I55=36,0,IF(I55=48,3,6))</f>
        <v/>
      </c>
      <c r="L55" s="2">
        <f>850-K55*3.5</f>
        <v/>
      </c>
      <c r="M55" s="9">
        <f>1/(1+EXP(-(-4.2+0.055*K55)))</f>
        <v/>
      </c>
      <c r="N55" s="2">
        <f>IF(K55&lt;20,"A",IF(K55&lt;40,"B",IF(K55&lt;60,"C",IF(K55&lt;80,"D","E"))))</f>
        <v/>
      </c>
      <c r="O55" s="2">
        <f>IF(OR(N55="D",N55="E"),"Enhanced Review",IF(N55="C","Conditional","Approve"))</f>
        <v/>
      </c>
      <c r="P55" s="8">
        <f>H55*M55*45%</f>
        <v/>
      </c>
      <c r="Q55" s="9">
        <f>H55/B55</f>
        <v/>
      </c>
    </row>
    <row r="56">
      <c r="A56" s="11" t="inlineStr">
        <is>
          <t>B0052</t>
        </is>
      </c>
      <c r="B56" s="12" t="n">
        <v>138135</v>
      </c>
      <c r="C56" s="13" t="n">
        <v>0.2061195912937095</v>
      </c>
      <c r="D56" s="11" t="n">
        <v>682</v>
      </c>
      <c r="E56" s="13" t="n">
        <v>0.2610463959333535</v>
      </c>
      <c r="F56" s="11" t="n">
        <v>0</v>
      </c>
      <c r="G56" s="11" t="n">
        <v>4</v>
      </c>
      <c r="H56" s="12" t="n">
        <v>22972</v>
      </c>
      <c r="I56" s="11" t="n">
        <v>36</v>
      </c>
      <c r="J56" s="11" t="n">
        <v>0</v>
      </c>
      <c r="K56" s="2">
        <f>IF(D56&gt;=740,0,IF(D56&gt;=670,15,30))+IF(C56&lt;=25%,0,IF(C56&lt;=40%,15,30))+IF(E56&lt;=30%,0,IF(E56&lt;=60%,10,20))+IF(F56=0,0,IF(F56=1,10,25))+IF(G56&gt;=5,0,IF(G56&gt;=2,5,10))+IF(H56/B56&lt;=25%,0,IF(H56/B56&lt;=50%,10,20))+IF(I56=36,0,IF(I56=48,3,6))</f>
        <v/>
      </c>
      <c r="L56" s="2">
        <f>850-K56*3.5</f>
        <v/>
      </c>
      <c r="M56" s="9">
        <f>1/(1+EXP(-(-4.2+0.055*K56)))</f>
        <v/>
      </c>
      <c r="N56" s="2">
        <f>IF(K56&lt;20,"A",IF(K56&lt;40,"B",IF(K56&lt;60,"C",IF(K56&lt;80,"D","E"))))</f>
        <v/>
      </c>
      <c r="O56" s="2">
        <f>IF(OR(N56="D",N56="E"),"Enhanced Review",IF(N56="C","Conditional","Approve"))</f>
        <v/>
      </c>
      <c r="P56" s="8">
        <f>H56*M56*45%</f>
        <v/>
      </c>
      <c r="Q56" s="9">
        <f>H56/B56</f>
        <v/>
      </c>
    </row>
    <row r="57">
      <c r="A57" s="11" t="inlineStr">
        <is>
          <t>B0053</t>
        </is>
      </c>
      <c r="B57" s="12" t="n">
        <v>62181</v>
      </c>
      <c r="C57" s="13" t="n">
        <v>0.3880362114544761</v>
      </c>
      <c r="D57" s="11" t="n">
        <v>752</v>
      </c>
      <c r="E57" s="13" t="n">
        <v>0.4558139840755154</v>
      </c>
      <c r="F57" s="11" t="n">
        <v>1</v>
      </c>
      <c r="G57" s="11" t="n">
        <v>11.8</v>
      </c>
      <c r="H57" s="12" t="n">
        <v>33910</v>
      </c>
      <c r="I57" s="11" t="n">
        <v>36</v>
      </c>
      <c r="J57" s="11" t="n">
        <v>0</v>
      </c>
      <c r="K57" s="2">
        <f>IF(D57&gt;=740,0,IF(D57&gt;=670,15,30))+IF(C57&lt;=25%,0,IF(C57&lt;=40%,15,30))+IF(E57&lt;=30%,0,IF(E57&lt;=60%,10,20))+IF(F57=0,0,IF(F57=1,10,25))+IF(G57&gt;=5,0,IF(G57&gt;=2,5,10))+IF(H57/B57&lt;=25%,0,IF(H57/B57&lt;=50%,10,20))+IF(I57=36,0,IF(I57=48,3,6))</f>
        <v/>
      </c>
      <c r="L57" s="2">
        <f>850-K57*3.5</f>
        <v/>
      </c>
      <c r="M57" s="9">
        <f>1/(1+EXP(-(-4.2+0.055*K57)))</f>
        <v/>
      </c>
      <c r="N57" s="2">
        <f>IF(K57&lt;20,"A",IF(K57&lt;40,"B",IF(K57&lt;60,"C",IF(K57&lt;80,"D","E"))))</f>
        <v/>
      </c>
      <c r="O57" s="2">
        <f>IF(OR(N57="D",N57="E"),"Enhanced Review",IF(N57="C","Conditional","Approve"))</f>
        <v/>
      </c>
      <c r="P57" s="8">
        <f>H57*M57*45%</f>
        <v/>
      </c>
      <c r="Q57" s="9">
        <f>H57/B57</f>
        <v/>
      </c>
    </row>
    <row r="58">
      <c r="A58" s="11" t="inlineStr">
        <is>
          <t>B0054</t>
        </is>
      </c>
      <c r="B58" s="12" t="n">
        <v>95960</v>
      </c>
      <c r="C58" s="13" t="n">
        <v>0.5105940809371762</v>
      </c>
      <c r="D58" s="11" t="n">
        <v>691</v>
      </c>
      <c r="E58" s="13" t="n">
        <v>0.1449774342769596</v>
      </c>
      <c r="F58" s="11" t="n">
        <v>0</v>
      </c>
      <c r="G58" s="11" t="n">
        <v>7.1</v>
      </c>
      <c r="H58" s="12" t="n">
        <v>26952</v>
      </c>
      <c r="I58" s="11" t="n">
        <v>36</v>
      </c>
      <c r="J58" s="11" t="n">
        <v>0</v>
      </c>
      <c r="K58" s="2">
        <f>IF(D58&gt;=740,0,IF(D58&gt;=670,15,30))+IF(C58&lt;=25%,0,IF(C58&lt;=40%,15,30))+IF(E58&lt;=30%,0,IF(E58&lt;=60%,10,20))+IF(F58=0,0,IF(F58=1,10,25))+IF(G58&gt;=5,0,IF(G58&gt;=2,5,10))+IF(H58/B58&lt;=25%,0,IF(H58/B58&lt;=50%,10,20))+IF(I58=36,0,IF(I58=48,3,6))</f>
        <v/>
      </c>
      <c r="L58" s="2">
        <f>850-K58*3.5</f>
        <v/>
      </c>
      <c r="M58" s="9">
        <f>1/(1+EXP(-(-4.2+0.055*K58)))</f>
        <v/>
      </c>
      <c r="N58" s="2">
        <f>IF(K58&lt;20,"A",IF(K58&lt;40,"B",IF(K58&lt;60,"C",IF(K58&lt;80,"D","E"))))</f>
        <v/>
      </c>
      <c r="O58" s="2">
        <f>IF(OR(N58="D",N58="E"),"Enhanced Review",IF(N58="C","Conditional","Approve"))</f>
        <v/>
      </c>
      <c r="P58" s="8">
        <f>H58*M58*45%</f>
        <v/>
      </c>
      <c r="Q58" s="9">
        <f>H58/B58</f>
        <v/>
      </c>
    </row>
    <row r="59">
      <c r="A59" s="11" t="inlineStr">
        <is>
          <t>B0055</t>
        </is>
      </c>
      <c r="B59" s="12" t="n">
        <v>78250</v>
      </c>
      <c r="C59" s="13" t="n">
        <v>0.1386358591074026</v>
      </c>
      <c r="D59" s="11" t="n">
        <v>638</v>
      </c>
      <c r="E59" s="13" t="n">
        <v>0.5009456242317333</v>
      </c>
      <c r="F59" s="11" t="n">
        <v>1</v>
      </c>
      <c r="G59" s="11" t="n">
        <v>5.1</v>
      </c>
      <c r="H59" s="12" t="n">
        <v>38173</v>
      </c>
      <c r="I59" s="11" t="n">
        <v>60</v>
      </c>
      <c r="J59" s="11" t="n">
        <v>0</v>
      </c>
      <c r="K59" s="2">
        <f>IF(D59&gt;=740,0,IF(D59&gt;=670,15,30))+IF(C59&lt;=25%,0,IF(C59&lt;=40%,15,30))+IF(E59&lt;=30%,0,IF(E59&lt;=60%,10,20))+IF(F59=0,0,IF(F59=1,10,25))+IF(G59&gt;=5,0,IF(G59&gt;=2,5,10))+IF(H59/B59&lt;=25%,0,IF(H59/B59&lt;=50%,10,20))+IF(I59=36,0,IF(I59=48,3,6))</f>
        <v/>
      </c>
      <c r="L59" s="2">
        <f>850-K59*3.5</f>
        <v/>
      </c>
      <c r="M59" s="9">
        <f>1/(1+EXP(-(-4.2+0.055*K59)))</f>
        <v/>
      </c>
      <c r="N59" s="2">
        <f>IF(K59&lt;20,"A",IF(K59&lt;40,"B",IF(K59&lt;60,"C",IF(K59&lt;80,"D","E"))))</f>
        <v/>
      </c>
      <c r="O59" s="2">
        <f>IF(OR(N59="D",N59="E"),"Enhanced Review",IF(N59="C","Conditional","Approve"))</f>
        <v/>
      </c>
      <c r="P59" s="8">
        <f>H59*M59*45%</f>
        <v/>
      </c>
      <c r="Q59" s="9">
        <f>H59/B59</f>
        <v/>
      </c>
    </row>
    <row r="60">
      <c r="A60" s="11" t="inlineStr">
        <is>
          <t>B0056</t>
        </is>
      </c>
      <c r="B60" s="12" t="n">
        <v>32430</v>
      </c>
      <c r="C60" s="13" t="n">
        <v>0.2431700778699954</v>
      </c>
      <c r="D60" s="11" t="n">
        <v>756</v>
      </c>
      <c r="E60" s="13" t="n">
        <v>0.4534052786592161</v>
      </c>
      <c r="F60" s="11" t="n">
        <v>0</v>
      </c>
      <c r="G60" s="11" t="n">
        <v>7.5</v>
      </c>
      <c r="H60" s="12" t="n">
        <v>21933</v>
      </c>
      <c r="I60" s="11" t="n">
        <v>60</v>
      </c>
      <c r="J60" s="11" t="n">
        <v>0</v>
      </c>
      <c r="K60" s="2">
        <f>IF(D60&gt;=740,0,IF(D60&gt;=670,15,30))+IF(C60&lt;=25%,0,IF(C60&lt;=40%,15,30))+IF(E60&lt;=30%,0,IF(E60&lt;=60%,10,20))+IF(F60=0,0,IF(F60=1,10,25))+IF(G60&gt;=5,0,IF(G60&gt;=2,5,10))+IF(H60/B60&lt;=25%,0,IF(H60/B60&lt;=50%,10,20))+IF(I60=36,0,IF(I60=48,3,6))</f>
        <v/>
      </c>
      <c r="L60" s="2">
        <f>850-K60*3.5</f>
        <v/>
      </c>
      <c r="M60" s="9">
        <f>1/(1+EXP(-(-4.2+0.055*K60)))</f>
        <v/>
      </c>
      <c r="N60" s="2">
        <f>IF(K60&lt;20,"A",IF(K60&lt;40,"B",IF(K60&lt;60,"C",IF(K60&lt;80,"D","E"))))</f>
        <v/>
      </c>
      <c r="O60" s="2">
        <f>IF(OR(N60="D",N60="E"),"Enhanced Review",IF(N60="C","Conditional","Approve"))</f>
        <v/>
      </c>
      <c r="P60" s="8">
        <f>H60*M60*45%</f>
        <v/>
      </c>
      <c r="Q60" s="9">
        <f>H60/B60</f>
        <v/>
      </c>
    </row>
    <row r="61">
      <c r="A61" s="11" t="inlineStr">
        <is>
          <t>B0057</t>
        </is>
      </c>
      <c r="B61" s="12" t="n">
        <v>78216</v>
      </c>
      <c r="C61" s="13" t="n">
        <v>0.1646533306050459</v>
      </c>
      <c r="D61" s="11" t="n">
        <v>681</v>
      </c>
      <c r="E61" s="13" t="n">
        <v>0.7788214648782193</v>
      </c>
      <c r="F61" s="11" t="n">
        <v>0</v>
      </c>
      <c r="G61" s="11" t="n">
        <v>12</v>
      </c>
      <c r="H61" s="12" t="n">
        <v>36066</v>
      </c>
      <c r="I61" s="11" t="n">
        <v>36</v>
      </c>
      <c r="J61" s="11" t="n">
        <v>0</v>
      </c>
      <c r="K61" s="2">
        <f>IF(D61&gt;=740,0,IF(D61&gt;=670,15,30))+IF(C61&lt;=25%,0,IF(C61&lt;=40%,15,30))+IF(E61&lt;=30%,0,IF(E61&lt;=60%,10,20))+IF(F61=0,0,IF(F61=1,10,25))+IF(G61&gt;=5,0,IF(G61&gt;=2,5,10))+IF(H61/B61&lt;=25%,0,IF(H61/B61&lt;=50%,10,20))+IF(I61=36,0,IF(I61=48,3,6))</f>
        <v/>
      </c>
      <c r="L61" s="2">
        <f>850-K61*3.5</f>
        <v/>
      </c>
      <c r="M61" s="9">
        <f>1/(1+EXP(-(-4.2+0.055*K61)))</f>
        <v/>
      </c>
      <c r="N61" s="2">
        <f>IF(K61&lt;20,"A",IF(K61&lt;40,"B",IF(K61&lt;60,"C",IF(K61&lt;80,"D","E"))))</f>
        <v/>
      </c>
      <c r="O61" s="2">
        <f>IF(OR(N61="D",N61="E"),"Enhanced Review",IF(N61="C","Conditional","Approve"))</f>
        <v/>
      </c>
      <c r="P61" s="8">
        <f>H61*M61*45%</f>
        <v/>
      </c>
      <c r="Q61" s="9">
        <f>H61/B61</f>
        <v/>
      </c>
    </row>
    <row r="62">
      <c r="A62" s="11" t="inlineStr">
        <is>
          <t>B0058</t>
        </is>
      </c>
      <c r="B62" s="12" t="n">
        <v>117577</v>
      </c>
      <c r="C62" s="13" t="n">
        <v>0.2284521285527323</v>
      </c>
      <c r="D62" s="11" t="n">
        <v>685</v>
      </c>
      <c r="E62" s="13" t="n">
        <v>0.7195677326461399</v>
      </c>
      <c r="F62" s="11" t="n">
        <v>1</v>
      </c>
      <c r="G62" s="11" t="n">
        <v>4.4</v>
      </c>
      <c r="H62" s="12" t="n">
        <v>29922</v>
      </c>
      <c r="I62" s="11" t="n">
        <v>60</v>
      </c>
      <c r="J62" s="11" t="n">
        <v>0</v>
      </c>
      <c r="K62" s="2">
        <f>IF(D62&gt;=740,0,IF(D62&gt;=670,15,30))+IF(C62&lt;=25%,0,IF(C62&lt;=40%,15,30))+IF(E62&lt;=30%,0,IF(E62&lt;=60%,10,20))+IF(F62=0,0,IF(F62=1,10,25))+IF(G62&gt;=5,0,IF(G62&gt;=2,5,10))+IF(H62/B62&lt;=25%,0,IF(H62/B62&lt;=50%,10,20))+IF(I62=36,0,IF(I62=48,3,6))</f>
        <v/>
      </c>
      <c r="L62" s="2">
        <f>850-K62*3.5</f>
        <v/>
      </c>
      <c r="M62" s="9">
        <f>1/(1+EXP(-(-4.2+0.055*K62)))</f>
        <v/>
      </c>
      <c r="N62" s="2">
        <f>IF(K62&lt;20,"A",IF(K62&lt;40,"B",IF(K62&lt;60,"C",IF(K62&lt;80,"D","E"))))</f>
        <v/>
      </c>
      <c r="O62" s="2">
        <f>IF(OR(N62="D",N62="E"),"Enhanced Review",IF(N62="C","Conditional","Approve"))</f>
        <v/>
      </c>
      <c r="P62" s="8">
        <f>H62*M62*45%</f>
        <v/>
      </c>
      <c r="Q62" s="9">
        <f>H62/B62</f>
        <v/>
      </c>
    </row>
    <row r="63">
      <c r="A63" s="11" t="inlineStr">
        <is>
          <t>B0059</t>
        </is>
      </c>
      <c r="B63" s="12" t="n">
        <v>106041</v>
      </c>
      <c r="C63" s="13" t="n">
        <v>0.1755709142065031</v>
      </c>
      <c r="D63" s="11" t="n">
        <v>750</v>
      </c>
      <c r="E63" s="13" t="n">
        <v>0.1727522381505911</v>
      </c>
      <c r="F63" s="11" t="n">
        <v>0</v>
      </c>
      <c r="G63" s="11" t="n">
        <v>20.1</v>
      </c>
      <c r="H63" s="12" t="n">
        <v>18657</v>
      </c>
      <c r="I63" s="11" t="n">
        <v>60</v>
      </c>
      <c r="J63" s="11" t="n">
        <v>0</v>
      </c>
      <c r="K63" s="2">
        <f>IF(D63&gt;=740,0,IF(D63&gt;=670,15,30))+IF(C63&lt;=25%,0,IF(C63&lt;=40%,15,30))+IF(E63&lt;=30%,0,IF(E63&lt;=60%,10,20))+IF(F63=0,0,IF(F63=1,10,25))+IF(G63&gt;=5,0,IF(G63&gt;=2,5,10))+IF(H63/B63&lt;=25%,0,IF(H63/B63&lt;=50%,10,20))+IF(I63=36,0,IF(I63=48,3,6))</f>
        <v/>
      </c>
      <c r="L63" s="2">
        <f>850-K63*3.5</f>
        <v/>
      </c>
      <c r="M63" s="9">
        <f>1/(1+EXP(-(-4.2+0.055*K63)))</f>
        <v/>
      </c>
      <c r="N63" s="2">
        <f>IF(K63&lt;20,"A",IF(K63&lt;40,"B",IF(K63&lt;60,"C",IF(K63&lt;80,"D","E"))))</f>
        <v/>
      </c>
      <c r="O63" s="2">
        <f>IF(OR(N63="D",N63="E"),"Enhanced Review",IF(N63="C","Conditional","Approve"))</f>
        <v/>
      </c>
      <c r="P63" s="8">
        <f>H63*M63*45%</f>
        <v/>
      </c>
      <c r="Q63" s="9">
        <f>H63/B63</f>
        <v/>
      </c>
    </row>
    <row r="64">
      <c r="A64" s="11" t="inlineStr">
        <is>
          <t>B0060</t>
        </is>
      </c>
      <c r="B64" s="12" t="n">
        <v>45515</v>
      </c>
      <c r="C64" s="13" t="n">
        <v>0.2767019420668173</v>
      </c>
      <c r="D64" s="11" t="n">
        <v>667</v>
      </c>
      <c r="E64" s="13" t="n">
        <v>0.6140242361869345</v>
      </c>
      <c r="F64" s="11" t="n">
        <v>0</v>
      </c>
      <c r="G64" s="11" t="n">
        <v>4.7</v>
      </c>
      <c r="H64" s="12" t="n">
        <v>16895</v>
      </c>
      <c r="I64" s="11" t="n">
        <v>36</v>
      </c>
      <c r="J64" s="11" t="n">
        <v>0</v>
      </c>
      <c r="K64" s="2">
        <f>IF(D64&gt;=740,0,IF(D64&gt;=670,15,30))+IF(C64&lt;=25%,0,IF(C64&lt;=40%,15,30))+IF(E64&lt;=30%,0,IF(E64&lt;=60%,10,20))+IF(F64=0,0,IF(F64=1,10,25))+IF(G64&gt;=5,0,IF(G64&gt;=2,5,10))+IF(H64/B64&lt;=25%,0,IF(H64/B64&lt;=50%,10,20))+IF(I64=36,0,IF(I64=48,3,6))</f>
        <v/>
      </c>
      <c r="L64" s="2">
        <f>850-K64*3.5</f>
        <v/>
      </c>
      <c r="M64" s="9">
        <f>1/(1+EXP(-(-4.2+0.055*K64)))</f>
        <v/>
      </c>
      <c r="N64" s="2">
        <f>IF(K64&lt;20,"A",IF(K64&lt;40,"B",IF(K64&lt;60,"C",IF(K64&lt;80,"D","E"))))</f>
        <v/>
      </c>
      <c r="O64" s="2">
        <f>IF(OR(N64="D",N64="E"),"Enhanced Review",IF(N64="C","Conditional","Approve"))</f>
        <v/>
      </c>
      <c r="P64" s="8">
        <f>H64*M64*45%</f>
        <v/>
      </c>
      <c r="Q64" s="9">
        <f>H64/B64</f>
        <v/>
      </c>
    </row>
    <row r="65">
      <c r="A65" s="11" t="inlineStr">
        <is>
          <t>B0061</t>
        </is>
      </c>
      <c r="B65" s="12" t="n">
        <v>134009</v>
      </c>
      <c r="C65" s="13" t="n">
        <v>0.03</v>
      </c>
      <c r="D65" s="11" t="n">
        <v>788</v>
      </c>
      <c r="E65" s="13" t="n">
        <v>0.5145941366955605</v>
      </c>
      <c r="F65" s="11" t="n">
        <v>1</v>
      </c>
      <c r="G65" s="11" t="n">
        <v>14.3</v>
      </c>
      <c r="H65" s="12" t="n">
        <v>16230</v>
      </c>
      <c r="I65" s="11" t="n">
        <v>36</v>
      </c>
      <c r="J65" s="11" t="n">
        <v>1</v>
      </c>
      <c r="K65" s="2">
        <f>IF(D65&gt;=740,0,IF(D65&gt;=670,15,30))+IF(C65&lt;=25%,0,IF(C65&lt;=40%,15,30))+IF(E65&lt;=30%,0,IF(E65&lt;=60%,10,20))+IF(F65=0,0,IF(F65=1,10,25))+IF(G65&gt;=5,0,IF(G65&gt;=2,5,10))+IF(H65/B65&lt;=25%,0,IF(H65/B65&lt;=50%,10,20))+IF(I65=36,0,IF(I65=48,3,6))</f>
        <v/>
      </c>
      <c r="L65" s="2">
        <f>850-K65*3.5</f>
        <v/>
      </c>
      <c r="M65" s="9">
        <f>1/(1+EXP(-(-4.2+0.055*K65)))</f>
        <v/>
      </c>
      <c r="N65" s="2">
        <f>IF(K65&lt;20,"A",IF(K65&lt;40,"B",IF(K65&lt;60,"C",IF(K65&lt;80,"D","E"))))</f>
        <v/>
      </c>
      <c r="O65" s="2">
        <f>IF(OR(N65="D",N65="E"),"Enhanced Review",IF(N65="C","Conditional","Approve"))</f>
        <v/>
      </c>
      <c r="P65" s="8">
        <f>H65*M65*45%</f>
        <v/>
      </c>
      <c r="Q65" s="9">
        <f>H65/B65</f>
        <v/>
      </c>
    </row>
    <row r="66">
      <c r="A66" s="11" t="inlineStr">
        <is>
          <t>B0062</t>
        </is>
      </c>
      <c r="B66" s="12" t="n">
        <v>55488</v>
      </c>
      <c r="C66" s="13" t="n">
        <v>0.1832255707172014</v>
      </c>
      <c r="D66" s="11" t="n">
        <v>677</v>
      </c>
      <c r="E66" s="13" t="n">
        <v>0.1170202987859333</v>
      </c>
      <c r="F66" s="11" t="n">
        <v>1</v>
      </c>
      <c r="G66" s="11" t="n">
        <v>4.8</v>
      </c>
      <c r="H66" s="12" t="n">
        <v>23204</v>
      </c>
      <c r="I66" s="11" t="n">
        <v>60</v>
      </c>
      <c r="J66" s="11" t="n">
        <v>0</v>
      </c>
      <c r="K66" s="2">
        <f>IF(D66&gt;=740,0,IF(D66&gt;=670,15,30))+IF(C66&lt;=25%,0,IF(C66&lt;=40%,15,30))+IF(E66&lt;=30%,0,IF(E66&lt;=60%,10,20))+IF(F66=0,0,IF(F66=1,10,25))+IF(G66&gt;=5,0,IF(G66&gt;=2,5,10))+IF(H66/B66&lt;=25%,0,IF(H66/B66&lt;=50%,10,20))+IF(I66=36,0,IF(I66=48,3,6))</f>
        <v/>
      </c>
      <c r="L66" s="2">
        <f>850-K66*3.5</f>
        <v/>
      </c>
      <c r="M66" s="9">
        <f>1/(1+EXP(-(-4.2+0.055*K66)))</f>
        <v/>
      </c>
      <c r="N66" s="2">
        <f>IF(K66&lt;20,"A",IF(K66&lt;40,"B",IF(K66&lt;60,"C",IF(K66&lt;80,"D","E"))))</f>
        <v/>
      </c>
      <c r="O66" s="2">
        <f>IF(OR(N66="D",N66="E"),"Enhanced Review",IF(N66="C","Conditional","Approve"))</f>
        <v/>
      </c>
      <c r="P66" s="8">
        <f>H66*M66*45%</f>
        <v/>
      </c>
      <c r="Q66" s="9">
        <f>H66/B66</f>
        <v/>
      </c>
    </row>
    <row r="67">
      <c r="A67" s="11" t="inlineStr">
        <is>
          <t>B0063</t>
        </is>
      </c>
      <c r="B67" s="12" t="n">
        <v>55920</v>
      </c>
      <c r="C67" s="13" t="n">
        <v>0.15813053599534</v>
      </c>
      <c r="D67" s="11" t="n">
        <v>641</v>
      </c>
      <c r="E67" s="13" t="n">
        <v>0.4247044830627357</v>
      </c>
      <c r="F67" s="11" t="n">
        <v>0</v>
      </c>
      <c r="G67" s="11" t="n">
        <v>7.4</v>
      </c>
      <c r="H67" s="12" t="n">
        <v>20227</v>
      </c>
      <c r="I67" s="11" t="n">
        <v>60</v>
      </c>
      <c r="J67" s="11" t="n">
        <v>0</v>
      </c>
      <c r="K67" s="2">
        <f>IF(D67&gt;=740,0,IF(D67&gt;=670,15,30))+IF(C67&lt;=25%,0,IF(C67&lt;=40%,15,30))+IF(E67&lt;=30%,0,IF(E67&lt;=60%,10,20))+IF(F67=0,0,IF(F67=1,10,25))+IF(G67&gt;=5,0,IF(G67&gt;=2,5,10))+IF(H67/B67&lt;=25%,0,IF(H67/B67&lt;=50%,10,20))+IF(I67=36,0,IF(I67=48,3,6))</f>
        <v/>
      </c>
      <c r="L67" s="2">
        <f>850-K67*3.5</f>
        <v/>
      </c>
      <c r="M67" s="9">
        <f>1/(1+EXP(-(-4.2+0.055*K67)))</f>
        <v/>
      </c>
      <c r="N67" s="2">
        <f>IF(K67&lt;20,"A",IF(K67&lt;40,"B",IF(K67&lt;60,"C",IF(K67&lt;80,"D","E"))))</f>
        <v/>
      </c>
      <c r="O67" s="2">
        <f>IF(OR(N67="D",N67="E"),"Enhanced Review",IF(N67="C","Conditional","Approve"))</f>
        <v/>
      </c>
      <c r="P67" s="8">
        <f>H67*M67*45%</f>
        <v/>
      </c>
      <c r="Q67" s="9">
        <f>H67/B67</f>
        <v/>
      </c>
    </row>
    <row r="68">
      <c r="A68" s="11" t="inlineStr">
        <is>
          <t>B0064</t>
        </is>
      </c>
      <c r="B68" s="12" t="n">
        <v>98103</v>
      </c>
      <c r="C68" s="13" t="n">
        <v>0.3302543828759386</v>
      </c>
      <c r="D68" s="11" t="n">
        <v>691</v>
      </c>
      <c r="E68" s="13" t="n">
        <v>0.2747550910262307</v>
      </c>
      <c r="F68" s="11" t="n">
        <v>0</v>
      </c>
      <c r="G68" s="11" t="n">
        <v>12.4</v>
      </c>
      <c r="H68" s="12" t="n">
        <v>31544</v>
      </c>
      <c r="I68" s="11" t="n">
        <v>60</v>
      </c>
      <c r="J68" s="11" t="n">
        <v>0</v>
      </c>
      <c r="K68" s="2">
        <f>IF(D68&gt;=740,0,IF(D68&gt;=670,15,30))+IF(C68&lt;=25%,0,IF(C68&lt;=40%,15,30))+IF(E68&lt;=30%,0,IF(E68&lt;=60%,10,20))+IF(F68=0,0,IF(F68=1,10,25))+IF(G68&gt;=5,0,IF(G68&gt;=2,5,10))+IF(H68/B68&lt;=25%,0,IF(H68/B68&lt;=50%,10,20))+IF(I68=36,0,IF(I68=48,3,6))</f>
        <v/>
      </c>
      <c r="L68" s="2">
        <f>850-K68*3.5</f>
        <v/>
      </c>
      <c r="M68" s="9">
        <f>1/(1+EXP(-(-4.2+0.055*K68)))</f>
        <v/>
      </c>
      <c r="N68" s="2">
        <f>IF(K68&lt;20,"A",IF(K68&lt;40,"B",IF(K68&lt;60,"C",IF(K68&lt;80,"D","E"))))</f>
        <v/>
      </c>
      <c r="O68" s="2">
        <f>IF(OR(N68="D",N68="E"),"Enhanced Review",IF(N68="C","Conditional","Approve"))</f>
        <v/>
      </c>
      <c r="P68" s="8">
        <f>H68*M68*45%</f>
        <v/>
      </c>
      <c r="Q68" s="9">
        <f>H68/B68</f>
        <v/>
      </c>
    </row>
    <row r="69">
      <c r="A69" s="11" t="inlineStr">
        <is>
          <t>B0065</t>
        </is>
      </c>
      <c r="B69" s="12" t="n">
        <v>66041</v>
      </c>
      <c r="C69" s="13" t="n">
        <v>0.03386534715667876</v>
      </c>
      <c r="D69" s="11" t="n">
        <v>706</v>
      </c>
      <c r="E69" s="13" t="n">
        <v>0.7015201990113271</v>
      </c>
      <c r="F69" s="11" t="n">
        <v>1</v>
      </c>
      <c r="G69" s="11" t="n">
        <v>11.5</v>
      </c>
      <c r="H69" s="12" t="n">
        <v>33061</v>
      </c>
      <c r="I69" s="11" t="n">
        <v>60</v>
      </c>
      <c r="J69" s="11" t="n">
        <v>0</v>
      </c>
      <c r="K69" s="2">
        <f>IF(D69&gt;=740,0,IF(D69&gt;=670,15,30))+IF(C69&lt;=25%,0,IF(C69&lt;=40%,15,30))+IF(E69&lt;=30%,0,IF(E69&lt;=60%,10,20))+IF(F69=0,0,IF(F69=1,10,25))+IF(G69&gt;=5,0,IF(G69&gt;=2,5,10))+IF(H69/B69&lt;=25%,0,IF(H69/B69&lt;=50%,10,20))+IF(I69=36,0,IF(I69=48,3,6))</f>
        <v/>
      </c>
      <c r="L69" s="2">
        <f>850-K69*3.5</f>
        <v/>
      </c>
      <c r="M69" s="9">
        <f>1/(1+EXP(-(-4.2+0.055*K69)))</f>
        <v/>
      </c>
      <c r="N69" s="2">
        <f>IF(K69&lt;20,"A",IF(K69&lt;40,"B",IF(K69&lt;60,"C",IF(K69&lt;80,"D","E"))))</f>
        <v/>
      </c>
      <c r="O69" s="2">
        <f>IF(OR(N69="D",N69="E"),"Enhanced Review",IF(N69="C","Conditional","Approve"))</f>
        <v/>
      </c>
      <c r="P69" s="8">
        <f>H69*M69*45%</f>
        <v/>
      </c>
      <c r="Q69" s="9">
        <f>H69/B69</f>
        <v/>
      </c>
    </row>
    <row r="70">
      <c r="A70" s="11" t="inlineStr">
        <is>
          <t>B0066</t>
        </is>
      </c>
      <c r="B70" s="12" t="n">
        <v>161634</v>
      </c>
      <c r="C70" s="13" t="n">
        <v>0.0939512706069054</v>
      </c>
      <c r="D70" s="11" t="n">
        <v>590</v>
      </c>
      <c r="E70" s="13" t="n">
        <v>0.5409935805063784</v>
      </c>
      <c r="F70" s="11" t="n">
        <v>1</v>
      </c>
      <c r="G70" s="11" t="n">
        <v>2.3</v>
      </c>
      <c r="H70" s="12" t="n">
        <v>37103</v>
      </c>
      <c r="I70" s="11" t="n">
        <v>36</v>
      </c>
      <c r="J70" s="11" t="n">
        <v>1</v>
      </c>
      <c r="K70" s="2">
        <f>IF(D70&gt;=740,0,IF(D70&gt;=670,15,30))+IF(C70&lt;=25%,0,IF(C70&lt;=40%,15,30))+IF(E70&lt;=30%,0,IF(E70&lt;=60%,10,20))+IF(F70=0,0,IF(F70=1,10,25))+IF(G70&gt;=5,0,IF(G70&gt;=2,5,10))+IF(H70/B70&lt;=25%,0,IF(H70/B70&lt;=50%,10,20))+IF(I70=36,0,IF(I70=48,3,6))</f>
        <v/>
      </c>
      <c r="L70" s="2">
        <f>850-K70*3.5</f>
        <v/>
      </c>
      <c r="M70" s="9">
        <f>1/(1+EXP(-(-4.2+0.055*K70)))</f>
        <v/>
      </c>
      <c r="N70" s="2">
        <f>IF(K70&lt;20,"A",IF(K70&lt;40,"B",IF(K70&lt;60,"C",IF(K70&lt;80,"D","E"))))</f>
        <v/>
      </c>
      <c r="O70" s="2">
        <f>IF(OR(N70="D",N70="E"),"Enhanced Review",IF(N70="C","Conditional","Approve"))</f>
        <v/>
      </c>
      <c r="P70" s="8">
        <f>H70*M70*45%</f>
        <v/>
      </c>
      <c r="Q70" s="9">
        <f>H70/B70</f>
        <v/>
      </c>
    </row>
    <row r="71">
      <c r="A71" s="11" t="inlineStr">
        <is>
          <t>B0067</t>
        </is>
      </c>
      <c r="B71" s="12" t="n">
        <v>85975</v>
      </c>
      <c r="C71" s="13" t="n">
        <v>0.2963854428349298</v>
      </c>
      <c r="D71" s="11" t="n">
        <v>814</v>
      </c>
      <c r="E71" s="13" t="n">
        <v>0.6530677126967726</v>
      </c>
      <c r="F71" s="11" t="n">
        <v>0</v>
      </c>
      <c r="G71" s="11" t="n">
        <v>10.2</v>
      </c>
      <c r="H71" s="12" t="n">
        <v>35639</v>
      </c>
      <c r="I71" s="11" t="n">
        <v>60</v>
      </c>
      <c r="J71" s="11" t="n">
        <v>0</v>
      </c>
      <c r="K71" s="2">
        <f>IF(D71&gt;=740,0,IF(D71&gt;=670,15,30))+IF(C71&lt;=25%,0,IF(C71&lt;=40%,15,30))+IF(E71&lt;=30%,0,IF(E71&lt;=60%,10,20))+IF(F71=0,0,IF(F71=1,10,25))+IF(G71&gt;=5,0,IF(G71&gt;=2,5,10))+IF(H71/B71&lt;=25%,0,IF(H71/B71&lt;=50%,10,20))+IF(I71=36,0,IF(I71=48,3,6))</f>
        <v/>
      </c>
      <c r="L71" s="2">
        <f>850-K71*3.5</f>
        <v/>
      </c>
      <c r="M71" s="9">
        <f>1/(1+EXP(-(-4.2+0.055*K71)))</f>
        <v/>
      </c>
      <c r="N71" s="2">
        <f>IF(K71&lt;20,"A",IF(K71&lt;40,"B",IF(K71&lt;60,"C",IF(K71&lt;80,"D","E"))))</f>
        <v/>
      </c>
      <c r="O71" s="2">
        <f>IF(OR(N71="D",N71="E"),"Enhanced Review",IF(N71="C","Conditional","Approve"))</f>
        <v/>
      </c>
      <c r="P71" s="8">
        <f>H71*M71*45%</f>
        <v/>
      </c>
      <c r="Q71" s="9">
        <f>H71/B71</f>
        <v/>
      </c>
    </row>
    <row r="72">
      <c r="A72" s="11" t="inlineStr">
        <is>
          <t>B0068</t>
        </is>
      </c>
      <c r="B72" s="12" t="n">
        <v>130513</v>
      </c>
      <c r="C72" s="13" t="n">
        <v>0.19871445156719</v>
      </c>
      <c r="D72" s="11" t="n">
        <v>604</v>
      </c>
      <c r="E72" s="13" t="n">
        <v>0.2001719408377348</v>
      </c>
      <c r="F72" s="11" t="n">
        <v>0</v>
      </c>
      <c r="G72" s="11" t="n">
        <v>5</v>
      </c>
      <c r="H72" s="12" t="n">
        <v>13865</v>
      </c>
      <c r="I72" s="11" t="n">
        <v>36</v>
      </c>
      <c r="J72" s="11" t="n">
        <v>1</v>
      </c>
      <c r="K72" s="2">
        <f>IF(D72&gt;=740,0,IF(D72&gt;=670,15,30))+IF(C72&lt;=25%,0,IF(C72&lt;=40%,15,30))+IF(E72&lt;=30%,0,IF(E72&lt;=60%,10,20))+IF(F72=0,0,IF(F72=1,10,25))+IF(G72&gt;=5,0,IF(G72&gt;=2,5,10))+IF(H72/B72&lt;=25%,0,IF(H72/B72&lt;=50%,10,20))+IF(I72=36,0,IF(I72=48,3,6))</f>
        <v/>
      </c>
      <c r="L72" s="2">
        <f>850-K72*3.5</f>
        <v/>
      </c>
      <c r="M72" s="9">
        <f>1/(1+EXP(-(-4.2+0.055*K72)))</f>
        <v/>
      </c>
      <c r="N72" s="2">
        <f>IF(K72&lt;20,"A",IF(K72&lt;40,"B",IF(K72&lt;60,"C",IF(K72&lt;80,"D","E"))))</f>
        <v/>
      </c>
      <c r="O72" s="2">
        <f>IF(OR(N72="D",N72="E"),"Enhanced Review",IF(N72="C","Conditional","Approve"))</f>
        <v/>
      </c>
      <c r="P72" s="8">
        <f>H72*M72*45%</f>
        <v/>
      </c>
      <c r="Q72" s="9">
        <f>H72/B72</f>
        <v/>
      </c>
    </row>
    <row r="73">
      <c r="A73" s="11" t="inlineStr">
        <is>
          <t>B0069</t>
        </is>
      </c>
      <c r="B73" s="12" t="n">
        <v>76871</v>
      </c>
      <c r="C73" s="13" t="n">
        <v>0.1254191515422522</v>
      </c>
      <c r="D73" s="11" t="n">
        <v>703</v>
      </c>
      <c r="E73" s="13" t="n">
        <v>0.7188155176828308</v>
      </c>
      <c r="F73" s="11" t="n">
        <v>0</v>
      </c>
      <c r="G73" s="11" t="n">
        <v>5.4</v>
      </c>
      <c r="H73" s="12" t="n">
        <v>27444</v>
      </c>
      <c r="I73" s="11" t="n">
        <v>36</v>
      </c>
      <c r="J73" s="11" t="n">
        <v>0</v>
      </c>
      <c r="K73" s="2">
        <f>IF(D73&gt;=740,0,IF(D73&gt;=670,15,30))+IF(C73&lt;=25%,0,IF(C73&lt;=40%,15,30))+IF(E73&lt;=30%,0,IF(E73&lt;=60%,10,20))+IF(F73=0,0,IF(F73=1,10,25))+IF(G73&gt;=5,0,IF(G73&gt;=2,5,10))+IF(H73/B73&lt;=25%,0,IF(H73/B73&lt;=50%,10,20))+IF(I73=36,0,IF(I73=48,3,6))</f>
        <v/>
      </c>
      <c r="L73" s="2">
        <f>850-K73*3.5</f>
        <v/>
      </c>
      <c r="M73" s="9">
        <f>1/(1+EXP(-(-4.2+0.055*K73)))</f>
        <v/>
      </c>
      <c r="N73" s="2">
        <f>IF(K73&lt;20,"A",IF(K73&lt;40,"B",IF(K73&lt;60,"C",IF(K73&lt;80,"D","E"))))</f>
        <v/>
      </c>
      <c r="O73" s="2">
        <f>IF(OR(N73="D",N73="E"),"Enhanced Review",IF(N73="C","Conditional","Approve"))</f>
        <v/>
      </c>
      <c r="P73" s="8">
        <f>H73*M73*45%</f>
        <v/>
      </c>
      <c r="Q73" s="9">
        <f>H73/B73</f>
        <v/>
      </c>
    </row>
    <row r="74">
      <c r="A74" s="11" t="inlineStr">
        <is>
          <t>B0070</t>
        </is>
      </c>
      <c r="B74" s="12" t="n">
        <v>85114</v>
      </c>
      <c r="C74" s="13" t="n">
        <v>0.04878172107927788</v>
      </c>
      <c r="D74" s="11" t="n">
        <v>704</v>
      </c>
      <c r="E74" s="13" t="n">
        <v>0.6287129346619948</v>
      </c>
      <c r="F74" s="11" t="n">
        <v>0</v>
      </c>
      <c r="G74" s="11" t="n">
        <v>13.3</v>
      </c>
      <c r="H74" s="12" t="n">
        <v>31868</v>
      </c>
      <c r="I74" s="11" t="n">
        <v>60</v>
      </c>
      <c r="J74" s="11" t="n">
        <v>0</v>
      </c>
      <c r="K74" s="2">
        <f>IF(D74&gt;=740,0,IF(D74&gt;=670,15,30))+IF(C74&lt;=25%,0,IF(C74&lt;=40%,15,30))+IF(E74&lt;=30%,0,IF(E74&lt;=60%,10,20))+IF(F74=0,0,IF(F74=1,10,25))+IF(G74&gt;=5,0,IF(G74&gt;=2,5,10))+IF(H74/B74&lt;=25%,0,IF(H74/B74&lt;=50%,10,20))+IF(I74=36,0,IF(I74=48,3,6))</f>
        <v/>
      </c>
      <c r="L74" s="2">
        <f>850-K74*3.5</f>
        <v/>
      </c>
      <c r="M74" s="9">
        <f>1/(1+EXP(-(-4.2+0.055*K74)))</f>
        <v/>
      </c>
      <c r="N74" s="2">
        <f>IF(K74&lt;20,"A",IF(K74&lt;40,"B",IF(K74&lt;60,"C",IF(K74&lt;80,"D","E"))))</f>
        <v/>
      </c>
      <c r="O74" s="2">
        <f>IF(OR(N74="D",N74="E"),"Enhanced Review",IF(N74="C","Conditional","Approve"))</f>
        <v/>
      </c>
      <c r="P74" s="8">
        <f>H74*M74*45%</f>
        <v/>
      </c>
      <c r="Q74" s="9">
        <f>H74/B74</f>
        <v/>
      </c>
    </row>
    <row r="75">
      <c r="A75" s="11" t="inlineStr">
        <is>
          <t>B0071</t>
        </is>
      </c>
      <c r="B75" s="12" t="n">
        <v>101290</v>
      </c>
      <c r="C75" s="13" t="n">
        <v>0.1609701535857785</v>
      </c>
      <c r="D75" s="11" t="n">
        <v>685</v>
      </c>
      <c r="E75" s="13" t="n">
        <v>0.2705038284780983</v>
      </c>
      <c r="F75" s="11" t="n">
        <v>0</v>
      </c>
      <c r="G75" s="11" t="n">
        <v>8.800000000000001</v>
      </c>
      <c r="H75" s="12" t="n">
        <v>23069</v>
      </c>
      <c r="I75" s="11" t="n">
        <v>48</v>
      </c>
      <c r="J75" s="11" t="n">
        <v>0</v>
      </c>
      <c r="K75" s="2">
        <f>IF(D75&gt;=740,0,IF(D75&gt;=670,15,30))+IF(C75&lt;=25%,0,IF(C75&lt;=40%,15,30))+IF(E75&lt;=30%,0,IF(E75&lt;=60%,10,20))+IF(F75=0,0,IF(F75=1,10,25))+IF(G75&gt;=5,0,IF(G75&gt;=2,5,10))+IF(H75/B75&lt;=25%,0,IF(H75/B75&lt;=50%,10,20))+IF(I75=36,0,IF(I75=48,3,6))</f>
        <v/>
      </c>
      <c r="L75" s="2">
        <f>850-K75*3.5</f>
        <v/>
      </c>
      <c r="M75" s="9">
        <f>1/(1+EXP(-(-4.2+0.055*K75)))</f>
        <v/>
      </c>
      <c r="N75" s="2">
        <f>IF(K75&lt;20,"A",IF(K75&lt;40,"B",IF(K75&lt;60,"C",IF(K75&lt;80,"D","E"))))</f>
        <v/>
      </c>
      <c r="O75" s="2">
        <f>IF(OR(N75="D",N75="E"),"Enhanced Review",IF(N75="C","Conditional","Approve"))</f>
        <v/>
      </c>
      <c r="P75" s="8">
        <f>H75*M75*45%</f>
        <v/>
      </c>
      <c r="Q75" s="9">
        <f>H75/B75</f>
        <v/>
      </c>
    </row>
    <row r="76">
      <c r="A76" s="11" t="inlineStr">
        <is>
          <t>B0072</t>
        </is>
      </c>
      <c r="B76" s="12" t="n">
        <v>25579</v>
      </c>
      <c r="C76" s="13" t="n">
        <v>0.1544713405099804</v>
      </c>
      <c r="D76" s="11" t="n">
        <v>785</v>
      </c>
      <c r="E76" s="13" t="n">
        <v>0.4997252402728773</v>
      </c>
      <c r="F76" s="11" t="n">
        <v>1</v>
      </c>
      <c r="G76" s="11" t="n">
        <v>5.6</v>
      </c>
      <c r="H76" s="12" t="n">
        <v>55887</v>
      </c>
      <c r="I76" s="11" t="n">
        <v>48</v>
      </c>
      <c r="J76" s="11" t="n">
        <v>0</v>
      </c>
      <c r="K76" s="2">
        <f>IF(D76&gt;=740,0,IF(D76&gt;=670,15,30))+IF(C76&lt;=25%,0,IF(C76&lt;=40%,15,30))+IF(E76&lt;=30%,0,IF(E76&lt;=60%,10,20))+IF(F76=0,0,IF(F76=1,10,25))+IF(G76&gt;=5,0,IF(G76&gt;=2,5,10))+IF(H76/B76&lt;=25%,0,IF(H76/B76&lt;=50%,10,20))+IF(I76=36,0,IF(I76=48,3,6))</f>
        <v/>
      </c>
      <c r="L76" s="2">
        <f>850-K76*3.5</f>
        <v/>
      </c>
      <c r="M76" s="9">
        <f>1/(1+EXP(-(-4.2+0.055*K76)))</f>
        <v/>
      </c>
      <c r="N76" s="2">
        <f>IF(K76&lt;20,"A",IF(K76&lt;40,"B",IF(K76&lt;60,"C",IF(K76&lt;80,"D","E"))))</f>
        <v/>
      </c>
      <c r="O76" s="2">
        <f>IF(OR(N76="D",N76="E"),"Enhanced Review",IF(N76="C","Conditional","Approve"))</f>
        <v/>
      </c>
      <c r="P76" s="8">
        <f>H76*M76*45%</f>
        <v/>
      </c>
      <c r="Q76" s="9">
        <f>H76/B76</f>
        <v/>
      </c>
    </row>
    <row r="77">
      <c r="A77" s="11" t="inlineStr">
        <is>
          <t>B0073</t>
        </is>
      </c>
      <c r="B77" s="12" t="n">
        <v>57205</v>
      </c>
      <c r="C77" s="13" t="n">
        <v>0.192194993511665</v>
      </c>
      <c r="D77" s="11" t="n">
        <v>657</v>
      </c>
      <c r="E77" s="13" t="n">
        <v>0.5046191034396694</v>
      </c>
      <c r="F77" s="11" t="n">
        <v>0</v>
      </c>
      <c r="G77" s="11" t="n">
        <v>8.1</v>
      </c>
      <c r="H77" s="12" t="n">
        <v>47485</v>
      </c>
      <c r="I77" s="11" t="n">
        <v>36</v>
      </c>
      <c r="J77" s="11" t="n">
        <v>0</v>
      </c>
      <c r="K77" s="2">
        <f>IF(D77&gt;=740,0,IF(D77&gt;=670,15,30))+IF(C77&lt;=25%,0,IF(C77&lt;=40%,15,30))+IF(E77&lt;=30%,0,IF(E77&lt;=60%,10,20))+IF(F77=0,0,IF(F77=1,10,25))+IF(G77&gt;=5,0,IF(G77&gt;=2,5,10))+IF(H77/B77&lt;=25%,0,IF(H77/B77&lt;=50%,10,20))+IF(I77=36,0,IF(I77=48,3,6))</f>
        <v/>
      </c>
      <c r="L77" s="2">
        <f>850-K77*3.5</f>
        <v/>
      </c>
      <c r="M77" s="9">
        <f>1/(1+EXP(-(-4.2+0.055*K77)))</f>
        <v/>
      </c>
      <c r="N77" s="2">
        <f>IF(K77&lt;20,"A",IF(K77&lt;40,"B",IF(K77&lt;60,"C",IF(K77&lt;80,"D","E"))))</f>
        <v/>
      </c>
      <c r="O77" s="2">
        <f>IF(OR(N77="D",N77="E"),"Enhanced Review",IF(N77="C","Conditional","Approve"))</f>
        <v/>
      </c>
      <c r="P77" s="8">
        <f>H77*M77*45%</f>
        <v/>
      </c>
      <c r="Q77" s="9">
        <f>H77/B77</f>
        <v/>
      </c>
    </row>
    <row r="78">
      <c r="A78" s="11" t="inlineStr">
        <is>
          <t>B0074</t>
        </is>
      </c>
      <c r="B78" s="12" t="n">
        <v>35441</v>
      </c>
      <c r="C78" s="13" t="n">
        <v>0.2790265893826583</v>
      </c>
      <c r="D78" s="11" t="n">
        <v>639</v>
      </c>
      <c r="E78" s="13" t="n">
        <v>0.3148933038276631</v>
      </c>
      <c r="F78" s="11" t="n">
        <v>0</v>
      </c>
      <c r="G78" s="11" t="n">
        <v>4.9</v>
      </c>
      <c r="H78" s="12" t="n">
        <v>22468</v>
      </c>
      <c r="I78" s="11" t="n">
        <v>36</v>
      </c>
      <c r="J78" s="11" t="n">
        <v>0</v>
      </c>
      <c r="K78" s="2">
        <f>IF(D78&gt;=740,0,IF(D78&gt;=670,15,30))+IF(C78&lt;=25%,0,IF(C78&lt;=40%,15,30))+IF(E78&lt;=30%,0,IF(E78&lt;=60%,10,20))+IF(F78=0,0,IF(F78=1,10,25))+IF(G78&gt;=5,0,IF(G78&gt;=2,5,10))+IF(H78/B78&lt;=25%,0,IF(H78/B78&lt;=50%,10,20))+IF(I78=36,0,IF(I78=48,3,6))</f>
        <v/>
      </c>
      <c r="L78" s="2">
        <f>850-K78*3.5</f>
        <v/>
      </c>
      <c r="M78" s="9">
        <f>1/(1+EXP(-(-4.2+0.055*K78)))</f>
        <v/>
      </c>
      <c r="N78" s="2">
        <f>IF(K78&lt;20,"A",IF(K78&lt;40,"B",IF(K78&lt;60,"C",IF(K78&lt;80,"D","E"))))</f>
        <v/>
      </c>
      <c r="O78" s="2">
        <f>IF(OR(N78="D",N78="E"),"Enhanced Review",IF(N78="C","Conditional","Approve"))</f>
        <v/>
      </c>
      <c r="P78" s="8">
        <f>H78*M78*45%</f>
        <v/>
      </c>
      <c r="Q78" s="9">
        <f>H78/B78</f>
        <v/>
      </c>
    </row>
    <row r="79">
      <c r="A79" s="11" t="inlineStr">
        <is>
          <t>B0075</t>
        </is>
      </c>
      <c r="B79" s="12" t="n">
        <v>36147</v>
      </c>
      <c r="C79" s="13" t="n">
        <v>0.1394454017987423</v>
      </c>
      <c r="D79" s="11" t="n">
        <v>553</v>
      </c>
      <c r="E79" s="13" t="n">
        <v>0.3992405811984416</v>
      </c>
      <c r="F79" s="11" t="n">
        <v>2</v>
      </c>
      <c r="G79" s="11" t="n">
        <v>2.8</v>
      </c>
      <c r="H79" s="12" t="n">
        <v>4311</v>
      </c>
      <c r="I79" s="11" t="n">
        <v>48</v>
      </c>
      <c r="J79" s="11" t="n">
        <v>1</v>
      </c>
      <c r="K79" s="2">
        <f>IF(D79&gt;=740,0,IF(D79&gt;=670,15,30))+IF(C79&lt;=25%,0,IF(C79&lt;=40%,15,30))+IF(E79&lt;=30%,0,IF(E79&lt;=60%,10,20))+IF(F79=0,0,IF(F79=1,10,25))+IF(G79&gt;=5,0,IF(G79&gt;=2,5,10))+IF(H79/B79&lt;=25%,0,IF(H79/B79&lt;=50%,10,20))+IF(I79=36,0,IF(I79=48,3,6))</f>
        <v/>
      </c>
      <c r="L79" s="2">
        <f>850-K79*3.5</f>
        <v/>
      </c>
      <c r="M79" s="9">
        <f>1/(1+EXP(-(-4.2+0.055*K79)))</f>
        <v/>
      </c>
      <c r="N79" s="2">
        <f>IF(K79&lt;20,"A",IF(K79&lt;40,"B",IF(K79&lt;60,"C",IF(K79&lt;80,"D","E"))))</f>
        <v/>
      </c>
      <c r="O79" s="2">
        <f>IF(OR(N79="D",N79="E"),"Enhanced Review",IF(N79="C","Conditional","Approve"))</f>
        <v/>
      </c>
      <c r="P79" s="8">
        <f>H79*M79*45%</f>
        <v/>
      </c>
      <c r="Q79" s="9">
        <f>H79/B79</f>
        <v/>
      </c>
    </row>
    <row r="80">
      <c r="A80" s="11" t="inlineStr">
        <is>
          <t>B0076</t>
        </is>
      </c>
      <c r="B80" s="12" t="n">
        <v>115365</v>
      </c>
      <c r="C80" s="13" t="n">
        <v>0.4309522074479991</v>
      </c>
      <c r="D80" s="11" t="n">
        <v>555</v>
      </c>
      <c r="E80" s="13" t="n">
        <v>0.49612602697706</v>
      </c>
      <c r="F80" s="11" t="n">
        <v>1</v>
      </c>
      <c r="G80" s="11" t="n">
        <v>7.1</v>
      </c>
      <c r="H80" s="12" t="n">
        <v>25081</v>
      </c>
      <c r="I80" s="11" t="n">
        <v>48</v>
      </c>
      <c r="J80" s="11" t="n">
        <v>1</v>
      </c>
      <c r="K80" s="2">
        <f>IF(D80&gt;=740,0,IF(D80&gt;=670,15,30))+IF(C80&lt;=25%,0,IF(C80&lt;=40%,15,30))+IF(E80&lt;=30%,0,IF(E80&lt;=60%,10,20))+IF(F80=0,0,IF(F80=1,10,25))+IF(G80&gt;=5,0,IF(G80&gt;=2,5,10))+IF(H80/B80&lt;=25%,0,IF(H80/B80&lt;=50%,10,20))+IF(I80=36,0,IF(I80=48,3,6))</f>
        <v/>
      </c>
      <c r="L80" s="2">
        <f>850-K80*3.5</f>
        <v/>
      </c>
      <c r="M80" s="9">
        <f>1/(1+EXP(-(-4.2+0.055*K80)))</f>
        <v/>
      </c>
      <c r="N80" s="2">
        <f>IF(K80&lt;20,"A",IF(K80&lt;40,"B",IF(K80&lt;60,"C",IF(K80&lt;80,"D","E"))))</f>
        <v/>
      </c>
      <c r="O80" s="2">
        <f>IF(OR(N80="D",N80="E"),"Enhanced Review",IF(N80="C","Conditional","Approve"))</f>
        <v/>
      </c>
      <c r="P80" s="8">
        <f>H80*M80*45%</f>
        <v/>
      </c>
      <c r="Q80" s="9">
        <f>H80/B80</f>
        <v/>
      </c>
    </row>
    <row r="81">
      <c r="A81" s="11" t="inlineStr">
        <is>
          <t>B0077</t>
        </is>
      </c>
      <c r="B81" s="12" t="n">
        <v>119750</v>
      </c>
      <c r="C81" s="13" t="n">
        <v>0.08829863651149841</v>
      </c>
      <c r="D81" s="11" t="n">
        <v>726</v>
      </c>
      <c r="E81" s="13" t="n">
        <v>0.1569026466575769</v>
      </c>
      <c r="F81" s="11" t="n">
        <v>0</v>
      </c>
      <c r="G81" s="11" t="n">
        <v>4.6</v>
      </c>
      <c r="H81" s="12" t="n">
        <v>15056</v>
      </c>
      <c r="I81" s="11" t="n">
        <v>60</v>
      </c>
      <c r="J81" s="11" t="n">
        <v>0</v>
      </c>
      <c r="K81" s="2">
        <f>IF(D81&gt;=740,0,IF(D81&gt;=670,15,30))+IF(C81&lt;=25%,0,IF(C81&lt;=40%,15,30))+IF(E81&lt;=30%,0,IF(E81&lt;=60%,10,20))+IF(F81=0,0,IF(F81=1,10,25))+IF(G81&gt;=5,0,IF(G81&gt;=2,5,10))+IF(H81/B81&lt;=25%,0,IF(H81/B81&lt;=50%,10,20))+IF(I81=36,0,IF(I81=48,3,6))</f>
        <v/>
      </c>
      <c r="L81" s="2">
        <f>850-K81*3.5</f>
        <v/>
      </c>
      <c r="M81" s="9">
        <f>1/(1+EXP(-(-4.2+0.055*K81)))</f>
        <v/>
      </c>
      <c r="N81" s="2">
        <f>IF(K81&lt;20,"A",IF(K81&lt;40,"B",IF(K81&lt;60,"C",IF(K81&lt;80,"D","E"))))</f>
        <v/>
      </c>
      <c r="O81" s="2">
        <f>IF(OR(N81="D",N81="E"),"Enhanced Review",IF(N81="C","Conditional","Approve"))</f>
        <v/>
      </c>
      <c r="P81" s="8">
        <f>H81*M81*45%</f>
        <v/>
      </c>
      <c r="Q81" s="9">
        <f>H81/B81</f>
        <v/>
      </c>
    </row>
    <row r="82">
      <c r="A82" s="11" t="inlineStr">
        <is>
          <t>B0078</t>
        </is>
      </c>
      <c r="B82" s="12" t="n">
        <v>84243</v>
      </c>
      <c r="C82" s="13" t="n">
        <v>0.2950355755361697</v>
      </c>
      <c r="D82" s="11" t="n">
        <v>690</v>
      </c>
      <c r="E82" s="13" t="n">
        <v>0.6391508787864468</v>
      </c>
      <c r="F82" s="11" t="n">
        <v>0</v>
      </c>
      <c r="G82" s="11" t="n">
        <v>7.9</v>
      </c>
      <c r="H82" s="12" t="n">
        <v>9379</v>
      </c>
      <c r="I82" s="11" t="n">
        <v>48</v>
      </c>
      <c r="J82" s="11" t="n">
        <v>0</v>
      </c>
      <c r="K82" s="2">
        <f>IF(D82&gt;=740,0,IF(D82&gt;=670,15,30))+IF(C82&lt;=25%,0,IF(C82&lt;=40%,15,30))+IF(E82&lt;=30%,0,IF(E82&lt;=60%,10,20))+IF(F82=0,0,IF(F82=1,10,25))+IF(G82&gt;=5,0,IF(G82&gt;=2,5,10))+IF(H82/B82&lt;=25%,0,IF(H82/B82&lt;=50%,10,20))+IF(I82=36,0,IF(I82=48,3,6))</f>
        <v/>
      </c>
      <c r="L82" s="2">
        <f>850-K82*3.5</f>
        <v/>
      </c>
      <c r="M82" s="9">
        <f>1/(1+EXP(-(-4.2+0.055*K82)))</f>
        <v/>
      </c>
      <c r="N82" s="2">
        <f>IF(K82&lt;20,"A",IF(K82&lt;40,"B",IF(K82&lt;60,"C",IF(K82&lt;80,"D","E"))))</f>
        <v/>
      </c>
      <c r="O82" s="2">
        <f>IF(OR(N82="D",N82="E"),"Enhanced Review",IF(N82="C","Conditional","Approve"))</f>
        <v/>
      </c>
      <c r="P82" s="8">
        <f>H82*M82*45%</f>
        <v/>
      </c>
      <c r="Q82" s="9">
        <f>H82/B82</f>
        <v/>
      </c>
    </row>
    <row r="83">
      <c r="A83" s="11" t="inlineStr">
        <is>
          <t>B0079</t>
        </is>
      </c>
      <c r="B83" s="12" t="n">
        <v>65917</v>
      </c>
      <c r="C83" s="13" t="n">
        <v>0.1903610006460194</v>
      </c>
      <c r="D83" s="11" t="n">
        <v>768</v>
      </c>
      <c r="E83" s="13" t="n">
        <v>0.4137999730600944</v>
      </c>
      <c r="F83" s="11" t="n">
        <v>2</v>
      </c>
      <c r="G83" s="11" t="n">
        <v>14.4</v>
      </c>
      <c r="H83" s="12" t="n">
        <v>21590</v>
      </c>
      <c r="I83" s="11" t="n">
        <v>60</v>
      </c>
      <c r="J83" s="11" t="n">
        <v>1</v>
      </c>
      <c r="K83" s="2">
        <f>IF(D83&gt;=740,0,IF(D83&gt;=670,15,30))+IF(C83&lt;=25%,0,IF(C83&lt;=40%,15,30))+IF(E83&lt;=30%,0,IF(E83&lt;=60%,10,20))+IF(F83=0,0,IF(F83=1,10,25))+IF(G83&gt;=5,0,IF(G83&gt;=2,5,10))+IF(H83/B83&lt;=25%,0,IF(H83/B83&lt;=50%,10,20))+IF(I83=36,0,IF(I83=48,3,6))</f>
        <v/>
      </c>
      <c r="L83" s="2">
        <f>850-K83*3.5</f>
        <v/>
      </c>
      <c r="M83" s="9">
        <f>1/(1+EXP(-(-4.2+0.055*K83)))</f>
        <v/>
      </c>
      <c r="N83" s="2">
        <f>IF(K83&lt;20,"A",IF(K83&lt;40,"B",IF(K83&lt;60,"C",IF(K83&lt;80,"D","E"))))</f>
        <v/>
      </c>
      <c r="O83" s="2">
        <f>IF(OR(N83="D",N83="E"),"Enhanced Review",IF(N83="C","Conditional","Approve"))</f>
        <v/>
      </c>
      <c r="P83" s="8">
        <f>H83*M83*45%</f>
        <v/>
      </c>
      <c r="Q83" s="9">
        <f>H83/B83</f>
        <v/>
      </c>
    </row>
    <row r="84">
      <c r="A84" s="11" t="inlineStr">
        <is>
          <t>B0080</t>
        </is>
      </c>
      <c r="B84" s="12" t="n">
        <v>74906</v>
      </c>
      <c r="C84" s="13" t="n">
        <v>0.1374392120475353</v>
      </c>
      <c r="D84" s="11" t="n">
        <v>628</v>
      </c>
      <c r="E84" s="13" t="n">
        <v>0.3144484063732149</v>
      </c>
      <c r="F84" s="11" t="n">
        <v>0</v>
      </c>
      <c r="G84" s="11" t="n">
        <v>3.9</v>
      </c>
      <c r="H84" s="12" t="n">
        <v>31541</v>
      </c>
      <c r="I84" s="11" t="n">
        <v>36</v>
      </c>
      <c r="J84" s="11" t="n">
        <v>1</v>
      </c>
      <c r="K84" s="2">
        <f>IF(D84&gt;=740,0,IF(D84&gt;=670,15,30))+IF(C84&lt;=25%,0,IF(C84&lt;=40%,15,30))+IF(E84&lt;=30%,0,IF(E84&lt;=60%,10,20))+IF(F84=0,0,IF(F84=1,10,25))+IF(G84&gt;=5,0,IF(G84&gt;=2,5,10))+IF(H84/B84&lt;=25%,0,IF(H84/B84&lt;=50%,10,20))+IF(I84=36,0,IF(I84=48,3,6))</f>
        <v/>
      </c>
      <c r="L84" s="2">
        <f>850-K84*3.5</f>
        <v/>
      </c>
      <c r="M84" s="9">
        <f>1/(1+EXP(-(-4.2+0.055*K84)))</f>
        <v/>
      </c>
      <c r="N84" s="2">
        <f>IF(K84&lt;20,"A",IF(K84&lt;40,"B",IF(K84&lt;60,"C",IF(K84&lt;80,"D","E"))))</f>
        <v/>
      </c>
      <c r="O84" s="2">
        <f>IF(OR(N84="D",N84="E"),"Enhanced Review",IF(N84="C","Conditional","Approve"))</f>
        <v/>
      </c>
      <c r="P84" s="8">
        <f>H84*M84*45%</f>
        <v/>
      </c>
      <c r="Q84" s="9">
        <f>H84/B84</f>
        <v/>
      </c>
    </row>
    <row r="85">
      <c r="A85" s="11" t="inlineStr">
        <is>
          <t>B0081</t>
        </is>
      </c>
      <c r="B85" s="12" t="n">
        <v>171773</v>
      </c>
      <c r="C85" s="13" t="n">
        <v>0.4045688345327931</v>
      </c>
      <c r="D85" s="11" t="n">
        <v>830</v>
      </c>
      <c r="E85" s="13" t="n">
        <v>0.6175510650595833</v>
      </c>
      <c r="F85" s="11" t="n">
        <v>1</v>
      </c>
      <c r="G85" s="11" t="n">
        <v>7.5</v>
      </c>
      <c r="H85" s="12" t="n">
        <v>19784</v>
      </c>
      <c r="I85" s="11" t="n">
        <v>36</v>
      </c>
      <c r="J85" s="11" t="n">
        <v>0</v>
      </c>
      <c r="K85" s="2">
        <f>IF(D85&gt;=740,0,IF(D85&gt;=670,15,30))+IF(C85&lt;=25%,0,IF(C85&lt;=40%,15,30))+IF(E85&lt;=30%,0,IF(E85&lt;=60%,10,20))+IF(F85=0,0,IF(F85=1,10,25))+IF(G85&gt;=5,0,IF(G85&gt;=2,5,10))+IF(H85/B85&lt;=25%,0,IF(H85/B85&lt;=50%,10,20))+IF(I85=36,0,IF(I85=48,3,6))</f>
        <v/>
      </c>
      <c r="L85" s="2">
        <f>850-K85*3.5</f>
        <v/>
      </c>
      <c r="M85" s="9">
        <f>1/(1+EXP(-(-4.2+0.055*K85)))</f>
        <v/>
      </c>
      <c r="N85" s="2">
        <f>IF(K85&lt;20,"A",IF(K85&lt;40,"B",IF(K85&lt;60,"C",IF(K85&lt;80,"D","E"))))</f>
        <v/>
      </c>
      <c r="O85" s="2">
        <f>IF(OR(N85="D",N85="E"),"Enhanced Review",IF(N85="C","Conditional","Approve"))</f>
        <v/>
      </c>
      <c r="P85" s="8">
        <f>H85*M85*45%</f>
        <v/>
      </c>
      <c r="Q85" s="9">
        <f>H85/B85</f>
        <v/>
      </c>
    </row>
    <row r="86">
      <c r="A86" s="11" t="inlineStr">
        <is>
          <t>B0082</t>
        </is>
      </c>
      <c r="B86" s="12" t="n">
        <v>57218</v>
      </c>
      <c r="C86" s="13" t="n">
        <v>0.4912843127343424</v>
      </c>
      <c r="D86" s="11" t="n">
        <v>619</v>
      </c>
      <c r="E86" s="13" t="n">
        <v>0.4163700727523484</v>
      </c>
      <c r="F86" s="11" t="n">
        <v>0</v>
      </c>
      <c r="G86" s="11" t="n">
        <v>6.8</v>
      </c>
      <c r="H86" s="12" t="n">
        <v>14634</v>
      </c>
      <c r="I86" s="11" t="n">
        <v>48</v>
      </c>
      <c r="J86" s="11" t="n">
        <v>1</v>
      </c>
      <c r="K86" s="2">
        <f>IF(D86&gt;=740,0,IF(D86&gt;=670,15,30))+IF(C86&lt;=25%,0,IF(C86&lt;=40%,15,30))+IF(E86&lt;=30%,0,IF(E86&lt;=60%,10,20))+IF(F86=0,0,IF(F86=1,10,25))+IF(G86&gt;=5,0,IF(G86&gt;=2,5,10))+IF(H86/B86&lt;=25%,0,IF(H86/B86&lt;=50%,10,20))+IF(I86=36,0,IF(I86=48,3,6))</f>
        <v/>
      </c>
      <c r="L86" s="2">
        <f>850-K86*3.5</f>
        <v/>
      </c>
      <c r="M86" s="9">
        <f>1/(1+EXP(-(-4.2+0.055*K86)))</f>
        <v/>
      </c>
      <c r="N86" s="2">
        <f>IF(K86&lt;20,"A",IF(K86&lt;40,"B",IF(K86&lt;60,"C",IF(K86&lt;80,"D","E"))))</f>
        <v/>
      </c>
      <c r="O86" s="2">
        <f>IF(OR(N86="D",N86="E"),"Enhanced Review",IF(N86="C","Conditional","Approve"))</f>
        <v/>
      </c>
      <c r="P86" s="8">
        <f>H86*M86*45%</f>
        <v/>
      </c>
      <c r="Q86" s="9">
        <f>H86/B86</f>
        <v/>
      </c>
    </row>
    <row r="87">
      <c r="A87" s="11" t="inlineStr">
        <is>
          <t>B0083</t>
        </is>
      </c>
      <c r="B87" s="12" t="n">
        <v>95090</v>
      </c>
      <c r="C87" s="13" t="n">
        <v>0.2339100091065797</v>
      </c>
      <c r="D87" s="11" t="n">
        <v>711</v>
      </c>
      <c r="E87" s="13" t="n">
        <v>0.1008379784776969</v>
      </c>
      <c r="F87" s="11" t="n">
        <v>0</v>
      </c>
      <c r="G87" s="11" t="n">
        <v>4.2</v>
      </c>
      <c r="H87" s="12" t="n">
        <v>19327</v>
      </c>
      <c r="I87" s="11" t="n">
        <v>48</v>
      </c>
      <c r="J87" s="11" t="n">
        <v>0</v>
      </c>
      <c r="K87" s="2">
        <f>IF(D87&gt;=740,0,IF(D87&gt;=670,15,30))+IF(C87&lt;=25%,0,IF(C87&lt;=40%,15,30))+IF(E87&lt;=30%,0,IF(E87&lt;=60%,10,20))+IF(F87=0,0,IF(F87=1,10,25))+IF(G87&gt;=5,0,IF(G87&gt;=2,5,10))+IF(H87/B87&lt;=25%,0,IF(H87/B87&lt;=50%,10,20))+IF(I87=36,0,IF(I87=48,3,6))</f>
        <v/>
      </c>
      <c r="L87" s="2">
        <f>850-K87*3.5</f>
        <v/>
      </c>
      <c r="M87" s="9">
        <f>1/(1+EXP(-(-4.2+0.055*K87)))</f>
        <v/>
      </c>
      <c r="N87" s="2">
        <f>IF(K87&lt;20,"A",IF(K87&lt;40,"B",IF(K87&lt;60,"C",IF(K87&lt;80,"D","E"))))</f>
        <v/>
      </c>
      <c r="O87" s="2">
        <f>IF(OR(N87="D",N87="E"),"Enhanced Review",IF(N87="C","Conditional","Approve"))</f>
        <v/>
      </c>
      <c r="P87" s="8">
        <f>H87*M87*45%</f>
        <v/>
      </c>
      <c r="Q87" s="9">
        <f>H87/B87</f>
        <v/>
      </c>
    </row>
    <row r="88">
      <c r="A88" s="11" t="inlineStr">
        <is>
          <t>B0084</t>
        </is>
      </c>
      <c r="B88" s="12" t="n">
        <v>76843</v>
      </c>
      <c r="C88" s="13" t="n">
        <v>0.2252693627356485</v>
      </c>
      <c r="D88" s="11" t="n">
        <v>783</v>
      </c>
      <c r="E88" s="13" t="n">
        <v>0.1872520479378378</v>
      </c>
      <c r="F88" s="11" t="n">
        <v>1</v>
      </c>
      <c r="G88" s="11" t="n">
        <v>11.9</v>
      </c>
      <c r="H88" s="12" t="n">
        <v>10748</v>
      </c>
      <c r="I88" s="11" t="n">
        <v>36</v>
      </c>
      <c r="J88" s="11" t="n">
        <v>0</v>
      </c>
      <c r="K88" s="2">
        <f>IF(D88&gt;=740,0,IF(D88&gt;=670,15,30))+IF(C88&lt;=25%,0,IF(C88&lt;=40%,15,30))+IF(E88&lt;=30%,0,IF(E88&lt;=60%,10,20))+IF(F88=0,0,IF(F88=1,10,25))+IF(G88&gt;=5,0,IF(G88&gt;=2,5,10))+IF(H88/B88&lt;=25%,0,IF(H88/B88&lt;=50%,10,20))+IF(I88=36,0,IF(I88=48,3,6))</f>
        <v/>
      </c>
      <c r="L88" s="2">
        <f>850-K88*3.5</f>
        <v/>
      </c>
      <c r="M88" s="9">
        <f>1/(1+EXP(-(-4.2+0.055*K88)))</f>
        <v/>
      </c>
      <c r="N88" s="2">
        <f>IF(K88&lt;20,"A",IF(K88&lt;40,"B",IF(K88&lt;60,"C",IF(K88&lt;80,"D","E"))))</f>
        <v/>
      </c>
      <c r="O88" s="2">
        <f>IF(OR(N88="D",N88="E"),"Enhanced Review",IF(N88="C","Conditional","Approve"))</f>
        <v/>
      </c>
      <c r="P88" s="8">
        <f>H88*M88*45%</f>
        <v/>
      </c>
      <c r="Q88" s="9">
        <f>H88/B88</f>
        <v/>
      </c>
    </row>
    <row r="89">
      <c r="A89" s="11" t="inlineStr">
        <is>
          <t>B0085</t>
        </is>
      </c>
      <c r="B89" s="12" t="n">
        <v>300000</v>
      </c>
      <c r="C89" s="13" t="n">
        <v>0.1257061426360205</v>
      </c>
      <c r="D89" s="11" t="n">
        <v>520</v>
      </c>
      <c r="E89" s="13" t="n">
        <v>0.3231026457031322</v>
      </c>
      <c r="F89" s="11" t="n">
        <v>0</v>
      </c>
      <c r="G89" s="11" t="n">
        <v>2.6</v>
      </c>
      <c r="H89" s="12" t="n">
        <v>12576</v>
      </c>
      <c r="I89" s="11" t="n">
        <v>60</v>
      </c>
      <c r="J89" s="11" t="n">
        <v>0</v>
      </c>
      <c r="K89" s="2">
        <f>IF(D89&gt;=740,0,IF(D89&gt;=670,15,30))+IF(C89&lt;=25%,0,IF(C89&lt;=40%,15,30))+IF(E89&lt;=30%,0,IF(E89&lt;=60%,10,20))+IF(F89=0,0,IF(F89=1,10,25))+IF(G89&gt;=5,0,IF(G89&gt;=2,5,10))+IF(H89/B89&lt;=25%,0,IF(H89/B89&lt;=50%,10,20))+IF(I89=36,0,IF(I89=48,3,6))</f>
        <v/>
      </c>
      <c r="L89" s="2">
        <f>850-K89*3.5</f>
        <v/>
      </c>
      <c r="M89" s="9">
        <f>1/(1+EXP(-(-4.2+0.055*K89)))</f>
        <v/>
      </c>
      <c r="N89" s="2">
        <f>IF(K89&lt;20,"A",IF(K89&lt;40,"B",IF(K89&lt;60,"C",IF(K89&lt;80,"D","E"))))</f>
        <v/>
      </c>
      <c r="O89" s="2">
        <f>IF(OR(N89="D",N89="E"),"Enhanced Review",IF(N89="C","Conditional","Approve"))</f>
        <v/>
      </c>
      <c r="P89" s="8">
        <f>H89*M89*45%</f>
        <v/>
      </c>
      <c r="Q89" s="9">
        <f>H89/B89</f>
        <v/>
      </c>
    </row>
    <row r="90">
      <c r="A90" s="11" t="inlineStr">
        <is>
          <t>B0086</t>
        </is>
      </c>
      <c r="B90" s="12" t="n">
        <v>118012</v>
      </c>
      <c r="C90" s="13" t="n">
        <v>0.2005994100400809</v>
      </c>
      <c r="D90" s="11" t="n">
        <v>712</v>
      </c>
      <c r="E90" s="13" t="n">
        <v>0.360692905017963</v>
      </c>
      <c r="F90" s="11" t="n">
        <v>1</v>
      </c>
      <c r="G90" s="11" t="n">
        <v>5.9</v>
      </c>
      <c r="H90" s="12" t="n">
        <v>29108</v>
      </c>
      <c r="I90" s="11" t="n">
        <v>60</v>
      </c>
      <c r="J90" s="11" t="n">
        <v>0</v>
      </c>
      <c r="K90" s="2">
        <f>IF(D90&gt;=740,0,IF(D90&gt;=670,15,30))+IF(C90&lt;=25%,0,IF(C90&lt;=40%,15,30))+IF(E90&lt;=30%,0,IF(E90&lt;=60%,10,20))+IF(F90=0,0,IF(F90=1,10,25))+IF(G90&gt;=5,0,IF(G90&gt;=2,5,10))+IF(H90/B90&lt;=25%,0,IF(H90/B90&lt;=50%,10,20))+IF(I90=36,0,IF(I90=48,3,6))</f>
        <v/>
      </c>
      <c r="L90" s="2">
        <f>850-K90*3.5</f>
        <v/>
      </c>
      <c r="M90" s="9">
        <f>1/(1+EXP(-(-4.2+0.055*K90)))</f>
        <v/>
      </c>
      <c r="N90" s="2">
        <f>IF(K90&lt;20,"A",IF(K90&lt;40,"B",IF(K90&lt;60,"C",IF(K90&lt;80,"D","E"))))</f>
        <v/>
      </c>
      <c r="O90" s="2">
        <f>IF(OR(N90="D",N90="E"),"Enhanced Review",IF(N90="C","Conditional","Approve"))</f>
        <v/>
      </c>
      <c r="P90" s="8">
        <f>H90*M90*45%</f>
        <v/>
      </c>
      <c r="Q90" s="9">
        <f>H90/B90</f>
        <v/>
      </c>
    </row>
    <row r="91">
      <c r="A91" s="11" t="inlineStr">
        <is>
          <t>B0087</t>
        </is>
      </c>
      <c r="B91" s="12" t="n">
        <v>71294</v>
      </c>
      <c r="C91" s="13" t="n">
        <v>0.245035365760941</v>
      </c>
      <c r="D91" s="11" t="n">
        <v>745</v>
      </c>
      <c r="E91" s="13" t="n">
        <v>0.5179315504346345</v>
      </c>
      <c r="F91" s="11" t="n">
        <v>0</v>
      </c>
      <c r="G91" s="11" t="n">
        <v>6</v>
      </c>
      <c r="H91" s="12" t="n">
        <v>20415</v>
      </c>
      <c r="I91" s="11" t="n">
        <v>60</v>
      </c>
      <c r="J91" s="11" t="n">
        <v>0</v>
      </c>
      <c r="K91" s="2">
        <f>IF(D91&gt;=740,0,IF(D91&gt;=670,15,30))+IF(C91&lt;=25%,0,IF(C91&lt;=40%,15,30))+IF(E91&lt;=30%,0,IF(E91&lt;=60%,10,20))+IF(F91=0,0,IF(F91=1,10,25))+IF(G91&gt;=5,0,IF(G91&gt;=2,5,10))+IF(H91/B91&lt;=25%,0,IF(H91/B91&lt;=50%,10,20))+IF(I91=36,0,IF(I91=48,3,6))</f>
        <v/>
      </c>
      <c r="L91" s="2">
        <f>850-K91*3.5</f>
        <v/>
      </c>
      <c r="M91" s="9">
        <f>1/(1+EXP(-(-4.2+0.055*K91)))</f>
        <v/>
      </c>
      <c r="N91" s="2">
        <f>IF(K91&lt;20,"A",IF(K91&lt;40,"B",IF(K91&lt;60,"C",IF(K91&lt;80,"D","E"))))</f>
        <v/>
      </c>
      <c r="O91" s="2">
        <f>IF(OR(N91="D",N91="E"),"Enhanced Review",IF(N91="C","Conditional","Approve"))</f>
        <v/>
      </c>
      <c r="P91" s="8">
        <f>H91*M91*45%</f>
        <v/>
      </c>
      <c r="Q91" s="9">
        <f>H91/B91</f>
        <v/>
      </c>
    </row>
    <row r="92">
      <c r="A92" s="11" t="inlineStr">
        <is>
          <t>B0088</t>
        </is>
      </c>
      <c r="B92" s="12" t="n">
        <v>193580</v>
      </c>
      <c r="C92" s="13" t="n">
        <v>0.3126053619861129</v>
      </c>
      <c r="D92" s="11" t="n">
        <v>650</v>
      </c>
      <c r="E92" s="13" t="n">
        <v>0.781457278004085</v>
      </c>
      <c r="F92" s="11" t="n">
        <v>0</v>
      </c>
      <c r="G92" s="11" t="n">
        <v>10.1</v>
      </c>
      <c r="H92" s="12" t="n">
        <v>18942</v>
      </c>
      <c r="I92" s="11" t="n">
        <v>60</v>
      </c>
      <c r="J92" s="11" t="n">
        <v>0</v>
      </c>
      <c r="K92" s="2">
        <f>IF(D92&gt;=740,0,IF(D92&gt;=670,15,30))+IF(C92&lt;=25%,0,IF(C92&lt;=40%,15,30))+IF(E92&lt;=30%,0,IF(E92&lt;=60%,10,20))+IF(F92=0,0,IF(F92=1,10,25))+IF(G92&gt;=5,0,IF(G92&gt;=2,5,10))+IF(H92/B92&lt;=25%,0,IF(H92/B92&lt;=50%,10,20))+IF(I92=36,0,IF(I92=48,3,6))</f>
        <v/>
      </c>
      <c r="L92" s="2">
        <f>850-K92*3.5</f>
        <v/>
      </c>
      <c r="M92" s="9">
        <f>1/(1+EXP(-(-4.2+0.055*K92)))</f>
        <v/>
      </c>
      <c r="N92" s="2">
        <f>IF(K92&lt;20,"A",IF(K92&lt;40,"B",IF(K92&lt;60,"C",IF(K92&lt;80,"D","E"))))</f>
        <v/>
      </c>
      <c r="O92" s="2">
        <f>IF(OR(N92="D",N92="E"),"Enhanced Review",IF(N92="C","Conditional","Approve"))</f>
        <v/>
      </c>
      <c r="P92" s="8">
        <f>H92*M92*45%</f>
        <v/>
      </c>
      <c r="Q92" s="9">
        <f>H92/B92</f>
        <v/>
      </c>
    </row>
    <row r="93">
      <c r="A93" s="11" t="inlineStr">
        <is>
          <t>B0089</t>
        </is>
      </c>
      <c r="B93" s="12" t="n">
        <v>72054</v>
      </c>
      <c r="C93" s="13" t="n">
        <v>0.2857815602479771</v>
      </c>
      <c r="D93" s="11" t="n">
        <v>674</v>
      </c>
      <c r="E93" s="13" t="n">
        <v>0.6837272984351185</v>
      </c>
      <c r="F93" s="11" t="n">
        <v>0</v>
      </c>
      <c r="G93" s="11" t="n">
        <v>14.3</v>
      </c>
      <c r="H93" s="12" t="n">
        <v>50572</v>
      </c>
      <c r="I93" s="11" t="n">
        <v>60</v>
      </c>
      <c r="J93" s="11" t="n">
        <v>0</v>
      </c>
      <c r="K93" s="2">
        <f>IF(D93&gt;=740,0,IF(D93&gt;=670,15,30))+IF(C93&lt;=25%,0,IF(C93&lt;=40%,15,30))+IF(E93&lt;=30%,0,IF(E93&lt;=60%,10,20))+IF(F93=0,0,IF(F93=1,10,25))+IF(G93&gt;=5,0,IF(G93&gt;=2,5,10))+IF(H93/B93&lt;=25%,0,IF(H93/B93&lt;=50%,10,20))+IF(I93=36,0,IF(I93=48,3,6))</f>
        <v/>
      </c>
      <c r="L93" s="2">
        <f>850-K93*3.5</f>
        <v/>
      </c>
      <c r="M93" s="9">
        <f>1/(1+EXP(-(-4.2+0.055*K93)))</f>
        <v/>
      </c>
      <c r="N93" s="2">
        <f>IF(K93&lt;20,"A",IF(K93&lt;40,"B",IF(K93&lt;60,"C",IF(K93&lt;80,"D","E"))))</f>
        <v/>
      </c>
      <c r="O93" s="2">
        <f>IF(OR(N93="D",N93="E"),"Enhanced Review",IF(N93="C","Conditional","Approve"))</f>
        <v/>
      </c>
      <c r="P93" s="8">
        <f>H93*M93*45%</f>
        <v/>
      </c>
      <c r="Q93" s="9">
        <f>H93/B93</f>
        <v/>
      </c>
    </row>
    <row r="94">
      <c r="A94" s="11" t="inlineStr">
        <is>
          <t>B0090</t>
        </is>
      </c>
      <c r="B94" s="12" t="n">
        <v>69457</v>
      </c>
      <c r="C94" s="13" t="n">
        <v>0.4340827354803904</v>
      </c>
      <c r="D94" s="11" t="n">
        <v>706</v>
      </c>
      <c r="E94" s="13" t="n">
        <v>0.3784900662778691</v>
      </c>
      <c r="F94" s="11" t="n">
        <v>0</v>
      </c>
      <c r="G94" s="11" t="n">
        <v>6.2</v>
      </c>
      <c r="H94" s="12" t="n">
        <v>26045</v>
      </c>
      <c r="I94" s="11" t="n">
        <v>48</v>
      </c>
      <c r="J94" s="11" t="n">
        <v>0</v>
      </c>
      <c r="K94" s="2">
        <f>IF(D94&gt;=740,0,IF(D94&gt;=670,15,30))+IF(C94&lt;=25%,0,IF(C94&lt;=40%,15,30))+IF(E94&lt;=30%,0,IF(E94&lt;=60%,10,20))+IF(F94=0,0,IF(F94=1,10,25))+IF(G94&gt;=5,0,IF(G94&gt;=2,5,10))+IF(H94/B94&lt;=25%,0,IF(H94/B94&lt;=50%,10,20))+IF(I94=36,0,IF(I94=48,3,6))</f>
        <v/>
      </c>
      <c r="L94" s="2">
        <f>850-K94*3.5</f>
        <v/>
      </c>
      <c r="M94" s="9">
        <f>1/(1+EXP(-(-4.2+0.055*K94)))</f>
        <v/>
      </c>
      <c r="N94" s="2">
        <f>IF(K94&lt;20,"A",IF(K94&lt;40,"B",IF(K94&lt;60,"C",IF(K94&lt;80,"D","E"))))</f>
        <v/>
      </c>
      <c r="O94" s="2">
        <f>IF(OR(N94="D",N94="E"),"Enhanced Review",IF(N94="C","Conditional","Approve"))</f>
        <v/>
      </c>
      <c r="P94" s="8">
        <f>H94*M94*45%</f>
        <v/>
      </c>
      <c r="Q94" s="9">
        <f>H94/B94</f>
        <v/>
      </c>
    </row>
    <row r="95">
      <c r="A95" s="11" t="inlineStr">
        <is>
          <t>B0091</t>
        </is>
      </c>
      <c r="B95" s="12" t="n">
        <v>47899</v>
      </c>
      <c r="C95" s="13" t="n">
        <v>0.2639170373326685</v>
      </c>
      <c r="D95" s="11" t="n">
        <v>680</v>
      </c>
      <c r="E95" s="13" t="n">
        <v>0.8438801365143473</v>
      </c>
      <c r="F95" s="11" t="n">
        <v>1</v>
      </c>
      <c r="G95" s="11" t="n">
        <v>8.800000000000001</v>
      </c>
      <c r="H95" s="12" t="n">
        <v>13863</v>
      </c>
      <c r="I95" s="11" t="n">
        <v>36</v>
      </c>
      <c r="J95" s="11" t="n">
        <v>1</v>
      </c>
      <c r="K95" s="2">
        <f>IF(D95&gt;=740,0,IF(D95&gt;=670,15,30))+IF(C95&lt;=25%,0,IF(C95&lt;=40%,15,30))+IF(E95&lt;=30%,0,IF(E95&lt;=60%,10,20))+IF(F95=0,0,IF(F95=1,10,25))+IF(G95&gt;=5,0,IF(G95&gt;=2,5,10))+IF(H95/B95&lt;=25%,0,IF(H95/B95&lt;=50%,10,20))+IF(I95=36,0,IF(I95=48,3,6))</f>
        <v/>
      </c>
      <c r="L95" s="2">
        <f>850-K95*3.5</f>
        <v/>
      </c>
      <c r="M95" s="9">
        <f>1/(1+EXP(-(-4.2+0.055*K95)))</f>
        <v/>
      </c>
      <c r="N95" s="2">
        <f>IF(K95&lt;20,"A",IF(K95&lt;40,"B",IF(K95&lt;60,"C",IF(K95&lt;80,"D","E"))))</f>
        <v/>
      </c>
      <c r="O95" s="2">
        <f>IF(OR(N95="D",N95="E"),"Enhanced Review",IF(N95="C","Conditional","Approve"))</f>
        <v/>
      </c>
      <c r="P95" s="8">
        <f>H95*M95*45%</f>
        <v/>
      </c>
      <c r="Q95" s="9">
        <f>H95/B95</f>
        <v/>
      </c>
    </row>
    <row r="96">
      <c r="A96" s="11" t="inlineStr">
        <is>
          <t>B0092</t>
        </is>
      </c>
      <c r="B96" s="12" t="n">
        <v>59401</v>
      </c>
      <c r="C96" s="13" t="n">
        <v>0.1341510848201666</v>
      </c>
      <c r="D96" s="11" t="n">
        <v>737</v>
      </c>
      <c r="E96" s="13" t="n">
        <v>0.7171861841733357</v>
      </c>
      <c r="F96" s="11" t="n">
        <v>0</v>
      </c>
      <c r="G96" s="11" t="n">
        <v>1.7</v>
      </c>
      <c r="H96" s="12" t="n">
        <v>35452</v>
      </c>
      <c r="I96" s="11" t="n">
        <v>36</v>
      </c>
      <c r="J96" s="11" t="n">
        <v>0</v>
      </c>
      <c r="K96" s="2">
        <f>IF(D96&gt;=740,0,IF(D96&gt;=670,15,30))+IF(C96&lt;=25%,0,IF(C96&lt;=40%,15,30))+IF(E96&lt;=30%,0,IF(E96&lt;=60%,10,20))+IF(F96=0,0,IF(F96=1,10,25))+IF(G96&gt;=5,0,IF(G96&gt;=2,5,10))+IF(H96/B96&lt;=25%,0,IF(H96/B96&lt;=50%,10,20))+IF(I96=36,0,IF(I96=48,3,6))</f>
        <v/>
      </c>
      <c r="L96" s="2">
        <f>850-K96*3.5</f>
        <v/>
      </c>
      <c r="M96" s="9">
        <f>1/(1+EXP(-(-4.2+0.055*K96)))</f>
        <v/>
      </c>
      <c r="N96" s="2">
        <f>IF(K96&lt;20,"A",IF(K96&lt;40,"B",IF(K96&lt;60,"C",IF(K96&lt;80,"D","E"))))</f>
        <v/>
      </c>
      <c r="O96" s="2">
        <f>IF(OR(N96="D",N96="E"),"Enhanced Review",IF(N96="C","Conditional","Approve"))</f>
        <v/>
      </c>
      <c r="P96" s="8">
        <f>H96*M96*45%</f>
        <v/>
      </c>
      <c r="Q96" s="9">
        <f>H96/B96</f>
        <v/>
      </c>
    </row>
    <row r="97">
      <c r="A97" s="11" t="inlineStr">
        <is>
          <t>B0093</t>
        </is>
      </c>
      <c r="B97" s="12" t="n">
        <v>45797</v>
      </c>
      <c r="C97" s="13" t="n">
        <v>0.201753098440589</v>
      </c>
      <c r="D97" s="11" t="n">
        <v>779</v>
      </c>
      <c r="E97" s="13" t="n">
        <v>0.02741773812057278</v>
      </c>
      <c r="F97" s="11" t="n">
        <v>0</v>
      </c>
      <c r="G97" s="11" t="n">
        <v>16.1</v>
      </c>
      <c r="H97" s="12" t="n">
        <v>39221</v>
      </c>
      <c r="I97" s="11" t="n">
        <v>36</v>
      </c>
      <c r="J97" s="11" t="n">
        <v>0</v>
      </c>
      <c r="K97" s="2">
        <f>IF(D97&gt;=740,0,IF(D97&gt;=670,15,30))+IF(C97&lt;=25%,0,IF(C97&lt;=40%,15,30))+IF(E97&lt;=30%,0,IF(E97&lt;=60%,10,20))+IF(F97=0,0,IF(F97=1,10,25))+IF(G97&gt;=5,0,IF(G97&gt;=2,5,10))+IF(H97/B97&lt;=25%,0,IF(H97/B97&lt;=50%,10,20))+IF(I97=36,0,IF(I97=48,3,6))</f>
        <v/>
      </c>
      <c r="L97" s="2">
        <f>850-K97*3.5</f>
        <v/>
      </c>
      <c r="M97" s="9">
        <f>1/(1+EXP(-(-4.2+0.055*K97)))</f>
        <v/>
      </c>
      <c r="N97" s="2">
        <f>IF(K97&lt;20,"A",IF(K97&lt;40,"B",IF(K97&lt;60,"C",IF(K97&lt;80,"D","E"))))</f>
        <v/>
      </c>
      <c r="O97" s="2">
        <f>IF(OR(N97="D",N97="E"),"Enhanced Review",IF(N97="C","Conditional","Approve"))</f>
        <v/>
      </c>
      <c r="P97" s="8">
        <f>H97*M97*45%</f>
        <v/>
      </c>
      <c r="Q97" s="9">
        <f>H97/B97</f>
        <v/>
      </c>
    </row>
    <row r="98">
      <c r="A98" s="11" t="inlineStr">
        <is>
          <t>B0094</t>
        </is>
      </c>
      <c r="B98" s="12" t="n">
        <v>229163</v>
      </c>
      <c r="C98" s="13" t="n">
        <v>0.1090294652421501</v>
      </c>
      <c r="D98" s="11" t="n">
        <v>623</v>
      </c>
      <c r="E98" s="13" t="n">
        <v>0.2125010961726575</v>
      </c>
      <c r="F98" s="11" t="n">
        <v>1</v>
      </c>
      <c r="G98" s="11" t="n">
        <v>13</v>
      </c>
      <c r="H98" s="12" t="n">
        <v>19636</v>
      </c>
      <c r="I98" s="11" t="n">
        <v>36</v>
      </c>
      <c r="J98" s="11" t="n">
        <v>0</v>
      </c>
      <c r="K98" s="2">
        <f>IF(D98&gt;=740,0,IF(D98&gt;=670,15,30))+IF(C98&lt;=25%,0,IF(C98&lt;=40%,15,30))+IF(E98&lt;=30%,0,IF(E98&lt;=60%,10,20))+IF(F98=0,0,IF(F98=1,10,25))+IF(G98&gt;=5,0,IF(G98&gt;=2,5,10))+IF(H98/B98&lt;=25%,0,IF(H98/B98&lt;=50%,10,20))+IF(I98=36,0,IF(I98=48,3,6))</f>
        <v/>
      </c>
      <c r="L98" s="2">
        <f>850-K98*3.5</f>
        <v/>
      </c>
      <c r="M98" s="9">
        <f>1/(1+EXP(-(-4.2+0.055*K98)))</f>
        <v/>
      </c>
      <c r="N98" s="2">
        <f>IF(K98&lt;20,"A",IF(K98&lt;40,"B",IF(K98&lt;60,"C",IF(K98&lt;80,"D","E"))))</f>
        <v/>
      </c>
      <c r="O98" s="2">
        <f>IF(OR(N98="D",N98="E"),"Enhanced Review",IF(N98="C","Conditional","Approve"))</f>
        <v/>
      </c>
      <c r="P98" s="8">
        <f>H98*M98*45%</f>
        <v/>
      </c>
      <c r="Q98" s="9">
        <f>H98/B98</f>
        <v/>
      </c>
    </row>
    <row r="99">
      <c r="A99" s="11" t="inlineStr">
        <is>
          <t>B0095</t>
        </is>
      </c>
      <c r="B99" s="12" t="n">
        <v>64200</v>
      </c>
      <c r="C99" s="13" t="n">
        <v>0.1954635262156231</v>
      </c>
      <c r="D99" s="11" t="n">
        <v>719</v>
      </c>
      <c r="E99" s="13" t="n">
        <v>0.6389508565536656</v>
      </c>
      <c r="F99" s="11" t="n">
        <v>0</v>
      </c>
      <c r="G99" s="11" t="n">
        <v>3.7</v>
      </c>
      <c r="H99" s="12" t="n">
        <v>29727</v>
      </c>
      <c r="I99" s="11" t="n">
        <v>60</v>
      </c>
      <c r="J99" s="11" t="n">
        <v>0</v>
      </c>
      <c r="K99" s="2">
        <f>IF(D99&gt;=740,0,IF(D99&gt;=670,15,30))+IF(C99&lt;=25%,0,IF(C99&lt;=40%,15,30))+IF(E99&lt;=30%,0,IF(E99&lt;=60%,10,20))+IF(F99=0,0,IF(F99=1,10,25))+IF(G99&gt;=5,0,IF(G99&gt;=2,5,10))+IF(H99/B99&lt;=25%,0,IF(H99/B99&lt;=50%,10,20))+IF(I99=36,0,IF(I99=48,3,6))</f>
        <v/>
      </c>
      <c r="L99" s="2">
        <f>850-K99*3.5</f>
        <v/>
      </c>
      <c r="M99" s="9">
        <f>1/(1+EXP(-(-4.2+0.055*K99)))</f>
        <v/>
      </c>
      <c r="N99" s="2">
        <f>IF(K99&lt;20,"A",IF(K99&lt;40,"B",IF(K99&lt;60,"C",IF(K99&lt;80,"D","E"))))</f>
        <v/>
      </c>
      <c r="O99" s="2">
        <f>IF(OR(N99="D",N99="E"),"Enhanced Review",IF(N99="C","Conditional","Approve"))</f>
        <v/>
      </c>
      <c r="P99" s="8">
        <f>H99*M99*45%</f>
        <v/>
      </c>
      <c r="Q99" s="9">
        <f>H99/B99</f>
        <v/>
      </c>
    </row>
    <row r="100">
      <c r="A100" s="11" t="inlineStr">
        <is>
          <t>B0096</t>
        </is>
      </c>
      <c r="B100" s="12" t="n">
        <v>66549</v>
      </c>
      <c r="C100" s="13" t="n">
        <v>0.327795264907888</v>
      </c>
      <c r="D100" s="11" t="n">
        <v>689</v>
      </c>
      <c r="E100" s="13" t="n">
        <v>0.3542403581710175</v>
      </c>
      <c r="F100" s="11" t="n">
        <v>0</v>
      </c>
      <c r="G100" s="11" t="n">
        <v>1.7</v>
      </c>
      <c r="H100" s="12" t="n">
        <v>17722</v>
      </c>
      <c r="I100" s="11" t="n">
        <v>36</v>
      </c>
      <c r="J100" s="11" t="n">
        <v>0</v>
      </c>
      <c r="K100" s="2">
        <f>IF(D100&gt;=740,0,IF(D100&gt;=670,15,30))+IF(C100&lt;=25%,0,IF(C100&lt;=40%,15,30))+IF(E100&lt;=30%,0,IF(E100&lt;=60%,10,20))+IF(F100=0,0,IF(F100=1,10,25))+IF(G100&gt;=5,0,IF(G100&gt;=2,5,10))+IF(H100/B100&lt;=25%,0,IF(H100/B100&lt;=50%,10,20))+IF(I100=36,0,IF(I100=48,3,6))</f>
        <v/>
      </c>
      <c r="L100" s="2">
        <f>850-K100*3.5</f>
        <v/>
      </c>
      <c r="M100" s="9">
        <f>1/(1+EXP(-(-4.2+0.055*K100)))</f>
        <v/>
      </c>
      <c r="N100" s="2">
        <f>IF(K100&lt;20,"A",IF(K100&lt;40,"B",IF(K100&lt;60,"C",IF(K100&lt;80,"D","E"))))</f>
        <v/>
      </c>
      <c r="O100" s="2">
        <f>IF(OR(N100="D",N100="E"),"Enhanced Review",IF(N100="C","Conditional","Approve"))</f>
        <v/>
      </c>
      <c r="P100" s="8">
        <f>H100*M100*45%</f>
        <v/>
      </c>
      <c r="Q100" s="9">
        <f>H100/B100</f>
        <v/>
      </c>
    </row>
    <row r="101">
      <c r="A101" s="11" t="inlineStr">
        <is>
          <t>B0097</t>
        </is>
      </c>
      <c r="B101" s="12" t="n">
        <v>61385</v>
      </c>
      <c r="C101" s="13" t="n">
        <v>0.2441149913870191</v>
      </c>
      <c r="D101" s="11" t="n">
        <v>753</v>
      </c>
      <c r="E101" s="13" t="n">
        <v>0.1905437159669549</v>
      </c>
      <c r="F101" s="11" t="n">
        <v>1</v>
      </c>
      <c r="G101" s="11" t="n">
        <v>2.2</v>
      </c>
      <c r="H101" s="12" t="n">
        <v>67372</v>
      </c>
      <c r="I101" s="11" t="n">
        <v>48</v>
      </c>
      <c r="J101" s="11" t="n">
        <v>0</v>
      </c>
      <c r="K101" s="2">
        <f>IF(D101&gt;=740,0,IF(D101&gt;=670,15,30))+IF(C101&lt;=25%,0,IF(C101&lt;=40%,15,30))+IF(E101&lt;=30%,0,IF(E101&lt;=60%,10,20))+IF(F101=0,0,IF(F101=1,10,25))+IF(G101&gt;=5,0,IF(G101&gt;=2,5,10))+IF(H101/B101&lt;=25%,0,IF(H101/B101&lt;=50%,10,20))+IF(I101=36,0,IF(I101=48,3,6))</f>
        <v/>
      </c>
      <c r="L101" s="2">
        <f>850-K101*3.5</f>
        <v/>
      </c>
      <c r="M101" s="9">
        <f>1/(1+EXP(-(-4.2+0.055*K101)))</f>
        <v/>
      </c>
      <c r="N101" s="2">
        <f>IF(K101&lt;20,"A",IF(K101&lt;40,"B",IF(K101&lt;60,"C",IF(K101&lt;80,"D","E"))))</f>
        <v/>
      </c>
      <c r="O101" s="2">
        <f>IF(OR(N101="D",N101="E"),"Enhanced Review",IF(N101="C","Conditional","Approve"))</f>
        <v/>
      </c>
      <c r="P101" s="8">
        <f>H101*M101*45%</f>
        <v/>
      </c>
      <c r="Q101" s="9">
        <f>H101/B101</f>
        <v/>
      </c>
    </row>
    <row r="102">
      <c r="A102" s="11" t="inlineStr">
        <is>
          <t>B0098</t>
        </is>
      </c>
      <c r="B102" s="12" t="n">
        <v>44683</v>
      </c>
      <c r="C102" s="13" t="n">
        <v>0.4456732318360919</v>
      </c>
      <c r="D102" s="11" t="n">
        <v>703</v>
      </c>
      <c r="E102" s="13" t="n">
        <v>0.53437924800605</v>
      </c>
      <c r="F102" s="11" t="n">
        <v>2</v>
      </c>
      <c r="G102" s="11" t="n">
        <v>12.2</v>
      </c>
      <c r="H102" s="12" t="n">
        <v>23742</v>
      </c>
      <c r="I102" s="11" t="n">
        <v>36</v>
      </c>
      <c r="J102" s="11" t="n">
        <v>1</v>
      </c>
      <c r="K102" s="2">
        <f>IF(D102&gt;=740,0,IF(D102&gt;=670,15,30))+IF(C102&lt;=25%,0,IF(C102&lt;=40%,15,30))+IF(E102&lt;=30%,0,IF(E102&lt;=60%,10,20))+IF(F102=0,0,IF(F102=1,10,25))+IF(G102&gt;=5,0,IF(G102&gt;=2,5,10))+IF(H102/B102&lt;=25%,0,IF(H102/B102&lt;=50%,10,20))+IF(I102=36,0,IF(I102=48,3,6))</f>
        <v/>
      </c>
      <c r="L102" s="2">
        <f>850-K102*3.5</f>
        <v/>
      </c>
      <c r="M102" s="9">
        <f>1/(1+EXP(-(-4.2+0.055*K102)))</f>
        <v/>
      </c>
      <c r="N102" s="2">
        <f>IF(K102&lt;20,"A",IF(K102&lt;40,"B",IF(K102&lt;60,"C",IF(K102&lt;80,"D","E"))))</f>
        <v/>
      </c>
      <c r="O102" s="2">
        <f>IF(OR(N102="D",N102="E"),"Enhanced Review",IF(N102="C","Conditional","Approve"))</f>
        <v/>
      </c>
      <c r="P102" s="8">
        <f>H102*M102*45%</f>
        <v/>
      </c>
      <c r="Q102" s="9">
        <f>H102/B102</f>
        <v/>
      </c>
    </row>
    <row r="103">
      <c r="A103" s="11" t="inlineStr">
        <is>
          <t>B0099</t>
        </is>
      </c>
      <c r="B103" s="12" t="n">
        <v>54731</v>
      </c>
      <c r="C103" s="13" t="n">
        <v>0.225063714723199</v>
      </c>
      <c r="D103" s="11" t="n">
        <v>720</v>
      </c>
      <c r="E103" s="13" t="n">
        <v>0.7531325701074699</v>
      </c>
      <c r="F103" s="11" t="n">
        <v>1</v>
      </c>
      <c r="G103" s="11" t="n">
        <v>6</v>
      </c>
      <c r="H103" s="12" t="n">
        <v>51358</v>
      </c>
      <c r="I103" s="11" t="n">
        <v>60</v>
      </c>
      <c r="J103" s="11" t="n">
        <v>1</v>
      </c>
      <c r="K103" s="2">
        <f>IF(D103&gt;=740,0,IF(D103&gt;=670,15,30))+IF(C103&lt;=25%,0,IF(C103&lt;=40%,15,30))+IF(E103&lt;=30%,0,IF(E103&lt;=60%,10,20))+IF(F103=0,0,IF(F103=1,10,25))+IF(G103&gt;=5,0,IF(G103&gt;=2,5,10))+IF(H103/B103&lt;=25%,0,IF(H103/B103&lt;=50%,10,20))+IF(I103=36,0,IF(I103=48,3,6))</f>
        <v/>
      </c>
      <c r="L103" s="2">
        <f>850-K103*3.5</f>
        <v/>
      </c>
      <c r="M103" s="9">
        <f>1/(1+EXP(-(-4.2+0.055*K103)))</f>
        <v/>
      </c>
      <c r="N103" s="2">
        <f>IF(K103&lt;20,"A",IF(K103&lt;40,"B",IF(K103&lt;60,"C",IF(K103&lt;80,"D","E"))))</f>
        <v/>
      </c>
      <c r="O103" s="2">
        <f>IF(OR(N103="D",N103="E"),"Enhanced Review",IF(N103="C","Conditional","Approve"))</f>
        <v/>
      </c>
      <c r="P103" s="8">
        <f>H103*M103*45%</f>
        <v/>
      </c>
      <c r="Q103" s="9">
        <f>H103/B103</f>
        <v/>
      </c>
    </row>
    <row r="104">
      <c r="A104" s="11" t="inlineStr">
        <is>
          <t>B0100</t>
        </is>
      </c>
      <c r="B104" s="12" t="n">
        <v>85207</v>
      </c>
      <c r="C104" s="13" t="n">
        <v>0.4003210019416366</v>
      </c>
      <c r="D104" s="11" t="n">
        <v>744</v>
      </c>
      <c r="E104" s="13" t="n">
        <v>0.4962055161243309</v>
      </c>
      <c r="F104" s="11" t="n">
        <v>0</v>
      </c>
      <c r="G104" s="11" t="n">
        <v>11.7</v>
      </c>
      <c r="H104" s="12" t="n">
        <v>42824</v>
      </c>
      <c r="I104" s="11" t="n">
        <v>60</v>
      </c>
      <c r="J104" s="11" t="n">
        <v>0</v>
      </c>
      <c r="K104" s="2">
        <f>IF(D104&gt;=740,0,IF(D104&gt;=670,15,30))+IF(C104&lt;=25%,0,IF(C104&lt;=40%,15,30))+IF(E104&lt;=30%,0,IF(E104&lt;=60%,10,20))+IF(F104=0,0,IF(F104=1,10,25))+IF(G104&gt;=5,0,IF(G104&gt;=2,5,10))+IF(H104/B104&lt;=25%,0,IF(H104/B104&lt;=50%,10,20))+IF(I104=36,0,IF(I104=48,3,6))</f>
        <v/>
      </c>
      <c r="L104" s="2">
        <f>850-K104*3.5</f>
        <v/>
      </c>
      <c r="M104" s="9">
        <f>1/(1+EXP(-(-4.2+0.055*K104)))</f>
        <v/>
      </c>
      <c r="N104" s="2">
        <f>IF(K104&lt;20,"A",IF(K104&lt;40,"B",IF(K104&lt;60,"C",IF(K104&lt;80,"D","E"))))</f>
        <v/>
      </c>
      <c r="O104" s="2">
        <f>IF(OR(N104="D",N104="E"),"Enhanced Review",IF(N104="C","Conditional","Approve"))</f>
        <v/>
      </c>
      <c r="P104" s="8">
        <f>H104*M104*45%</f>
        <v/>
      </c>
      <c r="Q104" s="9">
        <f>H104/B104</f>
        <v/>
      </c>
    </row>
    <row r="105">
      <c r="A105" s="11" t="inlineStr">
        <is>
          <t>B0101</t>
        </is>
      </c>
      <c r="B105" s="12" t="n">
        <v>64967</v>
      </c>
      <c r="C105" s="13" t="n">
        <v>0.07828225675964837</v>
      </c>
      <c r="D105" s="11" t="n">
        <v>615</v>
      </c>
      <c r="E105" s="13" t="n">
        <v>0.262358544365564</v>
      </c>
      <c r="F105" s="11" t="n">
        <v>0</v>
      </c>
      <c r="G105" s="11" t="n">
        <v>8.199999999999999</v>
      </c>
      <c r="H105" s="12" t="n">
        <v>63340</v>
      </c>
      <c r="I105" s="11" t="n">
        <v>36</v>
      </c>
      <c r="J105" s="11" t="n">
        <v>0</v>
      </c>
      <c r="K105" s="2">
        <f>IF(D105&gt;=740,0,IF(D105&gt;=670,15,30))+IF(C105&lt;=25%,0,IF(C105&lt;=40%,15,30))+IF(E105&lt;=30%,0,IF(E105&lt;=60%,10,20))+IF(F105=0,0,IF(F105=1,10,25))+IF(G105&gt;=5,0,IF(G105&gt;=2,5,10))+IF(H105/B105&lt;=25%,0,IF(H105/B105&lt;=50%,10,20))+IF(I105=36,0,IF(I105=48,3,6))</f>
        <v/>
      </c>
      <c r="L105" s="2">
        <f>850-K105*3.5</f>
        <v/>
      </c>
      <c r="M105" s="9">
        <f>1/(1+EXP(-(-4.2+0.055*K105)))</f>
        <v/>
      </c>
      <c r="N105" s="2">
        <f>IF(K105&lt;20,"A",IF(K105&lt;40,"B",IF(K105&lt;60,"C",IF(K105&lt;80,"D","E"))))</f>
        <v/>
      </c>
      <c r="O105" s="2">
        <f>IF(OR(N105="D",N105="E"),"Enhanced Review",IF(N105="C","Conditional","Approve"))</f>
        <v/>
      </c>
      <c r="P105" s="8">
        <f>H105*M105*45%</f>
        <v/>
      </c>
      <c r="Q105" s="9">
        <f>H105/B105</f>
        <v/>
      </c>
    </row>
    <row r="106">
      <c r="A106" s="11" t="inlineStr">
        <is>
          <t>B0102</t>
        </is>
      </c>
      <c r="B106" s="12" t="n">
        <v>108527</v>
      </c>
      <c r="C106" s="13" t="n">
        <v>0.2905368956325194</v>
      </c>
      <c r="D106" s="11" t="n">
        <v>583</v>
      </c>
      <c r="E106" s="13" t="n">
        <v>0.5083293429421425</v>
      </c>
      <c r="F106" s="11" t="n">
        <v>1</v>
      </c>
      <c r="G106" s="11" t="n">
        <v>2.3</v>
      </c>
      <c r="H106" s="12" t="n">
        <v>21862</v>
      </c>
      <c r="I106" s="11" t="n">
        <v>60</v>
      </c>
      <c r="J106" s="11" t="n">
        <v>1</v>
      </c>
      <c r="K106" s="2">
        <f>IF(D106&gt;=740,0,IF(D106&gt;=670,15,30))+IF(C106&lt;=25%,0,IF(C106&lt;=40%,15,30))+IF(E106&lt;=30%,0,IF(E106&lt;=60%,10,20))+IF(F106=0,0,IF(F106=1,10,25))+IF(G106&gt;=5,0,IF(G106&gt;=2,5,10))+IF(H106/B106&lt;=25%,0,IF(H106/B106&lt;=50%,10,20))+IF(I106=36,0,IF(I106=48,3,6))</f>
        <v/>
      </c>
      <c r="L106" s="2">
        <f>850-K106*3.5</f>
        <v/>
      </c>
      <c r="M106" s="9">
        <f>1/(1+EXP(-(-4.2+0.055*K106)))</f>
        <v/>
      </c>
      <c r="N106" s="2">
        <f>IF(K106&lt;20,"A",IF(K106&lt;40,"B",IF(K106&lt;60,"C",IF(K106&lt;80,"D","E"))))</f>
        <v/>
      </c>
      <c r="O106" s="2">
        <f>IF(OR(N106="D",N106="E"),"Enhanced Review",IF(N106="C","Conditional","Approve"))</f>
        <v/>
      </c>
      <c r="P106" s="8">
        <f>H106*M106*45%</f>
        <v/>
      </c>
      <c r="Q106" s="9">
        <f>H106/B106</f>
        <v/>
      </c>
    </row>
    <row r="107">
      <c r="A107" s="11" t="inlineStr">
        <is>
          <t>B0103</t>
        </is>
      </c>
      <c r="B107" s="12" t="n">
        <v>54123</v>
      </c>
      <c r="C107" s="13" t="n">
        <v>0.3546387470554671</v>
      </c>
      <c r="D107" s="11" t="n">
        <v>718</v>
      </c>
      <c r="E107" s="13" t="n">
        <v>0.4649428213620715</v>
      </c>
      <c r="F107" s="11" t="n">
        <v>0</v>
      </c>
      <c r="G107" s="11" t="n">
        <v>5</v>
      </c>
      <c r="H107" s="12" t="n">
        <v>22360</v>
      </c>
      <c r="I107" s="11" t="n">
        <v>36</v>
      </c>
      <c r="J107" s="11" t="n">
        <v>0</v>
      </c>
      <c r="K107" s="2">
        <f>IF(D107&gt;=740,0,IF(D107&gt;=670,15,30))+IF(C107&lt;=25%,0,IF(C107&lt;=40%,15,30))+IF(E107&lt;=30%,0,IF(E107&lt;=60%,10,20))+IF(F107=0,0,IF(F107=1,10,25))+IF(G107&gt;=5,0,IF(G107&gt;=2,5,10))+IF(H107/B107&lt;=25%,0,IF(H107/B107&lt;=50%,10,20))+IF(I107=36,0,IF(I107=48,3,6))</f>
        <v/>
      </c>
      <c r="L107" s="2">
        <f>850-K107*3.5</f>
        <v/>
      </c>
      <c r="M107" s="9">
        <f>1/(1+EXP(-(-4.2+0.055*K107)))</f>
        <v/>
      </c>
      <c r="N107" s="2">
        <f>IF(K107&lt;20,"A",IF(K107&lt;40,"B",IF(K107&lt;60,"C",IF(K107&lt;80,"D","E"))))</f>
        <v/>
      </c>
      <c r="O107" s="2">
        <f>IF(OR(N107="D",N107="E"),"Enhanced Review",IF(N107="C","Conditional","Approve"))</f>
        <v/>
      </c>
      <c r="P107" s="8">
        <f>H107*M107*45%</f>
        <v/>
      </c>
      <c r="Q107" s="9">
        <f>H107/B107</f>
        <v/>
      </c>
    </row>
    <row r="108">
      <c r="A108" s="11" t="inlineStr">
        <is>
          <t>B0104</t>
        </is>
      </c>
      <c r="B108" s="12" t="n">
        <v>41611</v>
      </c>
      <c r="C108" s="13" t="n">
        <v>0.1729229358331197</v>
      </c>
      <c r="D108" s="11" t="n">
        <v>655</v>
      </c>
      <c r="E108" s="13" t="n">
        <v>0.4581442619954583</v>
      </c>
      <c r="F108" s="11" t="n">
        <v>0</v>
      </c>
      <c r="G108" s="11" t="n">
        <v>7.7</v>
      </c>
      <c r="H108" s="12" t="n">
        <v>13089</v>
      </c>
      <c r="I108" s="11" t="n">
        <v>36</v>
      </c>
      <c r="J108" s="11" t="n">
        <v>0</v>
      </c>
      <c r="K108" s="2">
        <f>IF(D108&gt;=740,0,IF(D108&gt;=670,15,30))+IF(C108&lt;=25%,0,IF(C108&lt;=40%,15,30))+IF(E108&lt;=30%,0,IF(E108&lt;=60%,10,20))+IF(F108=0,0,IF(F108=1,10,25))+IF(G108&gt;=5,0,IF(G108&gt;=2,5,10))+IF(H108/B108&lt;=25%,0,IF(H108/B108&lt;=50%,10,20))+IF(I108=36,0,IF(I108=48,3,6))</f>
        <v/>
      </c>
      <c r="L108" s="2">
        <f>850-K108*3.5</f>
        <v/>
      </c>
      <c r="M108" s="9">
        <f>1/(1+EXP(-(-4.2+0.055*K108)))</f>
        <v/>
      </c>
      <c r="N108" s="2">
        <f>IF(K108&lt;20,"A",IF(K108&lt;40,"B",IF(K108&lt;60,"C",IF(K108&lt;80,"D","E"))))</f>
        <v/>
      </c>
      <c r="O108" s="2">
        <f>IF(OR(N108="D",N108="E"),"Enhanced Review",IF(N108="C","Conditional","Approve"))</f>
        <v/>
      </c>
      <c r="P108" s="8">
        <f>H108*M108*45%</f>
        <v/>
      </c>
      <c r="Q108" s="9">
        <f>H108/B108</f>
        <v/>
      </c>
    </row>
    <row r="109">
      <c r="A109" s="11" t="inlineStr">
        <is>
          <t>B0105</t>
        </is>
      </c>
      <c r="B109" s="12" t="n">
        <v>45996</v>
      </c>
      <c r="C109" s="13" t="n">
        <v>0.1341495564729271</v>
      </c>
      <c r="D109" s="11" t="n">
        <v>648</v>
      </c>
      <c r="E109" s="13" t="n">
        <v>0.6149301659002945</v>
      </c>
      <c r="F109" s="11" t="n">
        <v>3</v>
      </c>
      <c r="G109" s="11" t="n">
        <v>5.8</v>
      </c>
      <c r="H109" s="12" t="n">
        <v>13899</v>
      </c>
      <c r="I109" s="11" t="n">
        <v>36</v>
      </c>
      <c r="J109" s="11" t="n">
        <v>1</v>
      </c>
      <c r="K109" s="2">
        <f>IF(D109&gt;=740,0,IF(D109&gt;=670,15,30))+IF(C109&lt;=25%,0,IF(C109&lt;=40%,15,30))+IF(E109&lt;=30%,0,IF(E109&lt;=60%,10,20))+IF(F109=0,0,IF(F109=1,10,25))+IF(G109&gt;=5,0,IF(G109&gt;=2,5,10))+IF(H109/B109&lt;=25%,0,IF(H109/B109&lt;=50%,10,20))+IF(I109=36,0,IF(I109=48,3,6))</f>
        <v/>
      </c>
      <c r="L109" s="2">
        <f>850-K109*3.5</f>
        <v/>
      </c>
      <c r="M109" s="9">
        <f>1/(1+EXP(-(-4.2+0.055*K109)))</f>
        <v/>
      </c>
      <c r="N109" s="2">
        <f>IF(K109&lt;20,"A",IF(K109&lt;40,"B",IF(K109&lt;60,"C",IF(K109&lt;80,"D","E"))))</f>
        <v/>
      </c>
      <c r="O109" s="2">
        <f>IF(OR(N109="D",N109="E"),"Enhanced Review",IF(N109="C","Conditional","Approve"))</f>
        <v/>
      </c>
      <c r="P109" s="8">
        <f>H109*M109*45%</f>
        <v/>
      </c>
      <c r="Q109" s="9">
        <f>H109/B109</f>
        <v/>
      </c>
    </row>
    <row r="110">
      <c r="A110" s="11" t="inlineStr">
        <is>
          <t>B0106</t>
        </is>
      </c>
      <c r="B110" s="12" t="n">
        <v>125609</v>
      </c>
      <c r="C110" s="13" t="n">
        <v>0.2472996487532642</v>
      </c>
      <c r="D110" s="11" t="n">
        <v>744</v>
      </c>
      <c r="E110" s="13" t="n">
        <v>0.3735168420325693</v>
      </c>
      <c r="F110" s="11" t="n">
        <v>0</v>
      </c>
      <c r="G110" s="11" t="n">
        <v>4.5</v>
      </c>
      <c r="H110" s="12" t="n">
        <v>44251</v>
      </c>
      <c r="I110" s="11" t="n">
        <v>48</v>
      </c>
      <c r="J110" s="11" t="n">
        <v>0</v>
      </c>
      <c r="K110" s="2">
        <f>IF(D110&gt;=740,0,IF(D110&gt;=670,15,30))+IF(C110&lt;=25%,0,IF(C110&lt;=40%,15,30))+IF(E110&lt;=30%,0,IF(E110&lt;=60%,10,20))+IF(F110=0,0,IF(F110=1,10,25))+IF(G110&gt;=5,0,IF(G110&gt;=2,5,10))+IF(H110/B110&lt;=25%,0,IF(H110/B110&lt;=50%,10,20))+IF(I110=36,0,IF(I110=48,3,6))</f>
        <v/>
      </c>
      <c r="L110" s="2">
        <f>850-K110*3.5</f>
        <v/>
      </c>
      <c r="M110" s="9">
        <f>1/(1+EXP(-(-4.2+0.055*K110)))</f>
        <v/>
      </c>
      <c r="N110" s="2">
        <f>IF(K110&lt;20,"A",IF(K110&lt;40,"B",IF(K110&lt;60,"C",IF(K110&lt;80,"D","E"))))</f>
        <v/>
      </c>
      <c r="O110" s="2">
        <f>IF(OR(N110="D",N110="E"),"Enhanced Review",IF(N110="C","Conditional","Approve"))</f>
        <v/>
      </c>
      <c r="P110" s="8">
        <f>H110*M110*45%</f>
        <v/>
      </c>
      <c r="Q110" s="9">
        <f>H110/B110</f>
        <v/>
      </c>
    </row>
    <row r="111">
      <c r="A111" s="11" t="inlineStr">
        <is>
          <t>B0107</t>
        </is>
      </c>
      <c r="B111" s="12" t="n">
        <v>60907</v>
      </c>
      <c r="C111" s="13" t="n">
        <v>0.3602026705535776</v>
      </c>
      <c r="D111" s="11" t="n">
        <v>661</v>
      </c>
      <c r="E111" s="13" t="n">
        <v>0.3998431320697833</v>
      </c>
      <c r="F111" s="11" t="n">
        <v>0</v>
      </c>
      <c r="G111" s="11" t="n">
        <v>4.5</v>
      </c>
      <c r="H111" s="12" t="n">
        <v>47452</v>
      </c>
      <c r="I111" s="11" t="n">
        <v>60</v>
      </c>
      <c r="J111" s="11" t="n">
        <v>0</v>
      </c>
      <c r="K111" s="2">
        <f>IF(D111&gt;=740,0,IF(D111&gt;=670,15,30))+IF(C111&lt;=25%,0,IF(C111&lt;=40%,15,30))+IF(E111&lt;=30%,0,IF(E111&lt;=60%,10,20))+IF(F111=0,0,IF(F111=1,10,25))+IF(G111&gt;=5,0,IF(G111&gt;=2,5,10))+IF(H111/B111&lt;=25%,0,IF(H111/B111&lt;=50%,10,20))+IF(I111=36,0,IF(I111=48,3,6))</f>
        <v/>
      </c>
      <c r="L111" s="2">
        <f>850-K111*3.5</f>
        <v/>
      </c>
      <c r="M111" s="9">
        <f>1/(1+EXP(-(-4.2+0.055*K111)))</f>
        <v/>
      </c>
      <c r="N111" s="2">
        <f>IF(K111&lt;20,"A",IF(K111&lt;40,"B",IF(K111&lt;60,"C",IF(K111&lt;80,"D","E"))))</f>
        <v/>
      </c>
      <c r="O111" s="2">
        <f>IF(OR(N111="D",N111="E"),"Enhanced Review",IF(N111="C","Conditional","Approve"))</f>
        <v/>
      </c>
      <c r="P111" s="8">
        <f>H111*M111*45%</f>
        <v/>
      </c>
      <c r="Q111" s="9">
        <f>H111/B111</f>
        <v/>
      </c>
    </row>
    <row r="112">
      <c r="A112" s="11" t="inlineStr">
        <is>
          <t>B0108</t>
        </is>
      </c>
      <c r="B112" s="12" t="n">
        <v>22409</v>
      </c>
      <c r="C112" s="13" t="n">
        <v>0.424074522471834</v>
      </c>
      <c r="D112" s="11" t="n">
        <v>755</v>
      </c>
      <c r="E112" s="13" t="n">
        <v>0.5048131430190824</v>
      </c>
      <c r="F112" s="11" t="n">
        <v>0</v>
      </c>
      <c r="G112" s="11" t="n">
        <v>7.2</v>
      </c>
      <c r="H112" s="12" t="n">
        <v>19427</v>
      </c>
      <c r="I112" s="11" t="n">
        <v>36</v>
      </c>
      <c r="J112" s="11" t="n">
        <v>1</v>
      </c>
      <c r="K112" s="2">
        <f>IF(D112&gt;=740,0,IF(D112&gt;=670,15,30))+IF(C112&lt;=25%,0,IF(C112&lt;=40%,15,30))+IF(E112&lt;=30%,0,IF(E112&lt;=60%,10,20))+IF(F112=0,0,IF(F112=1,10,25))+IF(G112&gt;=5,0,IF(G112&gt;=2,5,10))+IF(H112/B112&lt;=25%,0,IF(H112/B112&lt;=50%,10,20))+IF(I112=36,0,IF(I112=48,3,6))</f>
        <v/>
      </c>
      <c r="L112" s="2">
        <f>850-K112*3.5</f>
        <v/>
      </c>
      <c r="M112" s="9">
        <f>1/(1+EXP(-(-4.2+0.055*K112)))</f>
        <v/>
      </c>
      <c r="N112" s="2">
        <f>IF(K112&lt;20,"A",IF(K112&lt;40,"B",IF(K112&lt;60,"C",IF(K112&lt;80,"D","E"))))</f>
        <v/>
      </c>
      <c r="O112" s="2">
        <f>IF(OR(N112="D",N112="E"),"Enhanced Review",IF(N112="C","Conditional","Approve"))</f>
        <v/>
      </c>
      <c r="P112" s="8">
        <f>H112*M112*45%</f>
        <v/>
      </c>
      <c r="Q112" s="9">
        <f>H112/B112</f>
        <v/>
      </c>
    </row>
    <row r="113">
      <c r="A113" s="11" t="inlineStr">
        <is>
          <t>B0109</t>
        </is>
      </c>
      <c r="B113" s="12" t="n">
        <v>165732</v>
      </c>
      <c r="C113" s="13" t="n">
        <v>0.1049786954924141</v>
      </c>
      <c r="D113" s="11" t="n">
        <v>659</v>
      </c>
      <c r="E113" s="13" t="n">
        <v>0.5028558989808825</v>
      </c>
      <c r="F113" s="11" t="n">
        <v>0</v>
      </c>
      <c r="G113" s="11" t="n">
        <v>9.9</v>
      </c>
      <c r="H113" s="12" t="n">
        <v>12968</v>
      </c>
      <c r="I113" s="11" t="n">
        <v>36</v>
      </c>
      <c r="J113" s="11" t="n">
        <v>0</v>
      </c>
      <c r="K113" s="2">
        <f>IF(D113&gt;=740,0,IF(D113&gt;=670,15,30))+IF(C113&lt;=25%,0,IF(C113&lt;=40%,15,30))+IF(E113&lt;=30%,0,IF(E113&lt;=60%,10,20))+IF(F113=0,0,IF(F113=1,10,25))+IF(G113&gt;=5,0,IF(G113&gt;=2,5,10))+IF(H113/B113&lt;=25%,0,IF(H113/B113&lt;=50%,10,20))+IF(I113=36,0,IF(I113=48,3,6))</f>
        <v/>
      </c>
      <c r="L113" s="2">
        <f>850-K113*3.5</f>
        <v/>
      </c>
      <c r="M113" s="9">
        <f>1/(1+EXP(-(-4.2+0.055*K113)))</f>
        <v/>
      </c>
      <c r="N113" s="2">
        <f>IF(K113&lt;20,"A",IF(K113&lt;40,"B",IF(K113&lt;60,"C",IF(K113&lt;80,"D","E"))))</f>
        <v/>
      </c>
      <c r="O113" s="2">
        <f>IF(OR(N113="D",N113="E"),"Enhanced Review",IF(N113="C","Conditional","Approve"))</f>
        <v/>
      </c>
      <c r="P113" s="8">
        <f>H113*M113*45%</f>
        <v/>
      </c>
      <c r="Q113" s="9">
        <f>H113/B113</f>
        <v/>
      </c>
    </row>
    <row r="114">
      <c r="A114" s="11" t="inlineStr">
        <is>
          <t>B0110</t>
        </is>
      </c>
      <c r="B114" s="12" t="n">
        <v>29564</v>
      </c>
      <c r="C114" s="13" t="n">
        <v>0.03572028891299041</v>
      </c>
      <c r="D114" s="11" t="n">
        <v>726</v>
      </c>
      <c r="E114" s="13" t="n">
        <v>0.3690492339204733</v>
      </c>
      <c r="F114" s="11" t="n">
        <v>1</v>
      </c>
      <c r="G114" s="11" t="n">
        <v>2.5</v>
      </c>
      <c r="H114" s="12" t="n">
        <v>23027</v>
      </c>
      <c r="I114" s="11" t="n">
        <v>36</v>
      </c>
      <c r="J114" s="11" t="n">
        <v>0</v>
      </c>
      <c r="K114" s="2">
        <f>IF(D114&gt;=740,0,IF(D114&gt;=670,15,30))+IF(C114&lt;=25%,0,IF(C114&lt;=40%,15,30))+IF(E114&lt;=30%,0,IF(E114&lt;=60%,10,20))+IF(F114=0,0,IF(F114=1,10,25))+IF(G114&gt;=5,0,IF(G114&gt;=2,5,10))+IF(H114/B114&lt;=25%,0,IF(H114/B114&lt;=50%,10,20))+IF(I114=36,0,IF(I114=48,3,6))</f>
        <v/>
      </c>
      <c r="L114" s="2">
        <f>850-K114*3.5</f>
        <v/>
      </c>
      <c r="M114" s="9">
        <f>1/(1+EXP(-(-4.2+0.055*K114)))</f>
        <v/>
      </c>
      <c r="N114" s="2">
        <f>IF(K114&lt;20,"A",IF(K114&lt;40,"B",IF(K114&lt;60,"C",IF(K114&lt;80,"D","E"))))</f>
        <v/>
      </c>
      <c r="O114" s="2">
        <f>IF(OR(N114="D",N114="E"),"Enhanced Review",IF(N114="C","Conditional","Approve"))</f>
        <v/>
      </c>
      <c r="P114" s="8">
        <f>H114*M114*45%</f>
        <v/>
      </c>
      <c r="Q114" s="9">
        <f>H114/B114</f>
        <v/>
      </c>
    </row>
    <row r="115">
      <c r="A115" s="11" t="inlineStr">
        <is>
          <t>B0111</t>
        </is>
      </c>
      <c r="B115" s="12" t="n">
        <v>59255</v>
      </c>
      <c r="C115" s="13" t="n">
        <v>0.2023654299111589</v>
      </c>
      <c r="D115" s="11" t="n">
        <v>687</v>
      </c>
      <c r="E115" s="13" t="n">
        <v>0.5436971911674633</v>
      </c>
      <c r="F115" s="11" t="n">
        <v>1</v>
      </c>
      <c r="G115" s="11" t="n">
        <v>20.2</v>
      </c>
      <c r="H115" s="12" t="n">
        <v>7922</v>
      </c>
      <c r="I115" s="11" t="n">
        <v>48</v>
      </c>
      <c r="J115" s="11" t="n">
        <v>0</v>
      </c>
      <c r="K115" s="2">
        <f>IF(D115&gt;=740,0,IF(D115&gt;=670,15,30))+IF(C115&lt;=25%,0,IF(C115&lt;=40%,15,30))+IF(E115&lt;=30%,0,IF(E115&lt;=60%,10,20))+IF(F115=0,0,IF(F115=1,10,25))+IF(G115&gt;=5,0,IF(G115&gt;=2,5,10))+IF(H115/B115&lt;=25%,0,IF(H115/B115&lt;=50%,10,20))+IF(I115=36,0,IF(I115=48,3,6))</f>
        <v/>
      </c>
      <c r="L115" s="2">
        <f>850-K115*3.5</f>
        <v/>
      </c>
      <c r="M115" s="9">
        <f>1/(1+EXP(-(-4.2+0.055*K115)))</f>
        <v/>
      </c>
      <c r="N115" s="2">
        <f>IF(K115&lt;20,"A",IF(K115&lt;40,"B",IF(K115&lt;60,"C",IF(K115&lt;80,"D","E"))))</f>
        <v/>
      </c>
      <c r="O115" s="2">
        <f>IF(OR(N115="D",N115="E"),"Enhanced Review",IF(N115="C","Conditional","Approve"))</f>
        <v/>
      </c>
      <c r="P115" s="8">
        <f>H115*M115*45%</f>
        <v/>
      </c>
      <c r="Q115" s="9">
        <f>H115/B115</f>
        <v/>
      </c>
    </row>
    <row r="116">
      <c r="A116" s="11" t="inlineStr">
        <is>
          <t>B0112</t>
        </is>
      </c>
      <c r="B116" s="12" t="n">
        <v>66137</v>
      </c>
      <c r="C116" s="13" t="n">
        <v>0.2448034648724086</v>
      </c>
      <c r="D116" s="11" t="n">
        <v>658</v>
      </c>
      <c r="E116" s="13" t="n">
        <v>0.8067911935365119</v>
      </c>
      <c r="F116" s="11" t="n">
        <v>0</v>
      </c>
      <c r="G116" s="11" t="n">
        <v>7.4</v>
      </c>
      <c r="H116" s="12" t="n">
        <v>34089</v>
      </c>
      <c r="I116" s="11" t="n">
        <v>36</v>
      </c>
      <c r="J116" s="11" t="n">
        <v>0</v>
      </c>
      <c r="K116" s="2">
        <f>IF(D116&gt;=740,0,IF(D116&gt;=670,15,30))+IF(C116&lt;=25%,0,IF(C116&lt;=40%,15,30))+IF(E116&lt;=30%,0,IF(E116&lt;=60%,10,20))+IF(F116=0,0,IF(F116=1,10,25))+IF(G116&gt;=5,0,IF(G116&gt;=2,5,10))+IF(H116/B116&lt;=25%,0,IF(H116/B116&lt;=50%,10,20))+IF(I116=36,0,IF(I116=48,3,6))</f>
        <v/>
      </c>
      <c r="L116" s="2">
        <f>850-K116*3.5</f>
        <v/>
      </c>
      <c r="M116" s="9">
        <f>1/(1+EXP(-(-4.2+0.055*K116)))</f>
        <v/>
      </c>
      <c r="N116" s="2">
        <f>IF(K116&lt;20,"A",IF(K116&lt;40,"B",IF(K116&lt;60,"C",IF(K116&lt;80,"D","E"))))</f>
        <v/>
      </c>
      <c r="O116" s="2">
        <f>IF(OR(N116="D",N116="E"),"Enhanced Review",IF(N116="C","Conditional","Approve"))</f>
        <v/>
      </c>
      <c r="P116" s="8">
        <f>H116*M116*45%</f>
        <v/>
      </c>
      <c r="Q116" s="9">
        <f>H116/B116</f>
        <v/>
      </c>
    </row>
    <row r="117">
      <c r="A117" s="11" t="inlineStr">
        <is>
          <t>B0113</t>
        </is>
      </c>
      <c r="B117" s="12" t="n">
        <v>27737</v>
      </c>
      <c r="C117" s="13" t="n">
        <v>0.4175857826445158</v>
      </c>
      <c r="D117" s="11" t="n">
        <v>624</v>
      </c>
      <c r="E117" s="13" t="n">
        <v>0.687501086282865</v>
      </c>
      <c r="F117" s="11" t="n">
        <v>0</v>
      </c>
      <c r="G117" s="11" t="n">
        <v>4.3</v>
      </c>
      <c r="H117" s="12" t="n">
        <v>24625</v>
      </c>
      <c r="I117" s="11" t="n">
        <v>36</v>
      </c>
      <c r="J117" s="11" t="n">
        <v>1</v>
      </c>
      <c r="K117" s="2">
        <f>IF(D117&gt;=740,0,IF(D117&gt;=670,15,30))+IF(C117&lt;=25%,0,IF(C117&lt;=40%,15,30))+IF(E117&lt;=30%,0,IF(E117&lt;=60%,10,20))+IF(F117=0,0,IF(F117=1,10,25))+IF(G117&gt;=5,0,IF(G117&gt;=2,5,10))+IF(H117/B117&lt;=25%,0,IF(H117/B117&lt;=50%,10,20))+IF(I117=36,0,IF(I117=48,3,6))</f>
        <v/>
      </c>
      <c r="L117" s="2">
        <f>850-K117*3.5</f>
        <v/>
      </c>
      <c r="M117" s="9">
        <f>1/(1+EXP(-(-4.2+0.055*K117)))</f>
        <v/>
      </c>
      <c r="N117" s="2">
        <f>IF(K117&lt;20,"A",IF(K117&lt;40,"B",IF(K117&lt;60,"C",IF(K117&lt;80,"D","E"))))</f>
        <v/>
      </c>
      <c r="O117" s="2">
        <f>IF(OR(N117="D",N117="E"),"Enhanced Review",IF(N117="C","Conditional","Approve"))</f>
        <v/>
      </c>
      <c r="P117" s="8">
        <f>H117*M117*45%</f>
        <v/>
      </c>
      <c r="Q117" s="9">
        <f>H117/B117</f>
        <v/>
      </c>
    </row>
    <row r="118">
      <c r="A118" s="11" t="inlineStr">
        <is>
          <t>B0114</t>
        </is>
      </c>
      <c r="B118" s="12" t="n">
        <v>36269</v>
      </c>
      <c r="C118" s="13" t="n">
        <v>0.1957800269674847</v>
      </c>
      <c r="D118" s="11" t="n">
        <v>707</v>
      </c>
      <c r="E118" s="13" t="n">
        <v>0.299982851868079</v>
      </c>
      <c r="F118" s="11" t="n">
        <v>0</v>
      </c>
      <c r="G118" s="11" t="n">
        <v>6.5</v>
      </c>
      <c r="H118" s="12" t="n">
        <v>23581</v>
      </c>
      <c r="I118" s="11" t="n">
        <v>60</v>
      </c>
      <c r="J118" s="11" t="n">
        <v>0</v>
      </c>
      <c r="K118" s="2">
        <f>IF(D118&gt;=740,0,IF(D118&gt;=670,15,30))+IF(C118&lt;=25%,0,IF(C118&lt;=40%,15,30))+IF(E118&lt;=30%,0,IF(E118&lt;=60%,10,20))+IF(F118=0,0,IF(F118=1,10,25))+IF(G118&gt;=5,0,IF(G118&gt;=2,5,10))+IF(H118/B118&lt;=25%,0,IF(H118/B118&lt;=50%,10,20))+IF(I118=36,0,IF(I118=48,3,6))</f>
        <v/>
      </c>
      <c r="L118" s="2">
        <f>850-K118*3.5</f>
        <v/>
      </c>
      <c r="M118" s="9">
        <f>1/(1+EXP(-(-4.2+0.055*K118)))</f>
        <v/>
      </c>
      <c r="N118" s="2">
        <f>IF(K118&lt;20,"A",IF(K118&lt;40,"B",IF(K118&lt;60,"C",IF(K118&lt;80,"D","E"))))</f>
        <v/>
      </c>
      <c r="O118" s="2">
        <f>IF(OR(N118="D",N118="E"),"Enhanced Review",IF(N118="C","Conditional","Approve"))</f>
        <v/>
      </c>
      <c r="P118" s="8">
        <f>H118*M118*45%</f>
        <v/>
      </c>
      <c r="Q118" s="9">
        <f>H118/B118</f>
        <v/>
      </c>
    </row>
    <row r="119">
      <c r="A119" s="11" t="inlineStr">
        <is>
          <t>B0115</t>
        </is>
      </c>
      <c r="B119" s="12" t="n">
        <v>109015</v>
      </c>
      <c r="C119" s="13" t="n">
        <v>0.4896370856301623</v>
      </c>
      <c r="D119" s="11" t="n">
        <v>707</v>
      </c>
      <c r="E119" s="13" t="n">
        <v>0.3804233612860712</v>
      </c>
      <c r="F119" s="11" t="n">
        <v>0</v>
      </c>
      <c r="G119" s="11" t="n">
        <v>12.7</v>
      </c>
      <c r="H119" s="12" t="n">
        <v>18181</v>
      </c>
      <c r="I119" s="11" t="n">
        <v>48</v>
      </c>
      <c r="J119" s="11" t="n">
        <v>1</v>
      </c>
      <c r="K119" s="2">
        <f>IF(D119&gt;=740,0,IF(D119&gt;=670,15,30))+IF(C119&lt;=25%,0,IF(C119&lt;=40%,15,30))+IF(E119&lt;=30%,0,IF(E119&lt;=60%,10,20))+IF(F119=0,0,IF(F119=1,10,25))+IF(G119&gt;=5,0,IF(G119&gt;=2,5,10))+IF(H119/B119&lt;=25%,0,IF(H119/B119&lt;=50%,10,20))+IF(I119=36,0,IF(I119=48,3,6))</f>
        <v/>
      </c>
      <c r="L119" s="2">
        <f>850-K119*3.5</f>
        <v/>
      </c>
      <c r="M119" s="9">
        <f>1/(1+EXP(-(-4.2+0.055*K119)))</f>
        <v/>
      </c>
      <c r="N119" s="2">
        <f>IF(K119&lt;20,"A",IF(K119&lt;40,"B",IF(K119&lt;60,"C",IF(K119&lt;80,"D","E"))))</f>
        <v/>
      </c>
      <c r="O119" s="2">
        <f>IF(OR(N119="D",N119="E"),"Enhanced Review",IF(N119="C","Conditional","Approve"))</f>
        <v/>
      </c>
      <c r="P119" s="8">
        <f>H119*M119*45%</f>
        <v/>
      </c>
      <c r="Q119" s="9">
        <f>H119/B119</f>
        <v/>
      </c>
    </row>
    <row r="120">
      <c r="A120" s="11" t="inlineStr">
        <is>
          <t>B0116</t>
        </is>
      </c>
      <c r="B120" s="12" t="n">
        <v>88878</v>
      </c>
      <c r="C120" s="13" t="n">
        <v>0.4024270686990057</v>
      </c>
      <c r="D120" s="11" t="n">
        <v>658</v>
      </c>
      <c r="E120" s="13" t="n">
        <v>0.1269915002992618</v>
      </c>
      <c r="F120" s="11" t="n">
        <v>0</v>
      </c>
      <c r="G120" s="11" t="n">
        <v>15</v>
      </c>
      <c r="H120" s="12" t="n">
        <v>37900</v>
      </c>
      <c r="I120" s="11" t="n">
        <v>60</v>
      </c>
      <c r="J120" s="11" t="n">
        <v>1</v>
      </c>
      <c r="K120" s="2">
        <f>IF(D120&gt;=740,0,IF(D120&gt;=670,15,30))+IF(C120&lt;=25%,0,IF(C120&lt;=40%,15,30))+IF(E120&lt;=30%,0,IF(E120&lt;=60%,10,20))+IF(F120=0,0,IF(F120=1,10,25))+IF(G120&gt;=5,0,IF(G120&gt;=2,5,10))+IF(H120/B120&lt;=25%,0,IF(H120/B120&lt;=50%,10,20))+IF(I120=36,0,IF(I120=48,3,6))</f>
        <v/>
      </c>
      <c r="L120" s="2">
        <f>850-K120*3.5</f>
        <v/>
      </c>
      <c r="M120" s="9">
        <f>1/(1+EXP(-(-4.2+0.055*K120)))</f>
        <v/>
      </c>
      <c r="N120" s="2">
        <f>IF(K120&lt;20,"A",IF(K120&lt;40,"B",IF(K120&lt;60,"C",IF(K120&lt;80,"D","E"))))</f>
        <v/>
      </c>
      <c r="O120" s="2">
        <f>IF(OR(N120="D",N120="E"),"Enhanced Review",IF(N120="C","Conditional","Approve"))</f>
        <v/>
      </c>
      <c r="P120" s="8">
        <f>H120*M120*45%</f>
        <v/>
      </c>
      <c r="Q120" s="9">
        <f>H120/B120</f>
        <v/>
      </c>
    </row>
    <row r="121">
      <c r="A121" s="11" t="inlineStr">
        <is>
          <t>B0117</t>
        </is>
      </c>
      <c r="B121" s="12" t="n">
        <v>82881</v>
      </c>
      <c r="C121" s="13" t="n">
        <v>0.2410930544485437</v>
      </c>
      <c r="D121" s="11" t="n">
        <v>735</v>
      </c>
      <c r="E121" s="13" t="n">
        <v>0.7506902588048345</v>
      </c>
      <c r="F121" s="11" t="n">
        <v>1</v>
      </c>
      <c r="G121" s="11" t="n">
        <v>4.2</v>
      </c>
      <c r="H121" s="12" t="n">
        <v>23649</v>
      </c>
      <c r="I121" s="11" t="n">
        <v>60</v>
      </c>
      <c r="J121" s="11" t="n">
        <v>1</v>
      </c>
      <c r="K121" s="2">
        <f>IF(D121&gt;=740,0,IF(D121&gt;=670,15,30))+IF(C121&lt;=25%,0,IF(C121&lt;=40%,15,30))+IF(E121&lt;=30%,0,IF(E121&lt;=60%,10,20))+IF(F121=0,0,IF(F121=1,10,25))+IF(G121&gt;=5,0,IF(G121&gt;=2,5,10))+IF(H121/B121&lt;=25%,0,IF(H121/B121&lt;=50%,10,20))+IF(I121=36,0,IF(I121=48,3,6))</f>
        <v/>
      </c>
      <c r="L121" s="2">
        <f>850-K121*3.5</f>
        <v/>
      </c>
      <c r="M121" s="9">
        <f>1/(1+EXP(-(-4.2+0.055*K121)))</f>
        <v/>
      </c>
      <c r="N121" s="2">
        <f>IF(K121&lt;20,"A",IF(K121&lt;40,"B",IF(K121&lt;60,"C",IF(K121&lt;80,"D","E"))))</f>
        <v/>
      </c>
      <c r="O121" s="2">
        <f>IF(OR(N121="D",N121="E"),"Enhanced Review",IF(N121="C","Conditional","Approve"))</f>
        <v/>
      </c>
      <c r="P121" s="8">
        <f>H121*M121*45%</f>
        <v/>
      </c>
      <c r="Q121" s="9">
        <f>H121/B121</f>
        <v/>
      </c>
    </row>
    <row r="122">
      <c r="A122" s="11" t="inlineStr">
        <is>
          <t>B0118</t>
        </is>
      </c>
      <c r="B122" s="12" t="n">
        <v>84478</v>
      </c>
      <c r="C122" s="13" t="n">
        <v>0.3611361892170757</v>
      </c>
      <c r="D122" s="11" t="n">
        <v>697</v>
      </c>
      <c r="E122" s="13" t="n">
        <v>0.2535584124441163</v>
      </c>
      <c r="F122" s="11" t="n">
        <v>0</v>
      </c>
      <c r="G122" s="11" t="n">
        <v>24.1</v>
      </c>
      <c r="H122" s="12" t="n">
        <v>65130</v>
      </c>
      <c r="I122" s="11" t="n">
        <v>48</v>
      </c>
      <c r="J122" s="11" t="n">
        <v>1</v>
      </c>
      <c r="K122" s="2">
        <f>IF(D122&gt;=740,0,IF(D122&gt;=670,15,30))+IF(C122&lt;=25%,0,IF(C122&lt;=40%,15,30))+IF(E122&lt;=30%,0,IF(E122&lt;=60%,10,20))+IF(F122=0,0,IF(F122=1,10,25))+IF(G122&gt;=5,0,IF(G122&gt;=2,5,10))+IF(H122/B122&lt;=25%,0,IF(H122/B122&lt;=50%,10,20))+IF(I122=36,0,IF(I122=48,3,6))</f>
        <v/>
      </c>
      <c r="L122" s="2">
        <f>850-K122*3.5</f>
        <v/>
      </c>
      <c r="M122" s="9">
        <f>1/(1+EXP(-(-4.2+0.055*K122)))</f>
        <v/>
      </c>
      <c r="N122" s="2">
        <f>IF(K122&lt;20,"A",IF(K122&lt;40,"B",IF(K122&lt;60,"C",IF(K122&lt;80,"D","E"))))</f>
        <v/>
      </c>
      <c r="O122" s="2">
        <f>IF(OR(N122="D",N122="E"),"Enhanced Review",IF(N122="C","Conditional","Approve"))</f>
        <v/>
      </c>
      <c r="P122" s="8">
        <f>H122*M122*45%</f>
        <v/>
      </c>
      <c r="Q122" s="9">
        <f>H122/B122</f>
        <v/>
      </c>
    </row>
    <row r="123">
      <c r="A123" s="11" t="inlineStr">
        <is>
          <t>B0119</t>
        </is>
      </c>
      <c r="B123" s="12" t="n">
        <v>77889</v>
      </c>
      <c r="C123" s="13" t="n">
        <v>0.2621516119437371</v>
      </c>
      <c r="D123" s="11" t="n">
        <v>687</v>
      </c>
      <c r="E123" s="13" t="n">
        <v>0.3638494076673789</v>
      </c>
      <c r="F123" s="11" t="n">
        <v>1</v>
      </c>
      <c r="G123" s="11" t="n">
        <v>10.2</v>
      </c>
      <c r="H123" s="12" t="n">
        <v>15001</v>
      </c>
      <c r="I123" s="11" t="n">
        <v>60</v>
      </c>
      <c r="J123" s="11" t="n">
        <v>0</v>
      </c>
      <c r="K123" s="2">
        <f>IF(D123&gt;=740,0,IF(D123&gt;=670,15,30))+IF(C123&lt;=25%,0,IF(C123&lt;=40%,15,30))+IF(E123&lt;=30%,0,IF(E123&lt;=60%,10,20))+IF(F123=0,0,IF(F123=1,10,25))+IF(G123&gt;=5,0,IF(G123&gt;=2,5,10))+IF(H123/B123&lt;=25%,0,IF(H123/B123&lt;=50%,10,20))+IF(I123=36,0,IF(I123=48,3,6))</f>
        <v/>
      </c>
      <c r="L123" s="2">
        <f>850-K123*3.5</f>
        <v/>
      </c>
      <c r="M123" s="9">
        <f>1/(1+EXP(-(-4.2+0.055*K123)))</f>
        <v/>
      </c>
      <c r="N123" s="2">
        <f>IF(K123&lt;20,"A",IF(K123&lt;40,"B",IF(K123&lt;60,"C",IF(K123&lt;80,"D","E"))))</f>
        <v/>
      </c>
      <c r="O123" s="2">
        <f>IF(OR(N123="D",N123="E"),"Enhanced Review",IF(N123="C","Conditional","Approve"))</f>
        <v/>
      </c>
      <c r="P123" s="8">
        <f>H123*M123*45%</f>
        <v/>
      </c>
      <c r="Q123" s="9">
        <f>H123/B123</f>
        <v/>
      </c>
    </row>
    <row r="124">
      <c r="A124" s="11" t="inlineStr">
        <is>
          <t>B0120</t>
        </is>
      </c>
      <c r="B124" s="12" t="n">
        <v>55004</v>
      </c>
      <c r="C124" s="13" t="n">
        <v>0.1743551333033899</v>
      </c>
      <c r="D124" s="11" t="n">
        <v>830</v>
      </c>
      <c r="E124" s="13" t="n">
        <v>0.7388822023936077</v>
      </c>
      <c r="F124" s="11" t="n">
        <v>0</v>
      </c>
      <c r="G124" s="11" t="n">
        <v>11.2</v>
      </c>
      <c r="H124" s="12" t="n">
        <v>5585</v>
      </c>
      <c r="I124" s="11" t="n">
        <v>60</v>
      </c>
      <c r="J124" s="11" t="n">
        <v>0</v>
      </c>
      <c r="K124" s="2">
        <f>IF(D124&gt;=740,0,IF(D124&gt;=670,15,30))+IF(C124&lt;=25%,0,IF(C124&lt;=40%,15,30))+IF(E124&lt;=30%,0,IF(E124&lt;=60%,10,20))+IF(F124=0,0,IF(F124=1,10,25))+IF(G124&gt;=5,0,IF(G124&gt;=2,5,10))+IF(H124/B124&lt;=25%,0,IF(H124/B124&lt;=50%,10,20))+IF(I124=36,0,IF(I124=48,3,6))</f>
        <v/>
      </c>
      <c r="L124" s="2">
        <f>850-K124*3.5</f>
        <v/>
      </c>
      <c r="M124" s="9">
        <f>1/(1+EXP(-(-4.2+0.055*K124)))</f>
        <v/>
      </c>
      <c r="N124" s="2">
        <f>IF(K124&lt;20,"A",IF(K124&lt;40,"B",IF(K124&lt;60,"C",IF(K124&lt;80,"D","E"))))</f>
        <v/>
      </c>
      <c r="O124" s="2">
        <f>IF(OR(N124="D",N124="E"),"Enhanced Review",IF(N124="C","Conditional","Approve"))</f>
        <v/>
      </c>
      <c r="P124" s="8">
        <f>H124*M124*45%</f>
        <v/>
      </c>
      <c r="Q124" s="9">
        <f>H124/B124</f>
        <v/>
      </c>
    </row>
    <row r="125">
      <c r="A125" s="11" t="inlineStr">
        <is>
          <t>B0121</t>
        </is>
      </c>
      <c r="B125" s="12" t="n">
        <v>55654</v>
      </c>
      <c r="C125" s="13" t="n">
        <v>0.2145102764660502</v>
      </c>
      <c r="D125" s="11" t="n">
        <v>715</v>
      </c>
      <c r="E125" s="13" t="n">
        <v>0.6990225528809491</v>
      </c>
      <c r="F125" s="11" t="n">
        <v>1</v>
      </c>
      <c r="G125" s="11" t="n">
        <v>3.3</v>
      </c>
      <c r="H125" s="12" t="n">
        <v>41516</v>
      </c>
      <c r="I125" s="11" t="n">
        <v>36</v>
      </c>
      <c r="J125" s="11" t="n">
        <v>1</v>
      </c>
      <c r="K125" s="2">
        <f>IF(D125&gt;=740,0,IF(D125&gt;=670,15,30))+IF(C125&lt;=25%,0,IF(C125&lt;=40%,15,30))+IF(E125&lt;=30%,0,IF(E125&lt;=60%,10,20))+IF(F125=0,0,IF(F125=1,10,25))+IF(G125&gt;=5,0,IF(G125&gt;=2,5,10))+IF(H125/B125&lt;=25%,0,IF(H125/B125&lt;=50%,10,20))+IF(I125=36,0,IF(I125=48,3,6))</f>
        <v/>
      </c>
      <c r="L125" s="2">
        <f>850-K125*3.5</f>
        <v/>
      </c>
      <c r="M125" s="9">
        <f>1/(1+EXP(-(-4.2+0.055*K125)))</f>
        <v/>
      </c>
      <c r="N125" s="2">
        <f>IF(K125&lt;20,"A",IF(K125&lt;40,"B",IF(K125&lt;60,"C",IF(K125&lt;80,"D","E"))))</f>
        <v/>
      </c>
      <c r="O125" s="2">
        <f>IF(OR(N125="D",N125="E"),"Enhanced Review",IF(N125="C","Conditional","Approve"))</f>
        <v/>
      </c>
      <c r="P125" s="8">
        <f>H125*M125*45%</f>
        <v/>
      </c>
      <c r="Q125" s="9">
        <f>H125/B125</f>
        <v/>
      </c>
    </row>
    <row r="126">
      <c r="A126" s="11" t="inlineStr">
        <is>
          <t>B0122</t>
        </is>
      </c>
      <c r="B126" s="12" t="n">
        <v>72844</v>
      </c>
      <c r="C126" s="13" t="n">
        <v>0.1644499274984357</v>
      </c>
      <c r="D126" s="11" t="n">
        <v>771</v>
      </c>
      <c r="E126" s="13" t="n">
        <v>0.3522678874083803</v>
      </c>
      <c r="F126" s="11" t="n">
        <v>1</v>
      </c>
      <c r="G126" s="11" t="n">
        <v>5.8</v>
      </c>
      <c r="H126" s="12" t="n">
        <v>23606</v>
      </c>
      <c r="I126" s="11" t="n">
        <v>48</v>
      </c>
      <c r="J126" s="11" t="n">
        <v>0</v>
      </c>
      <c r="K126" s="2">
        <f>IF(D126&gt;=740,0,IF(D126&gt;=670,15,30))+IF(C126&lt;=25%,0,IF(C126&lt;=40%,15,30))+IF(E126&lt;=30%,0,IF(E126&lt;=60%,10,20))+IF(F126=0,0,IF(F126=1,10,25))+IF(G126&gt;=5,0,IF(G126&gt;=2,5,10))+IF(H126/B126&lt;=25%,0,IF(H126/B126&lt;=50%,10,20))+IF(I126=36,0,IF(I126=48,3,6))</f>
        <v/>
      </c>
      <c r="L126" s="2">
        <f>850-K126*3.5</f>
        <v/>
      </c>
      <c r="M126" s="9">
        <f>1/(1+EXP(-(-4.2+0.055*K126)))</f>
        <v/>
      </c>
      <c r="N126" s="2">
        <f>IF(K126&lt;20,"A",IF(K126&lt;40,"B",IF(K126&lt;60,"C",IF(K126&lt;80,"D","E"))))</f>
        <v/>
      </c>
      <c r="O126" s="2">
        <f>IF(OR(N126="D",N126="E"),"Enhanced Review",IF(N126="C","Conditional","Approve"))</f>
        <v/>
      </c>
      <c r="P126" s="8">
        <f>H126*M126*45%</f>
        <v/>
      </c>
      <c r="Q126" s="9">
        <f>H126/B126</f>
        <v/>
      </c>
    </row>
    <row r="127">
      <c r="A127" s="11" t="inlineStr">
        <is>
          <t>B0123</t>
        </is>
      </c>
      <c r="B127" s="12" t="n">
        <v>52208</v>
      </c>
      <c r="C127" s="13" t="n">
        <v>0.1933454497004114</v>
      </c>
      <c r="D127" s="11" t="n">
        <v>652</v>
      </c>
      <c r="E127" s="13" t="n">
        <v>0.2441773469738356</v>
      </c>
      <c r="F127" s="11" t="n">
        <v>0</v>
      </c>
      <c r="G127" s="11" t="n">
        <v>7.3</v>
      </c>
      <c r="H127" s="12" t="n">
        <v>48190</v>
      </c>
      <c r="I127" s="11" t="n">
        <v>36</v>
      </c>
      <c r="J127" s="11" t="n">
        <v>0</v>
      </c>
      <c r="K127" s="2">
        <f>IF(D127&gt;=740,0,IF(D127&gt;=670,15,30))+IF(C127&lt;=25%,0,IF(C127&lt;=40%,15,30))+IF(E127&lt;=30%,0,IF(E127&lt;=60%,10,20))+IF(F127=0,0,IF(F127=1,10,25))+IF(G127&gt;=5,0,IF(G127&gt;=2,5,10))+IF(H127/B127&lt;=25%,0,IF(H127/B127&lt;=50%,10,20))+IF(I127=36,0,IF(I127=48,3,6))</f>
        <v/>
      </c>
      <c r="L127" s="2">
        <f>850-K127*3.5</f>
        <v/>
      </c>
      <c r="M127" s="9">
        <f>1/(1+EXP(-(-4.2+0.055*K127)))</f>
        <v/>
      </c>
      <c r="N127" s="2">
        <f>IF(K127&lt;20,"A",IF(K127&lt;40,"B",IF(K127&lt;60,"C",IF(K127&lt;80,"D","E"))))</f>
        <v/>
      </c>
      <c r="O127" s="2">
        <f>IF(OR(N127="D",N127="E"),"Enhanced Review",IF(N127="C","Conditional","Approve"))</f>
        <v/>
      </c>
      <c r="P127" s="8">
        <f>H127*M127*45%</f>
        <v/>
      </c>
      <c r="Q127" s="9">
        <f>H127/B127</f>
        <v/>
      </c>
    </row>
    <row r="128">
      <c r="A128" s="11" t="inlineStr">
        <is>
          <t>B0124</t>
        </is>
      </c>
      <c r="B128" s="12" t="n">
        <v>42926</v>
      </c>
      <c r="C128" s="13" t="n">
        <v>0.1433895238728458</v>
      </c>
      <c r="D128" s="11" t="n">
        <v>615</v>
      </c>
      <c r="E128" s="13" t="n">
        <v>0.3025083074165352</v>
      </c>
      <c r="F128" s="11" t="n">
        <v>0</v>
      </c>
      <c r="G128" s="11" t="n">
        <v>3.8</v>
      </c>
      <c r="H128" s="12" t="n">
        <v>23777</v>
      </c>
      <c r="I128" s="11" t="n">
        <v>36</v>
      </c>
      <c r="J128" s="11" t="n">
        <v>0</v>
      </c>
      <c r="K128" s="2">
        <f>IF(D128&gt;=740,0,IF(D128&gt;=670,15,30))+IF(C128&lt;=25%,0,IF(C128&lt;=40%,15,30))+IF(E128&lt;=30%,0,IF(E128&lt;=60%,10,20))+IF(F128=0,0,IF(F128=1,10,25))+IF(G128&gt;=5,0,IF(G128&gt;=2,5,10))+IF(H128/B128&lt;=25%,0,IF(H128/B128&lt;=50%,10,20))+IF(I128=36,0,IF(I128=48,3,6))</f>
        <v/>
      </c>
      <c r="L128" s="2">
        <f>850-K128*3.5</f>
        <v/>
      </c>
      <c r="M128" s="9">
        <f>1/(1+EXP(-(-4.2+0.055*K128)))</f>
        <v/>
      </c>
      <c r="N128" s="2">
        <f>IF(K128&lt;20,"A",IF(K128&lt;40,"B",IF(K128&lt;60,"C",IF(K128&lt;80,"D","E"))))</f>
        <v/>
      </c>
      <c r="O128" s="2">
        <f>IF(OR(N128="D",N128="E"),"Enhanced Review",IF(N128="C","Conditional","Approve"))</f>
        <v/>
      </c>
      <c r="P128" s="8">
        <f>H128*M128*45%</f>
        <v/>
      </c>
      <c r="Q128" s="9">
        <f>H128/B128</f>
        <v/>
      </c>
    </row>
    <row r="129">
      <c r="A129" s="11" t="inlineStr">
        <is>
          <t>B0125</t>
        </is>
      </c>
      <c r="B129" s="12" t="n">
        <v>100445</v>
      </c>
      <c r="C129" s="13" t="n">
        <v>0.3006269380048445</v>
      </c>
      <c r="D129" s="11" t="n">
        <v>619</v>
      </c>
      <c r="E129" s="13" t="n">
        <v>0.7301924565060168</v>
      </c>
      <c r="F129" s="11" t="n">
        <v>0</v>
      </c>
      <c r="G129" s="11" t="n">
        <v>4.1</v>
      </c>
      <c r="H129" s="12" t="n">
        <v>28871</v>
      </c>
      <c r="I129" s="11" t="n">
        <v>36</v>
      </c>
      <c r="J129" s="11" t="n">
        <v>0</v>
      </c>
      <c r="K129" s="2">
        <f>IF(D129&gt;=740,0,IF(D129&gt;=670,15,30))+IF(C129&lt;=25%,0,IF(C129&lt;=40%,15,30))+IF(E129&lt;=30%,0,IF(E129&lt;=60%,10,20))+IF(F129=0,0,IF(F129=1,10,25))+IF(G129&gt;=5,0,IF(G129&gt;=2,5,10))+IF(H129/B129&lt;=25%,0,IF(H129/B129&lt;=50%,10,20))+IF(I129=36,0,IF(I129=48,3,6))</f>
        <v/>
      </c>
      <c r="L129" s="2">
        <f>850-K129*3.5</f>
        <v/>
      </c>
      <c r="M129" s="9">
        <f>1/(1+EXP(-(-4.2+0.055*K129)))</f>
        <v/>
      </c>
      <c r="N129" s="2">
        <f>IF(K129&lt;20,"A",IF(K129&lt;40,"B",IF(K129&lt;60,"C",IF(K129&lt;80,"D","E"))))</f>
        <v/>
      </c>
      <c r="O129" s="2">
        <f>IF(OR(N129="D",N129="E"),"Enhanced Review",IF(N129="C","Conditional","Approve"))</f>
        <v/>
      </c>
      <c r="P129" s="8">
        <f>H129*M129*45%</f>
        <v/>
      </c>
      <c r="Q129" s="9">
        <f>H129/B129</f>
        <v/>
      </c>
    </row>
    <row r="130">
      <c r="A130" s="11" t="inlineStr">
        <is>
          <t>B0126</t>
        </is>
      </c>
      <c r="B130" s="12" t="n">
        <v>251853</v>
      </c>
      <c r="C130" s="13" t="n">
        <v>0.2672031754285532</v>
      </c>
      <c r="D130" s="11" t="n">
        <v>676</v>
      </c>
      <c r="E130" s="13" t="n">
        <v>0.07341330613258987</v>
      </c>
      <c r="F130" s="11" t="n">
        <v>0</v>
      </c>
      <c r="G130" s="11" t="n">
        <v>2.1</v>
      </c>
      <c r="H130" s="12" t="n">
        <v>9907</v>
      </c>
      <c r="I130" s="11" t="n">
        <v>60</v>
      </c>
      <c r="J130" s="11" t="n">
        <v>0</v>
      </c>
      <c r="K130" s="2">
        <f>IF(D130&gt;=740,0,IF(D130&gt;=670,15,30))+IF(C130&lt;=25%,0,IF(C130&lt;=40%,15,30))+IF(E130&lt;=30%,0,IF(E130&lt;=60%,10,20))+IF(F130=0,0,IF(F130=1,10,25))+IF(G130&gt;=5,0,IF(G130&gt;=2,5,10))+IF(H130/B130&lt;=25%,0,IF(H130/B130&lt;=50%,10,20))+IF(I130=36,0,IF(I130=48,3,6))</f>
        <v/>
      </c>
      <c r="L130" s="2">
        <f>850-K130*3.5</f>
        <v/>
      </c>
      <c r="M130" s="9">
        <f>1/(1+EXP(-(-4.2+0.055*K130)))</f>
        <v/>
      </c>
      <c r="N130" s="2">
        <f>IF(K130&lt;20,"A",IF(K130&lt;40,"B",IF(K130&lt;60,"C",IF(K130&lt;80,"D","E"))))</f>
        <v/>
      </c>
      <c r="O130" s="2">
        <f>IF(OR(N130="D",N130="E"),"Enhanced Review",IF(N130="C","Conditional","Approve"))</f>
        <v/>
      </c>
      <c r="P130" s="8">
        <f>H130*M130*45%</f>
        <v/>
      </c>
      <c r="Q130" s="9">
        <f>H130/B130</f>
        <v/>
      </c>
    </row>
    <row r="131">
      <c r="A131" s="11" t="inlineStr">
        <is>
          <t>B0127</t>
        </is>
      </c>
      <c r="B131" s="12" t="n">
        <v>55436</v>
      </c>
      <c r="C131" s="13" t="n">
        <v>0.07566231185962334</v>
      </c>
      <c r="D131" s="11" t="n">
        <v>637</v>
      </c>
      <c r="E131" s="13" t="n">
        <v>0.1683471981602855</v>
      </c>
      <c r="F131" s="11" t="n">
        <v>0</v>
      </c>
      <c r="G131" s="11" t="n">
        <v>11.1</v>
      </c>
      <c r="H131" s="12" t="n">
        <v>15262</v>
      </c>
      <c r="I131" s="11" t="n">
        <v>36</v>
      </c>
      <c r="J131" s="11" t="n">
        <v>0</v>
      </c>
      <c r="K131" s="2">
        <f>IF(D131&gt;=740,0,IF(D131&gt;=670,15,30))+IF(C131&lt;=25%,0,IF(C131&lt;=40%,15,30))+IF(E131&lt;=30%,0,IF(E131&lt;=60%,10,20))+IF(F131=0,0,IF(F131=1,10,25))+IF(G131&gt;=5,0,IF(G131&gt;=2,5,10))+IF(H131/B131&lt;=25%,0,IF(H131/B131&lt;=50%,10,20))+IF(I131=36,0,IF(I131=48,3,6))</f>
        <v/>
      </c>
      <c r="L131" s="2">
        <f>850-K131*3.5</f>
        <v/>
      </c>
      <c r="M131" s="9">
        <f>1/(1+EXP(-(-4.2+0.055*K131)))</f>
        <v/>
      </c>
      <c r="N131" s="2">
        <f>IF(K131&lt;20,"A",IF(K131&lt;40,"B",IF(K131&lt;60,"C",IF(K131&lt;80,"D","E"))))</f>
        <v/>
      </c>
      <c r="O131" s="2">
        <f>IF(OR(N131="D",N131="E"),"Enhanced Review",IF(N131="C","Conditional","Approve"))</f>
        <v/>
      </c>
      <c r="P131" s="8">
        <f>H131*M131*45%</f>
        <v/>
      </c>
      <c r="Q131" s="9">
        <f>H131/B131</f>
        <v/>
      </c>
    </row>
    <row r="132">
      <c r="A132" s="11" t="inlineStr">
        <is>
          <t>B0128</t>
        </is>
      </c>
      <c r="B132" s="12" t="n">
        <v>36187</v>
      </c>
      <c r="C132" s="13" t="n">
        <v>0.2178019638012476</v>
      </c>
      <c r="D132" s="11" t="n">
        <v>659</v>
      </c>
      <c r="E132" s="13" t="n">
        <v>0.7203786016732033</v>
      </c>
      <c r="F132" s="11" t="n">
        <v>0</v>
      </c>
      <c r="G132" s="11" t="n">
        <v>3</v>
      </c>
      <c r="H132" s="12" t="n">
        <v>25908</v>
      </c>
      <c r="I132" s="11" t="n">
        <v>60</v>
      </c>
      <c r="J132" s="11" t="n">
        <v>0</v>
      </c>
      <c r="K132" s="2">
        <f>IF(D132&gt;=740,0,IF(D132&gt;=670,15,30))+IF(C132&lt;=25%,0,IF(C132&lt;=40%,15,30))+IF(E132&lt;=30%,0,IF(E132&lt;=60%,10,20))+IF(F132=0,0,IF(F132=1,10,25))+IF(G132&gt;=5,0,IF(G132&gt;=2,5,10))+IF(H132/B132&lt;=25%,0,IF(H132/B132&lt;=50%,10,20))+IF(I132=36,0,IF(I132=48,3,6))</f>
        <v/>
      </c>
      <c r="L132" s="2">
        <f>850-K132*3.5</f>
        <v/>
      </c>
      <c r="M132" s="9">
        <f>1/(1+EXP(-(-4.2+0.055*K132)))</f>
        <v/>
      </c>
      <c r="N132" s="2">
        <f>IF(K132&lt;20,"A",IF(K132&lt;40,"B",IF(K132&lt;60,"C",IF(K132&lt;80,"D","E"))))</f>
        <v/>
      </c>
      <c r="O132" s="2">
        <f>IF(OR(N132="D",N132="E"),"Enhanced Review",IF(N132="C","Conditional","Approve"))</f>
        <v/>
      </c>
      <c r="P132" s="8">
        <f>H132*M132*45%</f>
        <v/>
      </c>
      <c r="Q132" s="9">
        <f>H132/B132</f>
        <v/>
      </c>
    </row>
    <row r="133">
      <c r="A133" s="11" t="inlineStr">
        <is>
          <t>B0129</t>
        </is>
      </c>
      <c r="B133" s="12" t="n">
        <v>76179</v>
      </c>
      <c r="C133" s="13" t="n">
        <v>0.1832462190318631</v>
      </c>
      <c r="D133" s="11" t="n">
        <v>725</v>
      </c>
      <c r="E133" s="13" t="n">
        <v>0.2914090146809328</v>
      </c>
      <c r="F133" s="11" t="n">
        <v>0</v>
      </c>
      <c r="G133" s="11" t="n">
        <v>9.800000000000001</v>
      </c>
      <c r="H133" s="12" t="n">
        <v>11452</v>
      </c>
      <c r="I133" s="11" t="n">
        <v>36</v>
      </c>
      <c r="J133" s="11" t="n">
        <v>0</v>
      </c>
      <c r="K133" s="2">
        <f>IF(D133&gt;=740,0,IF(D133&gt;=670,15,30))+IF(C133&lt;=25%,0,IF(C133&lt;=40%,15,30))+IF(E133&lt;=30%,0,IF(E133&lt;=60%,10,20))+IF(F133=0,0,IF(F133=1,10,25))+IF(G133&gt;=5,0,IF(G133&gt;=2,5,10))+IF(H133/B133&lt;=25%,0,IF(H133/B133&lt;=50%,10,20))+IF(I133=36,0,IF(I133=48,3,6))</f>
        <v/>
      </c>
      <c r="L133" s="2">
        <f>850-K133*3.5</f>
        <v/>
      </c>
      <c r="M133" s="9">
        <f>1/(1+EXP(-(-4.2+0.055*K133)))</f>
        <v/>
      </c>
      <c r="N133" s="2">
        <f>IF(K133&lt;20,"A",IF(K133&lt;40,"B",IF(K133&lt;60,"C",IF(K133&lt;80,"D","E"))))</f>
        <v/>
      </c>
      <c r="O133" s="2">
        <f>IF(OR(N133="D",N133="E"),"Enhanced Review",IF(N133="C","Conditional","Approve"))</f>
        <v/>
      </c>
      <c r="P133" s="8">
        <f>H133*M133*45%</f>
        <v/>
      </c>
      <c r="Q133" s="9">
        <f>H133/B133</f>
        <v/>
      </c>
    </row>
    <row r="134">
      <c r="A134" s="11" t="inlineStr">
        <is>
          <t>B0130</t>
        </is>
      </c>
      <c r="B134" s="12" t="n">
        <v>75937</v>
      </c>
      <c r="C134" s="13" t="n">
        <v>0.1096948772592762</v>
      </c>
      <c r="D134" s="11" t="n">
        <v>643</v>
      </c>
      <c r="E134" s="13" t="n">
        <v>0.2478634464898529</v>
      </c>
      <c r="F134" s="11" t="n">
        <v>3</v>
      </c>
      <c r="G134" s="11" t="n">
        <v>11</v>
      </c>
      <c r="H134" s="12" t="n">
        <v>17813</v>
      </c>
      <c r="I134" s="11" t="n">
        <v>60</v>
      </c>
      <c r="J134" s="11" t="n">
        <v>0</v>
      </c>
      <c r="K134" s="2">
        <f>IF(D134&gt;=740,0,IF(D134&gt;=670,15,30))+IF(C134&lt;=25%,0,IF(C134&lt;=40%,15,30))+IF(E134&lt;=30%,0,IF(E134&lt;=60%,10,20))+IF(F134=0,0,IF(F134=1,10,25))+IF(G134&gt;=5,0,IF(G134&gt;=2,5,10))+IF(H134/B134&lt;=25%,0,IF(H134/B134&lt;=50%,10,20))+IF(I134=36,0,IF(I134=48,3,6))</f>
        <v/>
      </c>
      <c r="L134" s="2">
        <f>850-K134*3.5</f>
        <v/>
      </c>
      <c r="M134" s="9">
        <f>1/(1+EXP(-(-4.2+0.055*K134)))</f>
        <v/>
      </c>
      <c r="N134" s="2">
        <f>IF(K134&lt;20,"A",IF(K134&lt;40,"B",IF(K134&lt;60,"C",IF(K134&lt;80,"D","E"))))</f>
        <v/>
      </c>
      <c r="O134" s="2">
        <f>IF(OR(N134="D",N134="E"),"Enhanced Review",IF(N134="C","Conditional","Approve"))</f>
        <v/>
      </c>
      <c r="P134" s="8">
        <f>H134*M134*45%</f>
        <v/>
      </c>
      <c r="Q134" s="9">
        <f>H134/B134</f>
        <v/>
      </c>
    </row>
    <row r="135">
      <c r="A135" s="11" t="inlineStr">
        <is>
          <t>B0131</t>
        </is>
      </c>
      <c r="B135" s="12" t="n">
        <v>116016</v>
      </c>
      <c r="C135" s="13" t="n">
        <v>0.3588632412940307</v>
      </c>
      <c r="D135" s="11" t="n">
        <v>591</v>
      </c>
      <c r="E135" s="13" t="n">
        <v>0.2659132024582795</v>
      </c>
      <c r="F135" s="11" t="n">
        <v>1</v>
      </c>
      <c r="G135" s="11" t="n">
        <v>11.8</v>
      </c>
      <c r="H135" s="12" t="n">
        <v>17783</v>
      </c>
      <c r="I135" s="11" t="n">
        <v>36</v>
      </c>
      <c r="J135" s="11" t="n">
        <v>1</v>
      </c>
      <c r="K135" s="2">
        <f>IF(D135&gt;=740,0,IF(D135&gt;=670,15,30))+IF(C135&lt;=25%,0,IF(C135&lt;=40%,15,30))+IF(E135&lt;=30%,0,IF(E135&lt;=60%,10,20))+IF(F135=0,0,IF(F135=1,10,25))+IF(G135&gt;=5,0,IF(G135&gt;=2,5,10))+IF(H135/B135&lt;=25%,0,IF(H135/B135&lt;=50%,10,20))+IF(I135=36,0,IF(I135=48,3,6))</f>
        <v/>
      </c>
      <c r="L135" s="2">
        <f>850-K135*3.5</f>
        <v/>
      </c>
      <c r="M135" s="9">
        <f>1/(1+EXP(-(-4.2+0.055*K135)))</f>
        <v/>
      </c>
      <c r="N135" s="2">
        <f>IF(K135&lt;20,"A",IF(K135&lt;40,"B",IF(K135&lt;60,"C",IF(K135&lt;80,"D","E"))))</f>
        <v/>
      </c>
      <c r="O135" s="2">
        <f>IF(OR(N135="D",N135="E"),"Enhanced Review",IF(N135="C","Conditional","Approve"))</f>
        <v/>
      </c>
      <c r="P135" s="8">
        <f>H135*M135*45%</f>
        <v/>
      </c>
      <c r="Q135" s="9">
        <f>H135/B135</f>
        <v/>
      </c>
    </row>
    <row r="136">
      <c r="A136" s="11" t="inlineStr">
        <is>
          <t>B0132</t>
        </is>
      </c>
      <c r="B136" s="12" t="n">
        <v>71555</v>
      </c>
      <c r="C136" s="13" t="n">
        <v>0.2833129548286316</v>
      </c>
      <c r="D136" s="11" t="n">
        <v>624</v>
      </c>
      <c r="E136" s="13" t="n">
        <v>0.4642672768627918</v>
      </c>
      <c r="F136" s="11" t="n">
        <v>0</v>
      </c>
      <c r="G136" s="11" t="n">
        <v>30</v>
      </c>
      <c r="H136" s="12" t="n">
        <v>8631</v>
      </c>
      <c r="I136" s="11" t="n">
        <v>48</v>
      </c>
      <c r="J136" s="11" t="n">
        <v>0</v>
      </c>
      <c r="K136" s="2">
        <f>IF(D136&gt;=740,0,IF(D136&gt;=670,15,30))+IF(C136&lt;=25%,0,IF(C136&lt;=40%,15,30))+IF(E136&lt;=30%,0,IF(E136&lt;=60%,10,20))+IF(F136=0,0,IF(F136=1,10,25))+IF(G136&gt;=5,0,IF(G136&gt;=2,5,10))+IF(H136/B136&lt;=25%,0,IF(H136/B136&lt;=50%,10,20))+IF(I136=36,0,IF(I136=48,3,6))</f>
        <v/>
      </c>
      <c r="L136" s="2">
        <f>850-K136*3.5</f>
        <v/>
      </c>
      <c r="M136" s="9">
        <f>1/(1+EXP(-(-4.2+0.055*K136)))</f>
        <v/>
      </c>
      <c r="N136" s="2">
        <f>IF(K136&lt;20,"A",IF(K136&lt;40,"B",IF(K136&lt;60,"C",IF(K136&lt;80,"D","E"))))</f>
        <v/>
      </c>
      <c r="O136" s="2">
        <f>IF(OR(N136="D",N136="E"),"Enhanced Review",IF(N136="C","Conditional","Approve"))</f>
        <v/>
      </c>
      <c r="P136" s="8">
        <f>H136*M136*45%</f>
        <v/>
      </c>
      <c r="Q136" s="9">
        <f>H136/B136</f>
        <v/>
      </c>
    </row>
    <row r="137">
      <c r="A137" s="11" t="inlineStr">
        <is>
          <t>B0133</t>
        </is>
      </c>
      <c r="B137" s="12" t="n">
        <v>70991</v>
      </c>
      <c r="C137" s="13" t="n">
        <v>0.05187301436921251</v>
      </c>
      <c r="D137" s="11" t="n">
        <v>674</v>
      </c>
      <c r="E137" s="13" t="n">
        <v>0.3624579016336731</v>
      </c>
      <c r="F137" s="11" t="n">
        <v>0</v>
      </c>
      <c r="G137" s="11" t="n">
        <v>2.6</v>
      </c>
      <c r="H137" s="12" t="n">
        <v>35104</v>
      </c>
      <c r="I137" s="11" t="n">
        <v>60</v>
      </c>
      <c r="J137" s="11" t="n">
        <v>0</v>
      </c>
      <c r="K137" s="2">
        <f>IF(D137&gt;=740,0,IF(D137&gt;=670,15,30))+IF(C137&lt;=25%,0,IF(C137&lt;=40%,15,30))+IF(E137&lt;=30%,0,IF(E137&lt;=60%,10,20))+IF(F137=0,0,IF(F137=1,10,25))+IF(G137&gt;=5,0,IF(G137&gt;=2,5,10))+IF(H137/B137&lt;=25%,0,IF(H137/B137&lt;=50%,10,20))+IF(I137=36,0,IF(I137=48,3,6))</f>
        <v/>
      </c>
      <c r="L137" s="2">
        <f>850-K137*3.5</f>
        <v/>
      </c>
      <c r="M137" s="9">
        <f>1/(1+EXP(-(-4.2+0.055*K137)))</f>
        <v/>
      </c>
      <c r="N137" s="2">
        <f>IF(K137&lt;20,"A",IF(K137&lt;40,"B",IF(K137&lt;60,"C",IF(K137&lt;80,"D","E"))))</f>
        <v/>
      </c>
      <c r="O137" s="2">
        <f>IF(OR(N137="D",N137="E"),"Enhanced Review",IF(N137="C","Conditional","Approve"))</f>
        <v/>
      </c>
      <c r="P137" s="8">
        <f>H137*M137*45%</f>
        <v/>
      </c>
      <c r="Q137" s="9">
        <f>H137/B137</f>
        <v/>
      </c>
    </row>
    <row r="138">
      <c r="A138" s="11" t="inlineStr">
        <is>
          <t>B0134</t>
        </is>
      </c>
      <c r="B138" s="12" t="n">
        <v>103114</v>
      </c>
      <c r="C138" s="13" t="n">
        <v>0.2362531402736461</v>
      </c>
      <c r="D138" s="11" t="n">
        <v>670</v>
      </c>
      <c r="E138" s="13" t="n">
        <v>0.8608393193659873</v>
      </c>
      <c r="F138" s="11" t="n">
        <v>1</v>
      </c>
      <c r="G138" s="11" t="n">
        <v>13.7</v>
      </c>
      <c r="H138" s="12" t="n">
        <v>28342</v>
      </c>
      <c r="I138" s="11" t="n">
        <v>36</v>
      </c>
      <c r="J138" s="11" t="n">
        <v>1</v>
      </c>
      <c r="K138" s="2">
        <f>IF(D138&gt;=740,0,IF(D138&gt;=670,15,30))+IF(C138&lt;=25%,0,IF(C138&lt;=40%,15,30))+IF(E138&lt;=30%,0,IF(E138&lt;=60%,10,20))+IF(F138=0,0,IF(F138=1,10,25))+IF(G138&gt;=5,0,IF(G138&gt;=2,5,10))+IF(H138/B138&lt;=25%,0,IF(H138/B138&lt;=50%,10,20))+IF(I138=36,0,IF(I138=48,3,6))</f>
        <v/>
      </c>
      <c r="L138" s="2">
        <f>850-K138*3.5</f>
        <v/>
      </c>
      <c r="M138" s="9">
        <f>1/(1+EXP(-(-4.2+0.055*K138)))</f>
        <v/>
      </c>
      <c r="N138" s="2">
        <f>IF(K138&lt;20,"A",IF(K138&lt;40,"B",IF(K138&lt;60,"C",IF(K138&lt;80,"D","E"))))</f>
        <v/>
      </c>
      <c r="O138" s="2">
        <f>IF(OR(N138="D",N138="E"),"Enhanced Review",IF(N138="C","Conditional","Approve"))</f>
        <v/>
      </c>
      <c r="P138" s="8">
        <f>H138*M138*45%</f>
        <v/>
      </c>
      <c r="Q138" s="9">
        <f>H138/B138</f>
        <v/>
      </c>
    </row>
    <row r="139">
      <c r="A139" s="11" t="inlineStr">
        <is>
          <t>B0135</t>
        </is>
      </c>
      <c r="B139" s="12" t="n">
        <v>102291</v>
      </c>
      <c r="C139" s="13" t="n">
        <v>0.1542750381618634</v>
      </c>
      <c r="D139" s="11" t="n">
        <v>718</v>
      </c>
      <c r="E139" s="13" t="n">
        <v>0.2796001692972778</v>
      </c>
      <c r="F139" s="11" t="n">
        <v>3</v>
      </c>
      <c r="G139" s="11" t="n">
        <v>7.5</v>
      </c>
      <c r="H139" s="12" t="n">
        <v>17625</v>
      </c>
      <c r="I139" s="11" t="n">
        <v>36</v>
      </c>
      <c r="J139" s="11" t="n">
        <v>0</v>
      </c>
      <c r="K139" s="2">
        <f>IF(D139&gt;=740,0,IF(D139&gt;=670,15,30))+IF(C139&lt;=25%,0,IF(C139&lt;=40%,15,30))+IF(E139&lt;=30%,0,IF(E139&lt;=60%,10,20))+IF(F139=0,0,IF(F139=1,10,25))+IF(G139&gt;=5,0,IF(G139&gt;=2,5,10))+IF(H139/B139&lt;=25%,0,IF(H139/B139&lt;=50%,10,20))+IF(I139=36,0,IF(I139=48,3,6))</f>
        <v/>
      </c>
      <c r="L139" s="2">
        <f>850-K139*3.5</f>
        <v/>
      </c>
      <c r="M139" s="9">
        <f>1/(1+EXP(-(-4.2+0.055*K139)))</f>
        <v/>
      </c>
      <c r="N139" s="2">
        <f>IF(K139&lt;20,"A",IF(K139&lt;40,"B",IF(K139&lt;60,"C",IF(K139&lt;80,"D","E"))))</f>
        <v/>
      </c>
      <c r="O139" s="2">
        <f>IF(OR(N139="D",N139="E"),"Enhanced Review",IF(N139="C","Conditional","Approve"))</f>
        <v/>
      </c>
      <c r="P139" s="8">
        <f>H139*M139*45%</f>
        <v/>
      </c>
      <c r="Q139" s="9">
        <f>H139/B139</f>
        <v/>
      </c>
    </row>
    <row r="140">
      <c r="A140" s="11" t="inlineStr">
        <is>
          <t>B0136</t>
        </is>
      </c>
      <c r="B140" s="12" t="n">
        <v>125179</v>
      </c>
      <c r="C140" s="13" t="n">
        <v>0.3258967831127841</v>
      </c>
      <c r="D140" s="11" t="n">
        <v>765</v>
      </c>
      <c r="E140" s="13" t="n">
        <v>0.4643505584072242</v>
      </c>
      <c r="F140" s="11" t="n">
        <v>1</v>
      </c>
      <c r="G140" s="11" t="n">
        <v>1.7</v>
      </c>
      <c r="H140" s="12" t="n">
        <v>11746</v>
      </c>
      <c r="I140" s="11" t="n">
        <v>48</v>
      </c>
      <c r="J140" s="11" t="n">
        <v>1</v>
      </c>
      <c r="K140" s="2">
        <f>IF(D140&gt;=740,0,IF(D140&gt;=670,15,30))+IF(C140&lt;=25%,0,IF(C140&lt;=40%,15,30))+IF(E140&lt;=30%,0,IF(E140&lt;=60%,10,20))+IF(F140=0,0,IF(F140=1,10,25))+IF(G140&gt;=5,0,IF(G140&gt;=2,5,10))+IF(H140/B140&lt;=25%,0,IF(H140/B140&lt;=50%,10,20))+IF(I140=36,0,IF(I140=48,3,6))</f>
        <v/>
      </c>
      <c r="L140" s="2">
        <f>850-K140*3.5</f>
        <v/>
      </c>
      <c r="M140" s="9">
        <f>1/(1+EXP(-(-4.2+0.055*K140)))</f>
        <v/>
      </c>
      <c r="N140" s="2">
        <f>IF(K140&lt;20,"A",IF(K140&lt;40,"B",IF(K140&lt;60,"C",IF(K140&lt;80,"D","E"))))</f>
        <v/>
      </c>
      <c r="O140" s="2">
        <f>IF(OR(N140="D",N140="E"),"Enhanced Review",IF(N140="C","Conditional","Approve"))</f>
        <v/>
      </c>
      <c r="P140" s="8">
        <f>H140*M140*45%</f>
        <v/>
      </c>
      <c r="Q140" s="9">
        <f>H140/B140</f>
        <v/>
      </c>
    </row>
    <row r="141">
      <c r="A141" s="11" t="inlineStr">
        <is>
          <t>B0137</t>
        </is>
      </c>
      <c r="B141" s="12" t="n">
        <v>54549</v>
      </c>
      <c r="C141" s="13" t="n">
        <v>0.141463948948662</v>
      </c>
      <c r="D141" s="11" t="n">
        <v>723</v>
      </c>
      <c r="E141" s="13" t="n">
        <v>0.1060132812641999</v>
      </c>
      <c r="F141" s="11" t="n">
        <v>0</v>
      </c>
      <c r="G141" s="11" t="n">
        <v>3.3</v>
      </c>
      <c r="H141" s="12" t="n">
        <v>12412</v>
      </c>
      <c r="I141" s="11" t="n">
        <v>60</v>
      </c>
      <c r="J141" s="11" t="n">
        <v>0</v>
      </c>
      <c r="K141" s="2">
        <f>IF(D141&gt;=740,0,IF(D141&gt;=670,15,30))+IF(C141&lt;=25%,0,IF(C141&lt;=40%,15,30))+IF(E141&lt;=30%,0,IF(E141&lt;=60%,10,20))+IF(F141=0,0,IF(F141=1,10,25))+IF(G141&gt;=5,0,IF(G141&gt;=2,5,10))+IF(H141/B141&lt;=25%,0,IF(H141/B141&lt;=50%,10,20))+IF(I141=36,0,IF(I141=48,3,6))</f>
        <v/>
      </c>
      <c r="L141" s="2">
        <f>850-K141*3.5</f>
        <v/>
      </c>
      <c r="M141" s="9">
        <f>1/(1+EXP(-(-4.2+0.055*K141)))</f>
        <v/>
      </c>
      <c r="N141" s="2">
        <f>IF(K141&lt;20,"A",IF(K141&lt;40,"B",IF(K141&lt;60,"C",IF(K141&lt;80,"D","E"))))</f>
        <v/>
      </c>
      <c r="O141" s="2">
        <f>IF(OR(N141="D",N141="E"),"Enhanced Review",IF(N141="C","Conditional","Approve"))</f>
        <v/>
      </c>
      <c r="P141" s="8">
        <f>H141*M141*45%</f>
        <v/>
      </c>
      <c r="Q141" s="9">
        <f>H141/B141</f>
        <v/>
      </c>
    </row>
    <row r="142">
      <c r="A142" s="11" t="inlineStr">
        <is>
          <t>B0138</t>
        </is>
      </c>
      <c r="B142" s="12" t="n">
        <v>44287</v>
      </c>
      <c r="C142" s="13" t="n">
        <v>0.1056744876438613</v>
      </c>
      <c r="D142" s="11" t="n">
        <v>755</v>
      </c>
      <c r="E142" s="13" t="n">
        <v>0.1579533801437838</v>
      </c>
      <c r="F142" s="11" t="n">
        <v>0</v>
      </c>
      <c r="G142" s="11" t="n">
        <v>1.6</v>
      </c>
      <c r="H142" s="12" t="n">
        <v>15274</v>
      </c>
      <c r="I142" s="11" t="n">
        <v>48</v>
      </c>
      <c r="J142" s="11" t="n">
        <v>0</v>
      </c>
      <c r="K142" s="2">
        <f>IF(D142&gt;=740,0,IF(D142&gt;=670,15,30))+IF(C142&lt;=25%,0,IF(C142&lt;=40%,15,30))+IF(E142&lt;=30%,0,IF(E142&lt;=60%,10,20))+IF(F142=0,0,IF(F142=1,10,25))+IF(G142&gt;=5,0,IF(G142&gt;=2,5,10))+IF(H142/B142&lt;=25%,0,IF(H142/B142&lt;=50%,10,20))+IF(I142=36,0,IF(I142=48,3,6))</f>
        <v/>
      </c>
      <c r="L142" s="2">
        <f>850-K142*3.5</f>
        <v/>
      </c>
      <c r="M142" s="9">
        <f>1/(1+EXP(-(-4.2+0.055*K142)))</f>
        <v/>
      </c>
      <c r="N142" s="2">
        <f>IF(K142&lt;20,"A",IF(K142&lt;40,"B",IF(K142&lt;60,"C",IF(K142&lt;80,"D","E"))))</f>
        <v/>
      </c>
      <c r="O142" s="2">
        <f>IF(OR(N142="D",N142="E"),"Enhanced Review",IF(N142="C","Conditional","Approve"))</f>
        <v/>
      </c>
      <c r="P142" s="8">
        <f>H142*M142*45%</f>
        <v/>
      </c>
      <c r="Q142" s="9">
        <f>H142/B142</f>
        <v/>
      </c>
    </row>
    <row r="143">
      <c r="A143" s="11" t="inlineStr">
        <is>
          <t>B0139</t>
        </is>
      </c>
      <c r="B143" s="12" t="n">
        <v>40595</v>
      </c>
      <c r="C143" s="13" t="n">
        <v>0.2175261946801101</v>
      </c>
      <c r="D143" s="11" t="n">
        <v>659</v>
      </c>
      <c r="E143" s="13" t="n">
        <v>0.283640682993015</v>
      </c>
      <c r="F143" s="11" t="n">
        <v>0</v>
      </c>
      <c r="G143" s="11" t="n">
        <v>10</v>
      </c>
      <c r="H143" s="12" t="n">
        <v>10760</v>
      </c>
      <c r="I143" s="11" t="n">
        <v>60</v>
      </c>
      <c r="J143" s="11" t="n">
        <v>0</v>
      </c>
      <c r="K143" s="2">
        <f>IF(D143&gt;=740,0,IF(D143&gt;=670,15,30))+IF(C143&lt;=25%,0,IF(C143&lt;=40%,15,30))+IF(E143&lt;=30%,0,IF(E143&lt;=60%,10,20))+IF(F143=0,0,IF(F143=1,10,25))+IF(G143&gt;=5,0,IF(G143&gt;=2,5,10))+IF(H143/B143&lt;=25%,0,IF(H143/B143&lt;=50%,10,20))+IF(I143=36,0,IF(I143=48,3,6))</f>
        <v/>
      </c>
      <c r="L143" s="2">
        <f>850-K143*3.5</f>
        <v/>
      </c>
      <c r="M143" s="9">
        <f>1/(1+EXP(-(-4.2+0.055*K143)))</f>
        <v/>
      </c>
      <c r="N143" s="2">
        <f>IF(K143&lt;20,"A",IF(K143&lt;40,"B",IF(K143&lt;60,"C",IF(K143&lt;80,"D","E"))))</f>
        <v/>
      </c>
      <c r="O143" s="2">
        <f>IF(OR(N143="D",N143="E"),"Enhanced Review",IF(N143="C","Conditional","Approve"))</f>
        <v/>
      </c>
      <c r="P143" s="8">
        <f>H143*M143*45%</f>
        <v/>
      </c>
      <c r="Q143" s="9">
        <f>H143/B143</f>
        <v/>
      </c>
    </row>
    <row r="144">
      <c r="A144" s="11" t="inlineStr">
        <is>
          <t>B0140</t>
        </is>
      </c>
      <c r="B144" s="12" t="n">
        <v>69235</v>
      </c>
      <c r="C144" s="13" t="n">
        <v>0.3967141021474028</v>
      </c>
      <c r="D144" s="11" t="n">
        <v>776</v>
      </c>
      <c r="E144" s="13" t="n">
        <v>0.3969394495172963</v>
      </c>
      <c r="F144" s="11" t="n">
        <v>0</v>
      </c>
      <c r="G144" s="11" t="n">
        <v>8.5</v>
      </c>
      <c r="H144" s="12" t="n">
        <v>5913</v>
      </c>
      <c r="I144" s="11" t="n">
        <v>48</v>
      </c>
      <c r="J144" s="11" t="n">
        <v>0</v>
      </c>
      <c r="K144" s="2">
        <f>IF(D144&gt;=740,0,IF(D144&gt;=670,15,30))+IF(C144&lt;=25%,0,IF(C144&lt;=40%,15,30))+IF(E144&lt;=30%,0,IF(E144&lt;=60%,10,20))+IF(F144=0,0,IF(F144=1,10,25))+IF(G144&gt;=5,0,IF(G144&gt;=2,5,10))+IF(H144/B144&lt;=25%,0,IF(H144/B144&lt;=50%,10,20))+IF(I144=36,0,IF(I144=48,3,6))</f>
        <v/>
      </c>
      <c r="L144" s="2">
        <f>850-K144*3.5</f>
        <v/>
      </c>
      <c r="M144" s="9">
        <f>1/(1+EXP(-(-4.2+0.055*K144)))</f>
        <v/>
      </c>
      <c r="N144" s="2">
        <f>IF(K144&lt;20,"A",IF(K144&lt;40,"B",IF(K144&lt;60,"C",IF(K144&lt;80,"D","E"))))</f>
        <v/>
      </c>
      <c r="O144" s="2">
        <f>IF(OR(N144="D",N144="E"),"Enhanced Review",IF(N144="C","Conditional","Approve"))</f>
        <v/>
      </c>
      <c r="P144" s="8">
        <f>H144*M144*45%</f>
        <v/>
      </c>
      <c r="Q144" s="9">
        <f>H144/B144</f>
        <v/>
      </c>
    </row>
    <row r="145">
      <c r="A145" s="11" t="inlineStr">
        <is>
          <t>B0141</t>
        </is>
      </c>
      <c r="B145" s="12" t="n">
        <v>184842</v>
      </c>
      <c r="C145" s="13" t="n">
        <v>0.605938445889893</v>
      </c>
      <c r="D145" s="11" t="n">
        <v>687</v>
      </c>
      <c r="E145" s="13" t="n">
        <v>0.6063405153044119</v>
      </c>
      <c r="F145" s="11" t="n">
        <v>0</v>
      </c>
      <c r="G145" s="11" t="n">
        <v>4.3</v>
      </c>
      <c r="H145" s="12" t="n">
        <v>29444</v>
      </c>
      <c r="I145" s="11" t="n">
        <v>36</v>
      </c>
      <c r="J145" s="11" t="n">
        <v>0</v>
      </c>
      <c r="K145" s="2">
        <f>IF(D145&gt;=740,0,IF(D145&gt;=670,15,30))+IF(C145&lt;=25%,0,IF(C145&lt;=40%,15,30))+IF(E145&lt;=30%,0,IF(E145&lt;=60%,10,20))+IF(F145=0,0,IF(F145=1,10,25))+IF(G145&gt;=5,0,IF(G145&gt;=2,5,10))+IF(H145/B145&lt;=25%,0,IF(H145/B145&lt;=50%,10,20))+IF(I145=36,0,IF(I145=48,3,6))</f>
        <v/>
      </c>
      <c r="L145" s="2">
        <f>850-K145*3.5</f>
        <v/>
      </c>
      <c r="M145" s="9">
        <f>1/(1+EXP(-(-4.2+0.055*K145)))</f>
        <v/>
      </c>
      <c r="N145" s="2">
        <f>IF(K145&lt;20,"A",IF(K145&lt;40,"B",IF(K145&lt;60,"C",IF(K145&lt;80,"D","E"))))</f>
        <v/>
      </c>
      <c r="O145" s="2">
        <f>IF(OR(N145="D",N145="E"),"Enhanced Review",IF(N145="C","Conditional","Approve"))</f>
        <v/>
      </c>
      <c r="P145" s="8">
        <f>H145*M145*45%</f>
        <v/>
      </c>
      <c r="Q145" s="9">
        <f>H145/B145</f>
        <v/>
      </c>
    </row>
    <row r="146">
      <c r="A146" s="11" t="inlineStr">
        <is>
          <t>B0142</t>
        </is>
      </c>
      <c r="B146" s="12" t="n">
        <v>46798</v>
      </c>
      <c r="C146" s="13" t="n">
        <v>0.3163840567543842</v>
      </c>
      <c r="D146" s="11" t="n">
        <v>800</v>
      </c>
      <c r="E146" s="13" t="n">
        <v>0.3716427431471189</v>
      </c>
      <c r="F146" s="11" t="n">
        <v>2</v>
      </c>
      <c r="G146" s="11" t="n">
        <v>5.3</v>
      </c>
      <c r="H146" s="12" t="n">
        <v>30897</v>
      </c>
      <c r="I146" s="11" t="n">
        <v>60</v>
      </c>
      <c r="J146" s="11" t="n">
        <v>0</v>
      </c>
      <c r="K146" s="2">
        <f>IF(D146&gt;=740,0,IF(D146&gt;=670,15,30))+IF(C146&lt;=25%,0,IF(C146&lt;=40%,15,30))+IF(E146&lt;=30%,0,IF(E146&lt;=60%,10,20))+IF(F146=0,0,IF(F146=1,10,25))+IF(G146&gt;=5,0,IF(G146&gt;=2,5,10))+IF(H146/B146&lt;=25%,0,IF(H146/B146&lt;=50%,10,20))+IF(I146=36,0,IF(I146=48,3,6))</f>
        <v/>
      </c>
      <c r="L146" s="2">
        <f>850-K146*3.5</f>
        <v/>
      </c>
      <c r="M146" s="9">
        <f>1/(1+EXP(-(-4.2+0.055*K146)))</f>
        <v/>
      </c>
      <c r="N146" s="2">
        <f>IF(K146&lt;20,"A",IF(K146&lt;40,"B",IF(K146&lt;60,"C",IF(K146&lt;80,"D","E"))))</f>
        <v/>
      </c>
      <c r="O146" s="2">
        <f>IF(OR(N146="D",N146="E"),"Enhanced Review",IF(N146="C","Conditional","Approve"))</f>
        <v/>
      </c>
      <c r="P146" s="8">
        <f>H146*M146*45%</f>
        <v/>
      </c>
      <c r="Q146" s="9">
        <f>H146/B146</f>
        <v/>
      </c>
    </row>
    <row r="147">
      <c r="A147" s="11" t="inlineStr">
        <is>
          <t>B0143</t>
        </is>
      </c>
      <c r="B147" s="12" t="n">
        <v>36079</v>
      </c>
      <c r="C147" s="13" t="n">
        <v>0.1957888814036515</v>
      </c>
      <c r="D147" s="11" t="n">
        <v>604</v>
      </c>
      <c r="E147" s="13" t="n">
        <v>0.1433625900618203</v>
      </c>
      <c r="F147" s="11" t="n">
        <v>0</v>
      </c>
      <c r="G147" s="11" t="n">
        <v>13.6</v>
      </c>
      <c r="H147" s="12" t="n">
        <v>15820</v>
      </c>
      <c r="I147" s="11" t="n">
        <v>48</v>
      </c>
      <c r="J147" s="11" t="n">
        <v>0</v>
      </c>
      <c r="K147" s="2">
        <f>IF(D147&gt;=740,0,IF(D147&gt;=670,15,30))+IF(C147&lt;=25%,0,IF(C147&lt;=40%,15,30))+IF(E147&lt;=30%,0,IF(E147&lt;=60%,10,20))+IF(F147=0,0,IF(F147=1,10,25))+IF(G147&gt;=5,0,IF(G147&gt;=2,5,10))+IF(H147/B147&lt;=25%,0,IF(H147/B147&lt;=50%,10,20))+IF(I147=36,0,IF(I147=48,3,6))</f>
        <v/>
      </c>
      <c r="L147" s="2">
        <f>850-K147*3.5</f>
        <v/>
      </c>
      <c r="M147" s="9">
        <f>1/(1+EXP(-(-4.2+0.055*K147)))</f>
        <v/>
      </c>
      <c r="N147" s="2">
        <f>IF(K147&lt;20,"A",IF(K147&lt;40,"B",IF(K147&lt;60,"C",IF(K147&lt;80,"D","E"))))</f>
        <v/>
      </c>
      <c r="O147" s="2">
        <f>IF(OR(N147="D",N147="E"),"Enhanced Review",IF(N147="C","Conditional","Approve"))</f>
        <v/>
      </c>
      <c r="P147" s="8">
        <f>H147*M147*45%</f>
        <v/>
      </c>
      <c r="Q147" s="9">
        <f>H147/B147</f>
        <v/>
      </c>
    </row>
    <row r="148">
      <c r="A148" s="11" t="inlineStr">
        <is>
          <t>B0144</t>
        </is>
      </c>
      <c r="B148" s="12" t="n">
        <v>156454</v>
      </c>
      <c r="C148" s="13" t="n">
        <v>0.2719771574145536</v>
      </c>
      <c r="D148" s="11" t="n">
        <v>685</v>
      </c>
      <c r="E148" s="13" t="n">
        <v>0.4529979336157291</v>
      </c>
      <c r="F148" s="11" t="n">
        <v>2</v>
      </c>
      <c r="G148" s="11" t="n">
        <v>8.4</v>
      </c>
      <c r="H148" s="12" t="n">
        <v>30890</v>
      </c>
      <c r="I148" s="11" t="n">
        <v>60</v>
      </c>
      <c r="J148" s="11" t="n">
        <v>0</v>
      </c>
      <c r="K148" s="2">
        <f>IF(D148&gt;=740,0,IF(D148&gt;=670,15,30))+IF(C148&lt;=25%,0,IF(C148&lt;=40%,15,30))+IF(E148&lt;=30%,0,IF(E148&lt;=60%,10,20))+IF(F148=0,0,IF(F148=1,10,25))+IF(G148&gt;=5,0,IF(G148&gt;=2,5,10))+IF(H148/B148&lt;=25%,0,IF(H148/B148&lt;=50%,10,20))+IF(I148=36,0,IF(I148=48,3,6))</f>
        <v/>
      </c>
      <c r="L148" s="2">
        <f>850-K148*3.5</f>
        <v/>
      </c>
      <c r="M148" s="9">
        <f>1/(1+EXP(-(-4.2+0.055*K148)))</f>
        <v/>
      </c>
      <c r="N148" s="2">
        <f>IF(K148&lt;20,"A",IF(K148&lt;40,"B",IF(K148&lt;60,"C",IF(K148&lt;80,"D","E"))))</f>
        <v/>
      </c>
      <c r="O148" s="2">
        <f>IF(OR(N148="D",N148="E"),"Enhanced Review",IF(N148="C","Conditional","Approve"))</f>
        <v/>
      </c>
      <c r="P148" s="8">
        <f>H148*M148*45%</f>
        <v/>
      </c>
      <c r="Q148" s="9">
        <f>H148/B148</f>
        <v/>
      </c>
    </row>
    <row r="149">
      <c r="A149" s="11" t="inlineStr">
        <is>
          <t>B0145</t>
        </is>
      </c>
      <c r="B149" s="12" t="n">
        <v>146150</v>
      </c>
      <c r="C149" s="13" t="n">
        <v>0.1888047074586076</v>
      </c>
      <c r="D149" s="11" t="n">
        <v>783</v>
      </c>
      <c r="E149" s="13" t="n">
        <v>0.4365544045518612</v>
      </c>
      <c r="F149" s="11" t="n">
        <v>2</v>
      </c>
      <c r="G149" s="11" t="n">
        <v>8.4</v>
      </c>
      <c r="H149" s="12" t="n">
        <v>26990</v>
      </c>
      <c r="I149" s="11" t="n">
        <v>60</v>
      </c>
      <c r="J149" s="11" t="n">
        <v>0</v>
      </c>
      <c r="K149" s="2">
        <f>IF(D149&gt;=740,0,IF(D149&gt;=670,15,30))+IF(C149&lt;=25%,0,IF(C149&lt;=40%,15,30))+IF(E149&lt;=30%,0,IF(E149&lt;=60%,10,20))+IF(F149=0,0,IF(F149=1,10,25))+IF(G149&gt;=5,0,IF(G149&gt;=2,5,10))+IF(H149/B149&lt;=25%,0,IF(H149/B149&lt;=50%,10,20))+IF(I149=36,0,IF(I149=48,3,6))</f>
        <v/>
      </c>
      <c r="L149" s="2">
        <f>850-K149*3.5</f>
        <v/>
      </c>
      <c r="M149" s="9">
        <f>1/(1+EXP(-(-4.2+0.055*K149)))</f>
        <v/>
      </c>
      <c r="N149" s="2">
        <f>IF(K149&lt;20,"A",IF(K149&lt;40,"B",IF(K149&lt;60,"C",IF(K149&lt;80,"D","E"))))</f>
        <v/>
      </c>
      <c r="O149" s="2">
        <f>IF(OR(N149="D",N149="E"),"Enhanced Review",IF(N149="C","Conditional","Approve"))</f>
        <v/>
      </c>
      <c r="P149" s="8">
        <f>H149*M149*45%</f>
        <v/>
      </c>
      <c r="Q149" s="9">
        <f>H149/B149</f>
        <v/>
      </c>
    </row>
    <row r="150">
      <c r="A150" s="11" t="inlineStr">
        <is>
          <t>B0146</t>
        </is>
      </c>
      <c r="B150" s="12" t="n">
        <v>40029</v>
      </c>
      <c r="C150" s="13" t="n">
        <v>0.1862597064495471</v>
      </c>
      <c r="D150" s="11" t="n">
        <v>737</v>
      </c>
      <c r="E150" s="13" t="n">
        <v>0.6881839627331257</v>
      </c>
      <c r="F150" s="11" t="n">
        <v>0</v>
      </c>
      <c r="G150" s="11" t="n">
        <v>7.4</v>
      </c>
      <c r="H150" s="12" t="n">
        <v>10797</v>
      </c>
      <c r="I150" s="11" t="n">
        <v>36</v>
      </c>
      <c r="J150" s="11" t="n">
        <v>0</v>
      </c>
      <c r="K150" s="2">
        <f>IF(D150&gt;=740,0,IF(D150&gt;=670,15,30))+IF(C150&lt;=25%,0,IF(C150&lt;=40%,15,30))+IF(E150&lt;=30%,0,IF(E150&lt;=60%,10,20))+IF(F150=0,0,IF(F150=1,10,25))+IF(G150&gt;=5,0,IF(G150&gt;=2,5,10))+IF(H150/B150&lt;=25%,0,IF(H150/B150&lt;=50%,10,20))+IF(I150=36,0,IF(I150=48,3,6))</f>
        <v/>
      </c>
      <c r="L150" s="2">
        <f>850-K150*3.5</f>
        <v/>
      </c>
      <c r="M150" s="9">
        <f>1/(1+EXP(-(-4.2+0.055*K150)))</f>
        <v/>
      </c>
      <c r="N150" s="2">
        <f>IF(K150&lt;20,"A",IF(K150&lt;40,"B",IF(K150&lt;60,"C",IF(K150&lt;80,"D","E"))))</f>
        <v/>
      </c>
      <c r="O150" s="2">
        <f>IF(OR(N150="D",N150="E"),"Enhanced Review",IF(N150="C","Conditional","Approve"))</f>
        <v/>
      </c>
      <c r="P150" s="8">
        <f>H150*M150*45%</f>
        <v/>
      </c>
      <c r="Q150" s="9">
        <f>H150/B150</f>
        <v/>
      </c>
    </row>
    <row r="151">
      <c r="A151" s="11" t="inlineStr">
        <is>
          <t>B0147</t>
        </is>
      </c>
      <c r="B151" s="12" t="n">
        <v>48244</v>
      </c>
      <c r="C151" s="13" t="n">
        <v>0.2399048217628352</v>
      </c>
      <c r="D151" s="11" t="n">
        <v>697</v>
      </c>
      <c r="E151" s="13" t="n">
        <v>0.3200155791551322</v>
      </c>
      <c r="F151" s="11" t="n">
        <v>2</v>
      </c>
      <c r="G151" s="11" t="n">
        <v>2.1</v>
      </c>
      <c r="H151" s="12" t="n">
        <v>23748</v>
      </c>
      <c r="I151" s="11" t="n">
        <v>36</v>
      </c>
      <c r="J151" s="11" t="n">
        <v>1</v>
      </c>
      <c r="K151" s="2">
        <f>IF(D151&gt;=740,0,IF(D151&gt;=670,15,30))+IF(C151&lt;=25%,0,IF(C151&lt;=40%,15,30))+IF(E151&lt;=30%,0,IF(E151&lt;=60%,10,20))+IF(F151=0,0,IF(F151=1,10,25))+IF(G151&gt;=5,0,IF(G151&gt;=2,5,10))+IF(H151/B151&lt;=25%,0,IF(H151/B151&lt;=50%,10,20))+IF(I151=36,0,IF(I151=48,3,6))</f>
        <v/>
      </c>
      <c r="L151" s="2">
        <f>850-K151*3.5</f>
        <v/>
      </c>
      <c r="M151" s="9">
        <f>1/(1+EXP(-(-4.2+0.055*K151)))</f>
        <v/>
      </c>
      <c r="N151" s="2">
        <f>IF(K151&lt;20,"A",IF(K151&lt;40,"B",IF(K151&lt;60,"C",IF(K151&lt;80,"D","E"))))</f>
        <v/>
      </c>
      <c r="O151" s="2">
        <f>IF(OR(N151="D",N151="E"),"Enhanced Review",IF(N151="C","Conditional","Approve"))</f>
        <v/>
      </c>
      <c r="P151" s="8">
        <f>H151*M151*45%</f>
        <v/>
      </c>
      <c r="Q151" s="9">
        <f>H151/B151</f>
        <v/>
      </c>
    </row>
    <row r="152">
      <c r="A152" s="11" t="inlineStr">
        <is>
          <t>B0148</t>
        </is>
      </c>
      <c r="B152" s="12" t="n">
        <v>88945</v>
      </c>
      <c r="C152" s="13" t="n">
        <v>0.4205798497906156</v>
      </c>
      <c r="D152" s="11" t="n">
        <v>727</v>
      </c>
      <c r="E152" s="13" t="n">
        <v>0.4358852915365756</v>
      </c>
      <c r="F152" s="11" t="n">
        <v>0</v>
      </c>
      <c r="G152" s="11" t="n">
        <v>12.9</v>
      </c>
      <c r="H152" s="12" t="n">
        <v>17183</v>
      </c>
      <c r="I152" s="11" t="n">
        <v>36</v>
      </c>
      <c r="J152" s="11" t="n">
        <v>0</v>
      </c>
      <c r="K152" s="2">
        <f>IF(D152&gt;=740,0,IF(D152&gt;=670,15,30))+IF(C152&lt;=25%,0,IF(C152&lt;=40%,15,30))+IF(E152&lt;=30%,0,IF(E152&lt;=60%,10,20))+IF(F152=0,0,IF(F152=1,10,25))+IF(G152&gt;=5,0,IF(G152&gt;=2,5,10))+IF(H152/B152&lt;=25%,0,IF(H152/B152&lt;=50%,10,20))+IF(I152=36,0,IF(I152=48,3,6))</f>
        <v/>
      </c>
      <c r="L152" s="2">
        <f>850-K152*3.5</f>
        <v/>
      </c>
      <c r="M152" s="9">
        <f>1/(1+EXP(-(-4.2+0.055*K152)))</f>
        <v/>
      </c>
      <c r="N152" s="2">
        <f>IF(K152&lt;20,"A",IF(K152&lt;40,"B",IF(K152&lt;60,"C",IF(K152&lt;80,"D","E"))))</f>
        <v/>
      </c>
      <c r="O152" s="2">
        <f>IF(OR(N152="D",N152="E"),"Enhanced Review",IF(N152="C","Conditional","Approve"))</f>
        <v/>
      </c>
      <c r="P152" s="8">
        <f>H152*M152*45%</f>
        <v/>
      </c>
      <c r="Q152" s="9">
        <f>H152/B152</f>
        <v/>
      </c>
    </row>
    <row r="153">
      <c r="A153" s="11" t="inlineStr">
        <is>
          <t>B0149</t>
        </is>
      </c>
      <c r="B153" s="12" t="n">
        <v>95339</v>
      </c>
      <c r="C153" s="13" t="n">
        <v>0.3322987883916174</v>
      </c>
      <c r="D153" s="11" t="n">
        <v>744</v>
      </c>
      <c r="E153" s="13" t="n">
        <v>0.4812877919070685</v>
      </c>
      <c r="F153" s="11" t="n">
        <v>1</v>
      </c>
      <c r="G153" s="11" t="n">
        <v>3.4</v>
      </c>
      <c r="H153" s="12" t="n">
        <v>11606</v>
      </c>
      <c r="I153" s="11" t="n">
        <v>48</v>
      </c>
      <c r="J153" s="11" t="n">
        <v>0</v>
      </c>
      <c r="K153" s="2">
        <f>IF(D153&gt;=740,0,IF(D153&gt;=670,15,30))+IF(C153&lt;=25%,0,IF(C153&lt;=40%,15,30))+IF(E153&lt;=30%,0,IF(E153&lt;=60%,10,20))+IF(F153=0,0,IF(F153=1,10,25))+IF(G153&gt;=5,0,IF(G153&gt;=2,5,10))+IF(H153/B153&lt;=25%,0,IF(H153/B153&lt;=50%,10,20))+IF(I153=36,0,IF(I153=48,3,6))</f>
        <v/>
      </c>
      <c r="L153" s="2">
        <f>850-K153*3.5</f>
        <v/>
      </c>
      <c r="M153" s="9">
        <f>1/(1+EXP(-(-4.2+0.055*K153)))</f>
        <v/>
      </c>
      <c r="N153" s="2">
        <f>IF(K153&lt;20,"A",IF(K153&lt;40,"B",IF(K153&lt;60,"C",IF(K153&lt;80,"D","E"))))</f>
        <v/>
      </c>
      <c r="O153" s="2">
        <f>IF(OR(N153="D",N153="E"),"Enhanced Review",IF(N153="C","Conditional","Approve"))</f>
        <v/>
      </c>
      <c r="P153" s="8">
        <f>H153*M153*45%</f>
        <v/>
      </c>
      <c r="Q153" s="9">
        <f>H153/B153</f>
        <v/>
      </c>
    </row>
    <row r="154">
      <c r="A154" s="11" t="inlineStr">
        <is>
          <t>B0150</t>
        </is>
      </c>
      <c r="B154" s="12" t="n">
        <v>64467</v>
      </c>
      <c r="C154" s="13" t="n">
        <v>0.1967713171977092</v>
      </c>
      <c r="D154" s="11" t="n">
        <v>688</v>
      </c>
      <c r="E154" s="13" t="n">
        <v>0.2666855563741008</v>
      </c>
      <c r="F154" s="11" t="n">
        <v>0</v>
      </c>
      <c r="G154" s="11" t="n">
        <v>1.1</v>
      </c>
      <c r="H154" s="12" t="n">
        <v>15801</v>
      </c>
      <c r="I154" s="11" t="n">
        <v>48</v>
      </c>
      <c r="J154" s="11" t="n">
        <v>0</v>
      </c>
      <c r="K154" s="2">
        <f>IF(D154&gt;=740,0,IF(D154&gt;=670,15,30))+IF(C154&lt;=25%,0,IF(C154&lt;=40%,15,30))+IF(E154&lt;=30%,0,IF(E154&lt;=60%,10,20))+IF(F154=0,0,IF(F154=1,10,25))+IF(G154&gt;=5,0,IF(G154&gt;=2,5,10))+IF(H154/B154&lt;=25%,0,IF(H154/B154&lt;=50%,10,20))+IF(I154=36,0,IF(I154=48,3,6))</f>
        <v/>
      </c>
      <c r="L154" s="2">
        <f>850-K154*3.5</f>
        <v/>
      </c>
      <c r="M154" s="9">
        <f>1/(1+EXP(-(-4.2+0.055*K154)))</f>
        <v/>
      </c>
      <c r="N154" s="2">
        <f>IF(K154&lt;20,"A",IF(K154&lt;40,"B",IF(K154&lt;60,"C",IF(K154&lt;80,"D","E"))))</f>
        <v/>
      </c>
      <c r="O154" s="2">
        <f>IF(OR(N154="D",N154="E"),"Enhanced Review",IF(N154="C","Conditional","Approve"))</f>
        <v/>
      </c>
      <c r="P154" s="8">
        <f>H154*M154*45%</f>
        <v/>
      </c>
      <c r="Q154" s="9">
        <f>H154/B154</f>
        <v/>
      </c>
    </row>
    <row r="155">
      <c r="A155" s="11" t="inlineStr">
        <is>
          <t>B0151</t>
        </is>
      </c>
      <c r="B155" s="12" t="n">
        <v>70163</v>
      </c>
      <c r="C155" s="13" t="n">
        <v>0.2394698986776748</v>
      </c>
      <c r="D155" s="11" t="n">
        <v>654</v>
      </c>
      <c r="E155" s="13" t="n">
        <v>0.6505527464022017</v>
      </c>
      <c r="F155" s="11" t="n">
        <v>0</v>
      </c>
      <c r="G155" s="11" t="n">
        <v>9.9</v>
      </c>
      <c r="H155" s="12" t="n">
        <v>11511</v>
      </c>
      <c r="I155" s="11" t="n">
        <v>36</v>
      </c>
      <c r="J155" s="11" t="n">
        <v>1</v>
      </c>
      <c r="K155" s="2">
        <f>IF(D155&gt;=740,0,IF(D155&gt;=670,15,30))+IF(C155&lt;=25%,0,IF(C155&lt;=40%,15,30))+IF(E155&lt;=30%,0,IF(E155&lt;=60%,10,20))+IF(F155=0,0,IF(F155=1,10,25))+IF(G155&gt;=5,0,IF(G155&gt;=2,5,10))+IF(H155/B155&lt;=25%,0,IF(H155/B155&lt;=50%,10,20))+IF(I155=36,0,IF(I155=48,3,6))</f>
        <v/>
      </c>
      <c r="L155" s="2">
        <f>850-K155*3.5</f>
        <v/>
      </c>
      <c r="M155" s="9">
        <f>1/(1+EXP(-(-4.2+0.055*K155)))</f>
        <v/>
      </c>
      <c r="N155" s="2">
        <f>IF(K155&lt;20,"A",IF(K155&lt;40,"B",IF(K155&lt;60,"C",IF(K155&lt;80,"D","E"))))</f>
        <v/>
      </c>
      <c r="O155" s="2">
        <f>IF(OR(N155="D",N155="E"),"Enhanced Review",IF(N155="C","Conditional","Approve"))</f>
        <v/>
      </c>
      <c r="P155" s="8">
        <f>H155*M155*45%</f>
        <v/>
      </c>
      <c r="Q155" s="9">
        <f>H155/B155</f>
        <v/>
      </c>
    </row>
    <row r="156">
      <c r="A156" s="11" t="inlineStr">
        <is>
          <t>B0152</t>
        </is>
      </c>
      <c r="B156" s="12" t="n">
        <v>51843</v>
      </c>
      <c r="C156" s="13" t="n">
        <v>0.1148489283343099</v>
      </c>
      <c r="D156" s="11" t="n">
        <v>703</v>
      </c>
      <c r="E156" s="13" t="n">
        <v>0.2430161326690044</v>
      </c>
      <c r="F156" s="11" t="n">
        <v>0</v>
      </c>
      <c r="G156" s="11" t="n">
        <v>4.3</v>
      </c>
      <c r="H156" s="12" t="n">
        <v>24573</v>
      </c>
      <c r="I156" s="11" t="n">
        <v>60</v>
      </c>
      <c r="J156" s="11" t="n">
        <v>0</v>
      </c>
      <c r="K156" s="2">
        <f>IF(D156&gt;=740,0,IF(D156&gt;=670,15,30))+IF(C156&lt;=25%,0,IF(C156&lt;=40%,15,30))+IF(E156&lt;=30%,0,IF(E156&lt;=60%,10,20))+IF(F156=0,0,IF(F156=1,10,25))+IF(G156&gt;=5,0,IF(G156&gt;=2,5,10))+IF(H156/B156&lt;=25%,0,IF(H156/B156&lt;=50%,10,20))+IF(I156=36,0,IF(I156=48,3,6))</f>
        <v/>
      </c>
      <c r="L156" s="2">
        <f>850-K156*3.5</f>
        <v/>
      </c>
      <c r="M156" s="9">
        <f>1/(1+EXP(-(-4.2+0.055*K156)))</f>
        <v/>
      </c>
      <c r="N156" s="2">
        <f>IF(K156&lt;20,"A",IF(K156&lt;40,"B",IF(K156&lt;60,"C",IF(K156&lt;80,"D","E"))))</f>
        <v/>
      </c>
      <c r="O156" s="2">
        <f>IF(OR(N156="D",N156="E"),"Enhanced Review",IF(N156="C","Conditional","Approve"))</f>
        <v/>
      </c>
      <c r="P156" s="8">
        <f>H156*M156*45%</f>
        <v/>
      </c>
      <c r="Q156" s="9">
        <f>H156/B156</f>
        <v/>
      </c>
    </row>
    <row r="157">
      <c r="A157" s="11" t="inlineStr">
        <is>
          <t>B0153</t>
        </is>
      </c>
      <c r="B157" s="12" t="n">
        <v>34965</v>
      </c>
      <c r="C157" s="13" t="n">
        <v>0.2995696292056956</v>
      </c>
      <c r="D157" s="11" t="n">
        <v>658</v>
      </c>
      <c r="E157" s="13" t="n">
        <v>0.2173932399886373</v>
      </c>
      <c r="F157" s="11" t="n">
        <v>1</v>
      </c>
      <c r="G157" s="11" t="n">
        <v>4.6</v>
      </c>
      <c r="H157" s="12" t="n">
        <v>74799</v>
      </c>
      <c r="I157" s="11" t="n">
        <v>60</v>
      </c>
      <c r="J157" s="11" t="n">
        <v>0</v>
      </c>
      <c r="K157" s="2">
        <f>IF(D157&gt;=740,0,IF(D157&gt;=670,15,30))+IF(C157&lt;=25%,0,IF(C157&lt;=40%,15,30))+IF(E157&lt;=30%,0,IF(E157&lt;=60%,10,20))+IF(F157=0,0,IF(F157=1,10,25))+IF(G157&gt;=5,0,IF(G157&gt;=2,5,10))+IF(H157/B157&lt;=25%,0,IF(H157/B157&lt;=50%,10,20))+IF(I157=36,0,IF(I157=48,3,6))</f>
        <v/>
      </c>
      <c r="L157" s="2">
        <f>850-K157*3.5</f>
        <v/>
      </c>
      <c r="M157" s="9">
        <f>1/(1+EXP(-(-4.2+0.055*K157)))</f>
        <v/>
      </c>
      <c r="N157" s="2">
        <f>IF(K157&lt;20,"A",IF(K157&lt;40,"B",IF(K157&lt;60,"C",IF(K157&lt;80,"D","E"))))</f>
        <v/>
      </c>
      <c r="O157" s="2">
        <f>IF(OR(N157="D",N157="E"),"Enhanced Review",IF(N157="C","Conditional","Approve"))</f>
        <v/>
      </c>
      <c r="P157" s="8">
        <f>H157*M157*45%</f>
        <v/>
      </c>
      <c r="Q157" s="9">
        <f>H157/B157</f>
        <v/>
      </c>
    </row>
    <row r="158">
      <c r="A158" s="11" t="inlineStr">
        <is>
          <t>B0154</t>
        </is>
      </c>
      <c r="B158" s="12" t="n">
        <v>61213</v>
      </c>
      <c r="C158" s="13" t="n">
        <v>0.2563798208015757</v>
      </c>
      <c r="D158" s="11" t="n">
        <v>761</v>
      </c>
      <c r="E158" s="13" t="n">
        <v>0.5327880091196495</v>
      </c>
      <c r="F158" s="11" t="n">
        <v>1</v>
      </c>
      <c r="G158" s="11" t="n">
        <v>8.800000000000001</v>
      </c>
      <c r="H158" s="12" t="n">
        <v>13600</v>
      </c>
      <c r="I158" s="11" t="n">
        <v>60</v>
      </c>
      <c r="J158" s="11" t="n">
        <v>0</v>
      </c>
      <c r="K158" s="2">
        <f>IF(D158&gt;=740,0,IF(D158&gt;=670,15,30))+IF(C158&lt;=25%,0,IF(C158&lt;=40%,15,30))+IF(E158&lt;=30%,0,IF(E158&lt;=60%,10,20))+IF(F158=0,0,IF(F158=1,10,25))+IF(G158&gt;=5,0,IF(G158&gt;=2,5,10))+IF(H158/B158&lt;=25%,0,IF(H158/B158&lt;=50%,10,20))+IF(I158=36,0,IF(I158=48,3,6))</f>
        <v/>
      </c>
      <c r="L158" s="2">
        <f>850-K158*3.5</f>
        <v/>
      </c>
      <c r="M158" s="9">
        <f>1/(1+EXP(-(-4.2+0.055*K158)))</f>
        <v/>
      </c>
      <c r="N158" s="2">
        <f>IF(K158&lt;20,"A",IF(K158&lt;40,"B",IF(K158&lt;60,"C",IF(K158&lt;80,"D","E"))))</f>
        <v/>
      </c>
      <c r="O158" s="2">
        <f>IF(OR(N158="D",N158="E"),"Enhanced Review",IF(N158="C","Conditional","Approve"))</f>
        <v/>
      </c>
      <c r="P158" s="8">
        <f>H158*M158*45%</f>
        <v/>
      </c>
      <c r="Q158" s="9">
        <f>H158/B158</f>
        <v/>
      </c>
    </row>
    <row r="159">
      <c r="A159" s="11" t="inlineStr">
        <is>
          <t>B0155</t>
        </is>
      </c>
      <c r="B159" s="12" t="n">
        <v>62595</v>
      </c>
      <c r="C159" s="13" t="n">
        <v>0.148250778566347</v>
      </c>
      <c r="D159" s="11" t="n">
        <v>766</v>
      </c>
      <c r="E159" s="13" t="n">
        <v>0.7407036262446833</v>
      </c>
      <c r="F159" s="11" t="n">
        <v>2</v>
      </c>
      <c r="G159" s="11" t="n">
        <v>21.8</v>
      </c>
      <c r="H159" s="12" t="n">
        <v>19783</v>
      </c>
      <c r="I159" s="11" t="n">
        <v>36</v>
      </c>
      <c r="J159" s="11" t="n">
        <v>1</v>
      </c>
      <c r="K159" s="2">
        <f>IF(D159&gt;=740,0,IF(D159&gt;=670,15,30))+IF(C159&lt;=25%,0,IF(C159&lt;=40%,15,30))+IF(E159&lt;=30%,0,IF(E159&lt;=60%,10,20))+IF(F159=0,0,IF(F159=1,10,25))+IF(G159&gt;=5,0,IF(G159&gt;=2,5,10))+IF(H159/B159&lt;=25%,0,IF(H159/B159&lt;=50%,10,20))+IF(I159=36,0,IF(I159=48,3,6))</f>
        <v/>
      </c>
      <c r="L159" s="2">
        <f>850-K159*3.5</f>
        <v/>
      </c>
      <c r="M159" s="9">
        <f>1/(1+EXP(-(-4.2+0.055*K159)))</f>
        <v/>
      </c>
      <c r="N159" s="2">
        <f>IF(K159&lt;20,"A",IF(K159&lt;40,"B",IF(K159&lt;60,"C",IF(K159&lt;80,"D","E"))))</f>
        <v/>
      </c>
      <c r="O159" s="2">
        <f>IF(OR(N159="D",N159="E"),"Enhanced Review",IF(N159="C","Conditional","Approve"))</f>
        <v/>
      </c>
      <c r="P159" s="8">
        <f>H159*M159*45%</f>
        <v/>
      </c>
      <c r="Q159" s="9">
        <f>H159/B159</f>
        <v/>
      </c>
    </row>
    <row r="160">
      <c r="A160" s="11" t="inlineStr">
        <is>
          <t>B0156</t>
        </is>
      </c>
      <c r="B160" s="12" t="n">
        <v>57389</v>
      </c>
      <c r="C160" s="13" t="n">
        <v>0.1158705796516152</v>
      </c>
      <c r="D160" s="11" t="n">
        <v>721</v>
      </c>
      <c r="E160" s="13" t="n">
        <v>0.419615955200509</v>
      </c>
      <c r="F160" s="11" t="n">
        <v>0</v>
      </c>
      <c r="G160" s="11" t="n">
        <v>3.6</v>
      </c>
      <c r="H160" s="12" t="n">
        <v>3736</v>
      </c>
      <c r="I160" s="11" t="n">
        <v>48</v>
      </c>
      <c r="J160" s="11" t="n">
        <v>0</v>
      </c>
      <c r="K160" s="2">
        <f>IF(D160&gt;=740,0,IF(D160&gt;=670,15,30))+IF(C160&lt;=25%,0,IF(C160&lt;=40%,15,30))+IF(E160&lt;=30%,0,IF(E160&lt;=60%,10,20))+IF(F160=0,0,IF(F160=1,10,25))+IF(G160&gt;=5,0,IF(G160&gt;=2,5,10))+IF(H160/B160&lt;=25%,0,IF(H160/B160&lt;=50%,10,20))+IF(I160=36,0,IF(I160=48,3,6))</f>
        <v/>
      </c>
      <c r="L160" s="2">
        <f>850-K160*3.5</f>
        <v/>
      </c>
      <c r="M160" s="9">
        <f>1/(1+EXP(-(-4.2+0.055*K160)))</f>
        <v/>
      </c>
      <c r="N160" s="2">
        <f>IF(K160&lt;20,"A",IF(K160&lt;40,"B",IF(K160&lt;60,"C",IF(K160&lt;80,"D","E"))))</f>
        <v/>
      </c>
      <c r="O160" s="2">
        <f>IF(OR(N160="D",N160="E"),"Enhanced Review",IF(N160="C","Conditional","Approve"))</f>
        <v/>
      </c>
      <c r="P160" s="8">
        <f>H160*M160*45%</f>
        <v/>
      </c>
      <c r="Q160" s="9">
        <f>H160/B160</f>
        <v/>
      </c>
    </row>
    <row r="161">
      <c r="A161" s="11" t="inlineStr">
        <is>
          <t>B0157</t>
        </is>
      </c>
      <c r="B161" s="12" t="n">
        <v>50765</v>
      </c>
      <c r="C161" s="13" t="n">
        <v>0.09960669169088718</v>
      </c>
      <c r="D161" s="11" t="n">
        <v>805</v>
      </c>
      <c r="E161" s="13" t="n">
        <v>0.9155389226241497</v>
      </c>
      <c r="F161" s="11" t="n">
        <v>1</v>
      </c>
      <c r="G161" s="11" t="n">
        <v>9.800000000000001</v>
      </c>
      <c r="H161" s="12" t="n">
        <v>7757</v>
      </c>
      <c r="I161" s="11" t="n">
        <v>36</v>
      </c>
      <c r="J161" s="11" t="n">
        <v>0</v>
      </c>
      <c r="K161" s="2">
        <f>IF(D161&gt;=740,0,IF(D161&gt;=670,15,30))+IF(C161&lt;=25%,0,IF(C161&lt;=40%,15,30))+IF(E161&lt;=30%,0,IF(E161&lt;=60%,10,20))+IF(F161=0,0,IF(F161=1,10,25))+IF(G161&gt;=5,0,IF(G161&gt;=2,5,10))+IF(H161/B161&lt;=25%,0,IF(H161/B161&lt;=50%,10,20))+IF(I161=36,0,IF(I161=48,3,6))</f>
        <v/>
      </c>
      <c r="L161" s="2">
        <f>850-K161*3.5</f>
        <v/>
      </c>
      <c r="M161" s="9">
        <f>1/(1+EXP(-(-4.2+0.055*K161)))</f>
        <v/>
      </c>
      <c r="N161" s="2">
        <f>IF(K161&lt;20,"A",IF(K161&lt;40,"B",IF(K161&lt;60,"C",IF(K161&lt;80,"D","E"))))</f>
        <v/>
      </c>
      <c r="O161" s="2">
        <f>IF(OR(N161="D",N161="E"),"Enhanced Review",IF(N161="C","Conditional","Approve"))</f>
        <v/>
      </c>
      <c r="P161" s="8">
        <f>H161*M161*45%</f>
        <v/>
      </c>
      <c r="Q161" s="9">
        <f>H161/B161</f>
        <v/>
      </c>
    </row>
    <row r="162">
      <c r="A162" s="11" t="inlineStr">
        <is>
          <t>B0158</t>
        </is>
      </c>
      <c r="B162" s="12" t="n">
        <v>163192</v>
      </c>
      <c r="C162" s="13" t="n">
        <v>0.1232252339366752</v>
      </c>
      <c r="D162" s="11" t="n">
        <v>725</v>
      </c>
      <c r="E162" s="13" t="n">
        <v>0.4730684179149695</v>
      </c>
      <c r="F162" s="11" t="n">
        <v>1</v>
      </c>
      <c r="G162" s="11" t="n">
        <v>11.6</v>
      </c>
      <c r="H162" s="12" t="n">
        <v>9746</v>
      </c>
      <c r="I162" s="11" t="n">
        <v>60</v>
      </c>
      <c r="J162" s="11" t="n">
        <v>0</v>
      </c>
      <c r="K162" s="2">
        <f>IF(D162&gt;=740,0,IF(D162&gt;=670,15,30))+IF(C162&lt;=25%,0,IF(C162&lt;=40%,15,30))+IF(E162&lt;=30%,0,IF(E162&lt;=60%,10,20))+IF(F162=0,0,IF(F162=1,10,25))+IF(G162&gt;=5,0,IF(G162&gt;=2,5,10))+IF(H162/B162&lt;=25%,0,IF(H162/B162&lt;=50%,10,20))+IF(I162=36,0,IF(I162=48,3,6))</f>
        <v/>
      </c>
      <c r="L162" s="2">
        <f>850-K162*3.5</f>
        <v/>
      </c>
      <c r="M162" s="9">
        <f>1/(1+EXP(-(-4.2+0.055*K162)))</f>
        <v/>
      </c>
      <c r="N162" s="2">
        <f>IF(K162&lt;20,"A",IF(K162&lt;40,"B",IF(K162&lt;60,"C",IF(K162&lt;80,"D","E"))))</f>
        <v/>
      </c>
      <c r="O162" s="2">
        <f>IF(OR(N162="D",N162="E"),"Enhanced Review",IF(N162="C","Conditional","Approve"))</f>
        <v/>
      </c>
      <c r="P162" s="8">
        <f>H162*M162*45%</f>
        <v/>
      </c>
      <c r="Q162" s="9">
        <f>H162/B162</f>
        <v/>
      </c>
    </row>
    <row r="163">
      <c r="A163" s="11" t="inlineStr">
        <is>
          <t>B0159</t>
        </is>
      </c>
      <c r="B163" s="12" t="n">
        <v>71572</v>
      </c>
      <c r="C163" s="13" t="n">
        <v>0.172531060880269</v>
      </c>
      <c r="D163" s="11" t="n">
        <v>697</v>
      </c>
      <c r="E163" s="13" t="n">
        <v>0.2497669666273821</v>
      </c>
      <c r="F163" s="11" t="n">
        <v>2</v>
      </c>
      <c r="G163" s="11" t="n">
        <v>3.7</v>
      </c>
      <c r="H163" s="12" t="n">
        <v>15934</v>
      </c>
      <c r="I163" s="11" t="n">
        <v>48</v>
      </c>
      <c r="J163" s="11" t="n">
        <v>1</v>
      </c>
      <c r="K163" s="2">
        <f>IF(D163&gt;=740,0,IF(D163&gt;=670,15,30))+IF(C163&lt;=25%,0,IF(C163&lt;=40%,15,30))+IF(E163&lt;=30%,0,IF(E163&lt;=60%,10,20))+IF(F163=0,0,IF(F163=1,10,25))+IF(G163&gt;=5,0,IF(G163&gt;=2,5,10))+IF(H163/B163&lt;=25%,0,IF(H163/B163&lt;=50%,10,20))+IF(I163=36,0,IF(I163=48,3,6))</f>
        <v/>
      </c>
      <c r="L163" s="2">
        <f>850-K163*3.5</f>
        <v/>
      </c>
      <c r="M163" s="9">
        <f>1/(1+EXP(-(-4.2+0.055*K163)))</f>
        <v/>
      </c>
      <c r="N163" s="2">
        <f>IF(K163&lt;20,"A",IF(K163&lt;40,"B",IF(K163&lt;60,"C",IF(K163&lt;80,"D","E"))))</f>
        <v/>
      </c>
      <c r="O163" s="2">
        <f>IF(OR(N163="D",N163="E"),"Enhanced Review",IF(N163="C","Conditional","Approve"))</f>
        <v/>
      </c>
      <c r="P163" s="8">
        <f>H163*M163*45%</f>
        <v/>
      </c>
      <c r="Q163" s="9">
        <f>H163/B163</f>
        <v/>
      </c>
    </row>
    <row r="164">
      <c r="A164" s="11" t="inlineStr">
        <is>
          <t>B0160</t>
        </is>
      </c>
      <c r="B164" s="12" t="n">
        <v>77476</v>
      </c>
      <c r="C164" s="13" t="n">
        <v>0.5211431229542344</v>
      </c>
      <c r="D164" s="11" t="n">
        <v>768</v>
      </c>
      <c r="E164" s="13" t="n">
        <v>0.2123777899886795</v>
      </c>
      <c r="F164" s="11" t="n">
        <v>0</v>
      </c>
      <c r="G164" s="11" t="n">
        <v>6.2</v>
      </c>
      <c r="H164" s="12" t="n">
        <v>22319</v>
      </c>
      <c r="I164" s="11" t="n">
        <v>36</v>
      </c>
      <c r="J164" s="11" t="n">
        <v>1</v>
      </c>
      <c r="K164" s="2">
        <f>IF(D164&gt;=740,0,IF(D164&gt;=670,15,30))+IF(C164&lt;=25%,0,IF(C164&lt;=40%,15,30))+IF(E164&lt;=30%,0,IF(E164&lt;=60%,10,20))+IF(F164=0,0,IF(F164=1,10,25))+IF(G164&gt;=5,0,IF(G164&gt;=2,5,10))+IF(H164/B164&lt;=25%,0,IF(H164/B164&lt;=50%,10,20))+IF(I164=36,0,IF(I164=48,3,6))</f>
        <v/>
      </c>
      <c r="L164" s="2">
        <f>850-K164*3.5</f>
        <v/>
      </c>
      <c r="M164" s="9">
        <f>1/(1+EXP(-(-4.2+0.055*K164)))</f>
        <v/>
      </c>
      <c r="N164" s="2">
        <f>IF(K164&lt;20,"A",IF(K164&lt;40,"B",IF(K164&lt;60,"C",IF(K164&lt;80,"D","E"))))</f>
        <v/>
      </c>
      <c r="O164" s="2">
        <f>IF(OR(N164="D",N164="E"),"Enhanced Review",IF(N164="C","Conditional","Approve"))</f>
        <v/>
      </c>
      <c r="P164" s="8">
        <f>H164*M164*45%</f>
        <v/>
      </c>
      <c r="Q164" s="9">
        <f>H164/B164</f>
        <v/>
      </c>
    </row>
    <row r="165">
      <c r="A165" s="11" t="inlineStr">
        <is>
          <t>B0161</t>
        </is>
      </c>
      <c r="B165" s="12" t="n">
        <v>84151</v>
      </c>
      <c r="C165" s="13" t="n">
        <v>0.2517247184355227</v>
      </c>
      <c r="D165" s="11" t="n">
        <v>661</v>
      </c>
      <c r="E165" s="13" t="n">
        <v>0.4911276557498155</v>
      </c>
      <c r="F165" s="11" t="n">
        <v>0</v>
      </c>
      <c r="G165" s="11" t="n">
        <v>5.5</v>
      </c>
      <c r="H165" s="12" t="n">
        <v>22374</v>
      </c>
      <c r="I165" s="11" t="n">
        <v>48</v>
      </c>
      <c r="J165" s="11" t="n">
        <v>0</v>
      </c>
      <c r="K165" s="2">
        <f>IF(D165&gt;=740,0,IF(D165&gt;=670,15,30))+IF(C165&lt;=25%,0,IF(C165&lt;=40%,15,30))+IF(E165&lt;=30%,0,IF(E165&lt;=60%,10,20))+IF(F165=0,0,IF(F165=1,10,25))+IF(G165&gt;=5,0,IF(G165&gt;=2,5,10))+IF(H165/B165&lt;=25%,0,IF(H165/B165&lt;=50%,10,20))+IF(I165=36,0,IF(I165=48,3,6))</f>
        <v/>
      </c>
      <c r="L165" s="2">
        <f>850-K165*3.5</f>
        <v/>
      </c>
      <c r="M165" s="9">
        <f>1/(1+EXP(-(-4.2+0.055*K165)))</f>
        <v/>
      </c>
      <c r="N165" s="2">
        <f>IF(K165&lt;20,"A",IF(K165&lt;40,"B",IF(K165&lt;60,"C",IF(K165&lt;80,"D","E"))))</f>
        <v/>
      </c>
      <c r="O165" s="2">
        <f>IF(OR(N165="D",N165="E"),"Enhanced Review",IF(N165="C","Conditional","Approve"))</f>
        <v/>
      </c>
      <c r="P165" s="8">
        <f>H165*M165*45%</f>
        <v/>
      </c>
      <c r="Q165" s="9">
        <f>H165/B165</f>
        <v/>
      </c>
    </row>
    <row r="166">
      <c r="A166" s="11" t="inlineStr">
        <is>
          <t>B0162</t>
        </is>
      </c>
      <c r="B166" s="12" t="n">
        <v>112948</v>
      </c>
      <c r="C166" s="13" t="n">
        <v>0.09979466113658431</v>
      </c>
      <c r="D166" s="11" t="n">
        <v>714</v>
      </c>
      <c r="E166" s="13" t="n">
        <v>0.7216441365206274</v>
      </c>
      <c r="F166" s="11" t="n">
        <v>0</v>
      </c>
      <c r="G166" s="11" t="n">
        <v>10</v>
      </c>
      <c r="H166" s="12" t="n">
        <v>90000</v>
      </c>
      <c r="I166" s="11" t="n">
        <v>60</v>
      </c>
      <c r="J166" s="11" t="n">
        <v>0</v>
      </c>
      <c r="K166" s="2">
        <f>IF(D166&gt;=740,0,IF(D166&gt;=670,15,30))+IF(C166&lt;=25%,0,IF(C166&lt;=40%,15,30))+IF(E166&lt;=30%,0,IF(E166&lt;=60%,10,20))+IF(F166=0,0,IF(F166=1,10,25))+IF(G166&gt;=5,0,IF(G166&gt;=2,5,10))+IF(H166/B166&lt;=25%,0,IF(H166/B166&lt;=50%,10,20))+IF(I166=36,0,IF(I166=48,3,6))</f>
        <v/>
      </c>
      <c r="L166" s="2">
        <f>850-K166*3.5</f>
        <v/>
      </c>
      <c r="M166" s="9">
        <f>1/(1+EXP(-(-4.2+0.055*K166)))</f>
        <v/>
      </c>
      <c r="N166" s="2">
        <f>IF(K166&lt;20,"A",IF(K166&lt;40,"B",IF(K166&lt;60,"C",IF(K166&lt;80,"D","E"))))</f>
        <v/>
      </c>
      <c r="O166" s="2">
        <f>IF(OR(N166="D",N166="E"),"Enhanced Review",IF(N166="C","Conditional","Approve"))</f>
        <v/>
      </c>
      <c r="P166" s="8">
        <f>H166*M166*45%</f>
        <v/>
      </c>
      <c r="Q166" s="9">
        <f>H166/B166</f>
        <v/>
      </c>
    </row>
    <row r="167">
      <c r="A167" s="11" t="inlineStr">
        <is>
          <t>B0163</t>
        </is>
      </c>
      <c r="B167" s="12" t="n">
        <v>74745</v>
      </c>
      <c r="C167" s="13" t="n">
        <v>0.4434755305994355</v>
      </c>
      <c r="D167" s="11" t="n">
        <v>700</v>
      </c>
      <c r="E167" s="13" t="n">
        <v>0.6490724001444903</v>
      </c>
      <c r="F167" s="11" t="n">
        <v>1</v>
      </c>
      <c r="G167" s="11" t="n">
        <v>3.1</v>
      </c>
      <c r="H167" s="12" t="n">
        <v>29517</v>
      </c>
      <c r="I167" s="11" t="n">
        <v>60</v>
      </c>
      <c r="J167" s="11" t="n">
        <v>0</v>
      </c>
      <c r="K167" s="2">
        <f>IF(D167&gt;=740,0,IF(D167&gt;=670,15,30))+IF(C167&lt;=25%,0,IF(C167&lt;=40%,15,30))+IF(E167&lt;=30%,0,IF(E167&lt;=60%,10,20))+IF(F167=0,0,IF(F167=1,10,25))+IF(G167&gt;=5,0,IF(G167&gt;=2,5,10))+IF(H167/B167&lt;=25%,0,IF(H167/B167&lt;=50%,10,20))+IF(I167=36,0,IF(I167=48,3,6))</f>
        <v/>
      </c>
      <c r="L167" s="2">
        <f>850-K167*3.5</f>
        <v/>
      </c>
      <c r="M167" s="9">
        <f>1/(1+EXP(-(-4.2+0.055*K167)))</f>
        <v/>
      </c>
      <c r="N167" s="2">
        <f>IF(K167&lt;20,"A",IF(K167&lt;40,"B",IF(K167&lt;60,"C",IF(K167&lt;80,"D","E"))))</f>
        <v/>
      </c>
      <c r="O167" s="2">
        <f>IF(OR(N167="D",N167="E"),"Enhanced Review",IF(N167="C","Conditional","Approve"))</f>
        <v/>
      </c>
      <c r="P167" s="8">
        <f>H167*M167*45%</f>
        <v/>
      </c>
      <c r="Q167" s="9">
        <f>H167/B167</f>
        <v/>
      </c>
    </row>
    <row r="168">
      <c r="A168" s="11" t="inlineStr">
        <is>
          <t>B0164</t>
        </is>
      </c>
      <c r="B168" s="12" t="n">
        <v>60946</v>
      </c>
      <c r="C168" s="13" t="n">
        <v>0.1954834146543324</v>
      </c>
      <c r="D168" s="11" t="n">
        <v>698</v>
      </c>
      <c r="E168" s="13" t="n">
        <v>0.202698387134026</v>
      </c>
      <c r="F168" s="11" t="n">
        <v>0</v>
      </c>
      <c r="G168" s="11" t="n">
        <v>5.1</v>
      </c>
      <c r="H168" s="12" t="n">
        <v>12388</v>
      </c>
      <c r="I168" s="11" t="n">
        <v>36</v>
      </c>
      <c r="J168" s="11" t="n">
        <v>0</v>
      </c>
      <c r="K168" s="2">
        <f>IF(D168&gt;=740,0,IF(D168&gt;=670,15,30))+IF(C168&lt;=25%,0,IF(C168&lt;=40%,15,30))+IF(E168&lt;=30%,0,IF(E168&lt;=60%,10,20))+IF(F168=0,0,IF(F168=1,10,25))+IF(G168&gt;=5,0,IF(G168&gt;=2,5,10))+IF(H168/B168&lt;=25%,0,IF(H168/B168&lt;=50%,10,20))+IF(I168=36,0,IF(I168=48,3,6))</f>
        <v/>
      </c>
      <c r="L168" s="2">
        <f>850-K168*3.5</f>
        <v/>
      </c>
      <c r="M168" s="9">
        <f>1/(1+EXP(-(-4.2+0.055*K168)))</f>
        <v/>
      </c>
      <c r="N168" s="2">
        <f>IF(K168&lt;20,"A",IF(K168&lt;40,"B",IF(K168&lt;60,"C",IF(K168&lt;80,"D","E"))))</f>
        <v/>
      </c>
      <c r="O168" s="2">
        <f>IF(OR(N168="D",N168="E"),"Enhanced Review",IF(N168="C","Conditional","Approve"))</f>
        <v/>
      </c>
      <c r="P168" s="8">
        <f>H168*M168*45%</f>
        <v/>
      </c>
      <c r="Q168" s="9">
        <f>H168/B168</f>
        <v/>
      </c>
    </row>
    <row r="169">
      <c r="A169" s="11" t="inlineStr">
        <is>
          <t>B0165</t>
        </is>
      </c>
      <c r="B169" s="12" t="n">
        <v>88508</v>
      </c>
      <c r="C169" s="13" t="n">
        <v>0.1530307113131396</v>
      </c>
      <c r="D169" s="11" t="n">
        <v>630</v>
      </c>
      <c r="E169" s="13" t="n">
        <v>0.04424224577423844</v>
      </c>
      <c r="F169" s="11" t="n">
        <v>1</v>
      </c>
      <c r="G169" s="11" t="n">
        <v>6.1</v>
      </c>
      <c r="H169" s="12" t="n">
        <v>16716</v>
      </c>
      <c r="I169" s="11" t="n">
        <v>36</v>
      </c>
      <c r="J169" s="11" t="n">
        <v>0</v>
      </c>
      <c r="K169" s="2">
        <f>IF(D169&gt;=740,0,IF(D169&gt;=670,15,30))+IF(C169&lt;=25%,0,IF(C169&lt;=40%,15,30))+IF(E169&lt;=30%,0,IF(E169&lt;=60%,10,20))+IF(F169=0,0,IF(F169=1,10,25))+IF(G169&gt;=5,0,IF(G169&gt;=2,5,10))+IF(H169/B169&lt;=25%,0,IF(H169/B169&lt;=50%,10,20))+IF(I169=36,0,IF(I169=48,3,6))</f>
        <v/>
      </c>
      <c r="L169" s="2">
        <f>850-K169*3.5</f>
        <v/>
      </c>
      <c r="M169" s="9">
        <f>1/(1+EXP(-(-4.2+0.055*K169)))</f>
        <v/>
      </c>
      <c r="N169" s="2">
        <f>IF(K169&lt;20,"A",IF(K169&lt;40,"B",IF(K169&lt;60,"C",IF(K169&lt;80,"D","E"))))</f>
        <v/>
      </c>
      <c r="O169" s="2">
        <f>IF(OR(N169="D",N169="E"),"Enhanced Review",IF(N169="C","Conditional","Approve"))</f>
        <v/>
      </c>
      <c r="P169" s="8">
        <f>H169*M169*45%</f>
        <v/>
      </c>
      <c r="Q169" s="9">
        <f>H169/B169</f>
        <v/>
      </c>
    </row>
    <row r="170">
      <c r="A170" s="11" t="inlineStr">
        <is>
          <t>B0166</t>
        </is>
      </c>
      <c r="B170" s="12" t="n">
        <v>42736</v>
      </c>
      <c r="C170" s="13" t="n">
        <v>0.2953854577311959</v>
      </c>
      <c r="D170" s="11" t="n">
        <v>689</v>
      </c>
      <c r="E170" s="13" t="n">
        <v>0.08530241117799692</v>
      </c>
      <c r="F170" s="11" t="n">
        <v>0</v>
      </c>
      <c r="G170" s="11" t="n">
        <v>3.6</v>
      </c>
      <c r="H170" s="12" t="n">
        <v>13421</v>
      </c>
      <c r="I170" s="11" t="n">
        <v>36</v>
      </c>
      <c r="J170" s="11" t="n">
        <v>0</v>
      </c>
      <c r="K170" s="2">
        <f>IF(D170&gt;=740,0,IF(D170&gt;=670,15,30))+IF(C170&lt;=25%,0,IF(C170&lt;=40%,15,30))+IF(E170&lt;=30%,0,IF(E170&lt;=60%,10,20))+IF(F170=0,0,IF(F170=1,10,25))+IF(G170&gt;=5,0,IF(G170&gt;=2,5,10))+IF(H170/B170&lt;=25%,0,IF(H170/B170&lt;=50%,10,20))+IF(I170=36,0,IF(I170=48,3,6))</f>
        <v/>
      </c>
      <c r="L170" s="2">
        <f>850-K170*3.5</f>
        <v/>
      </c>
      <c r="M170" s="9">
        <f>1/(1+EXP(-(-4.2+0.055*K170)))</f>
        <v/>
      </c>
      <c r="N170" s="2">
        <f>IF(K170&lt;20,"A",IF(K170&lt;40,"B",IF(K170&lt;60,"C",IF(K170&lt;80,"D","E"))))</f>
        <v/>
      </c>
      <c r="O170" s="2">
        <f>IF(OR(N170="D",N170="E"),"Enhanced Review",IF(N170="C","Conditional","Approve"))</f>
        <v/>
      </c>
      <c r="P170" s="8">
        <f>H170*M170*45%</f>
        <v/>
      </c>
      <c r="Q170" s="9">
        <f>H170/B170</f>
        <v/>
      </c>
    </row>
    <row r="171">
      <c r="A171" s="11" t="inlineStr">
        <is>
          <t>B0167</t>
        </is>
      </c>
      <c r="B171" s="12" t="n">
        <v>124210</v>
      </c>
      <c r="C171" s="13" t="n">
        <v>0.279151369522973</v>
      </c>
      <c r="D171" s="11" t="n">
        <v>727</v>
      </c>
      <c r="E171" s="13" t="n">
        <v>0.5427092967868562</v>
      </c>
      <c r="F171" s="11" t="n">
        <v>0</v>
      </c>
      <c r="G171" s="11" t="n">
        <v>2</v>
      </c>
      <c r="H171" s="12" t="n">
        <v>20285</v>
      </c>
      <c r="I171" s="11" t="n">
        <v>36</v>
      </c>
      <c r="J171" s="11" t="n">
        <v>0</v>
      </c>
      <c r="K171" s="2">
        <f>IF(D171&gt;=740,0,IF(D171&gt;=670,15,30))+IF(C171&lt;=25%,0,IF(C171&lt;=40%,15,30))+IF(E171&lt;=30%,0,IF(E171&lt;=60%,10,20))+IF(F171=0,0,IF(F171=1,10,25))+IF(G171&gt;=5,0,IF(G171&gt;=2,5,10))+IF(H171/B171&lt;=25%,0,IF(H171/B171&lt;=50%,10,20))+IF(I171=36,0,IF(I171=48,3,6))</f>
        <v/>
      </c>
      <c r="L171" s="2">
        <f>850-K171*3.5</f>
        <v/>
      </c>
      <c r="M171" s="9">
        <f>1/(1+EXP(-(-4.2+0.055*K171)))</f>
        <v/>
      </c>
      <c r="N171" s="2">
        <f>IF(K171&lt;20,"A",IF(K171&lt;40,"B",IF(K171&lt;60,"C",IF(K171&lt;80,"D","E"))))</f>
        <v/>
      </c>
      <c r="O171" s="2">
        <f>IF(OR(N171="D",N171="E"),"Enhanced Review",IF(N171="C","Conditional","Approve"))</f>
        <v/>
      </c>
      <c r="P171" s="8">
        <f>H171*M171*45%</f>
        <v/>
      </c>
      <c r="Q171" s="9">
        <f>H171/B171</f>
        <v/>
      </c>
    </row>
    <row r="172">
      <c r="A172" s="11" t="inlineStr">
        <is>
          <t>B0168</t>
        </is>
      </c>
      <c r="B172" s="12" t="n">
        <v>144571</v>
      </c>
      <c r="C172" s="13" t="n">
        <v>0.2144183613035286</v>
      </c>
      <c r="D172" s="11" t="n">
        <v>700</v>
      </c>
      <c r="E172" s="13" t="n">
        <v>0.2550386959980624</v>
      </c>
      <c r="F172" s="11" t="n">
        <v>1</v>
      </c>
      <c r="G172" s="11" t="n">
        <v>11.7</v>
      </c>
      <c r="H172" s="12" t="n">
        <v>17825</v>
      </c>
      <c r="I172" s="11" t="n">
        <v>60</v>
      </c>
      <c r="J172" s="11" t="n">
        <v>0</v>
      </c>
      <c r="K172" s="2">
        <f>IF(D172&gt;=740,0,IF(D172&gt;=670,15,30))+IF(C172&lt;=25%,0,IF(C172&lt;=40%,15,30))+IF(E172&lt;=30%,0,IF(E172&lt;=60%,10,20))+IF(F172=0,0,IF(F172=1,10,25))+IF(G172&gt;=5,0,IF(G172&gt;=2,5,10))+IF(H172/B172&lt;=25%,0,IF(H172/B172&lt;=50%,10,20))+IF(I172=36,0,IF(I172=48,3,6))</f>
        <v/>
      </c>
      <c r="L172" s="2">
        <f>850-K172*3.5</f>
        <v/>
      </c>
      <c r="M172" s="9">
        <f>1/(1+EXP(-(-4.2+0.055*K172)))</f>
        <v/>
      </c>
      <c r="N172" s="2">
        <f>IF(K172&lt;20,"A",IF(K172&lt;40,"B",IF(K172&lt;60,"C",IF(K172&lt;80,"D","E"))))</f>
        <v/>
      </c>
      <c r="O172" s="2">
        <f>IF(OR(N172="D",N172="E"),"Enhanced Review",IF(N172="C","Conditional","Approve"))</f>
        <v/>
      </c>
      <c r="P172" s="8">
        <f>H172*M172*45%</f>
        <v/>
      </c>
      <c r="Q172" s="9">
        <f>H172/B172</f>
        <v/>
      </c>
    </row>
    <row r="173">
      <c r="A173" s="11" t="inlineStr">
        <is>
          <t>B0169</t>
        </is>
      </c>
      <c r="B173" s="12" t="n">
        <v>36105</v>
      </c>
      <c r="C173" s="13" t="n">
        <v>0.2820643156831075</v>
      </c>
      <c r="D173" s="11" t="n">
        <v>678</v>
      </c>
      <c r="E173" s="13" t="n">
        <v>0.6141679002838984</v>
      </c>
      <c r="F173" s="11" t="n">
        <v>0</v>
      </c>
      <c r="G173" s="11" t="n">
        <v>9.5</v>
      </c>
      <c r="H173" s="12" t="n">
        <v>18888</v>
      </c>
      <c r="I173" s="11" t="n">
        <v>60</v>
      </c>
      <c r="J173" s="11" t="n">
        <v>0</v>
      </c>
      <c r="K173" s="2">
        <f>IF(D173&gt;=740,0,IF(D173&gt;=670,15,30))+IF(C173&lt;=25%,0,IF(C173&lt;=40%,15,30))+IF(E173&lt;=30%,0,IF(E173&lt;=60%,10,20))+IF(F173=0,0,IF(F173=1,10,25))+IF(G173&gt;=5,0,IF(G173&gt;=2,5,10))+IF(H173/B173&lt;=25%,0,IF(H173/B173&lt;=50%,10,20))+IF(I173=36,0,IF(I173=48,3,6))</f>
        <v/>
      </c>
      <c r="L173" s="2">
        <f>850-K173*3.5</f>
        <v/>
      </c>
      <c r="M173" s="9">
        <f>1/(1+EXP(-(-4.2+0.055*K173)))</f>
        <v/>
      </c>
      <c r="N173" s="2">
        <f>IF(K173&lt;20,"A",IF(K173&lt;40,"B",IF(K173&lt;60,"C",IF(K173&lt;80,"D","E"))))</f>
        <v/>
      </c>
      <c r="O173" s="2">
        <f>IF(OR(N173="D",N173="E"),"Enhanced Review",IF(N173="C","Conditional","Approve"))</f>
        <v/>
      </c>
      <c r="P173" s="8">
        <f>H173*M173*45%</f>
        <v/>
      </c>
      <c r="Q173" s="9">
        <f>H173/B173</f>
        <v/>
      </c>
    </row>
    <row r="174">
      <c r="A174" s="11" t="inlineStr">
        <is>
          <t>B0170</t>
        </is>
      </c>
      <c r="B174" s="12" t="n">
        <v>224885</v>
      </c>
      <c r="C174" s="13" t="n">
        <v>0.07337207050958139</v>
      </c>
      <c r="D174" s="11" t="n">
        <v>677</v>
      </c>
      <c r="E174" s="13" t="n">
        <v>0.8379253684585447</v>
      </c>
      <c r="F174" s="11" t="n">
        <v>0</v>
      </c>
      <c r="G174" s="11" t="n">
        <v>2.6</v>
      </c>
      <c r="H174" s="12" t="n">
        <v>27726</v>
      </c>
      <c r="I174" s="11" t="n">
        <v>60</v>
      </c>
      <c r="J174" s="11" t="n">
        <v>0</v>
      </c>
      <c r="K174" s="2">
        <f>IF(D174&gt;=740,0,IF(D174&gt;=670,15,30))+IF(C174&lt;=25%,0,IF(C174&lt;=40%,15,30))+IF(E174&lt;=30%,0,IF(E174&lt;=60%,10,20))+IF(F174=0,0,IF(F174=1,10,25))+IF(G174&gt;=5,0,IF(G174&gt;=2,5,10))+IF(H174/B174&lt;=25%,0,IF(H174/B174&lt;=50%,10,20))+IF(I174=36,0,IF(I174=48,3,6))</f>
        <v/>
      </c>
      <c r="L174" s="2">
        <f>850-K174*3.5</f>
        <v/>
      </c>
      <c r="M174" s="9">
        <f>1/(1+EXP(-(-4.2+0.055*K174)))</f>
        <v/>
      </c>
      <c r="N174" s="2">
        <f>IF(K174&lt;20,"A",IF(K174&lt;40,"B",IF(K174&lt;60,"C",IF(K174&lt;80,"D","E"))))</f>
        <v/>
      </c>
      <c r="O174" s="2">
        <f>IF(OR(N174="D",N174="E"),"Enhanced Review",IF(N174="C","Conditional","Approve"))</f>
        <v/>
      </c>
      <c r="P174" s="8">
        <f>H174*M174*45%</f>
        <v/>
      </c>
      <c r="Q174" s="9">
        <f>H174/B174</f>
        <v/>
      </c>
    </row>
    <row r="175">
      <c r="A175" s="11" t="inlineStr">
        <is>
          <t>B0171</t>
        </is>
      </c>
      <c r="B175" s="12" t="n">
        <v>188315</v>
      </c>
      <c r="C175" s="13" t="n">
        <v>0.2947610510660951</v>
      </c>
      <c r="D175" s="11" t="n">
        <v>706</v>
      </c>
      <c r="E175" s="13" t="n">
        <v>0.2766162388190566</v>
      </c>
      <c r="F175" s="11" t="n">
        <v>0</v>
      </c>
      <c r="G175" s="11" t="n">
        <v>1.1</v>
      </c>
      <c r="H175" s="12" t="n">
        <v>12850</v>
      </c>
      <c r="I175" s="11" t="n">
        <v>36</v>
      </c>
      <c r="J175" s="11" t="n">
        <v>0</v>
      </c>
      <c r="K175" s="2">
        <f>IF(D175&gt;=740,0,IF(D175&gt;=670,15,30))+IF(C175&lt;=25%,0,IF(C175&lt;=40%,15,30))+IF(E175&lt;=30%,0,IF(E175&lt;=60%,10,20))+IF(F175=0,0,IF(F175=1,10,25))+IF(G175&gt;=5,0,IF(G175&gt;=2,5,10))+IF(H175/B175&lt;=25%,0,IF(H175/B175&lt;=50%,10,20))+IF(I175=36,0,IF(I175=48,3,6))</f>
        <v/>
      </c>
      <c r="L175" s="2">
        <f>850-K175*3.5</f>
        <v/>
      </c>
      <c r="M175" s="9">
        <f>1/(1+EXP(-(-4.2+0.055*K175)))</f>
        <v/>
      </c>
      <c r="N175" s="2">
        <f>IF(K175&lt;20,"A",IF(K175&lt;40,"B",IF(K175&lt;60,"C",IF(K175&lt;80,"D","E"))))</f>
        <v/>
      </c>
      <c r="O175" s="2">
        <f>IF(OR(N175="D",N175="E"),"Enhanced Review",IF(N175="C","Conditional","Approve"))</f>
        <v/>
      </c>
      <c r="P175" s="8">
        <f>H175*M175*45%</f>
        <v/>
      </c>
      <c r="Q175" s="9">
        <f>H175/B175</f>
        <v/>
      </c>
    </row>
    <row r="176">
      <c r="A176" s="11" t="inlineStr">
        <is>
          <t>B0172</t>
        </is>
      </c>
      <c r="B176" s="12" t="n">
        <v>85544</v>
      </c>
      <c r="C176" s="13" t="n">
        <v>0.1233908998650244</v>
      </c>
      <c r="D176" s="11" t="n">
        <v>830</v>
      </c>
      <c r="E176" s="13" t="n">
        <v>0.3919093442152207</v>
      </c>
      <c r="F176" s="11" t="n">
        <v>1</v>
      </c>
      <c r="G176" s="11" t="n">
        <v>7</v>
      </c>
      <c r="H176" s="12" t="n">
        <v>14817</v>
      </c>
      <c r="I176" s="11" t="n">
        <v>36</v>
      </c>
      <c r="J176" s="11" t="n">
        <v>1</v>
      </c>
      <c r="K176" s="2">
        <f>IF(D176&gt;=740,0,IF(D176&gt;=670,15,30))+IF(C176&lt;=25%,0,IF(C176&lt;=40%,15,30))+IF(E176&lt;=30%,0,IF(E176&lt;=60%,10,20))+IF(F176=0,0,IF(F176=1,10,25))+IF(G176&gt;=5,0,IF(G176&gt;=2,5,10))+IF(H176/B176&lt;=25%,0,IF(H176/B176&lt;=50%,10,20))+IF(I176=36,0,IF(I176=48,3,6))</f>
        <v/>
      </c>
      <c r="L176" s="2">
        <f>850-K176*3.5</f>
        <v/>
      </c>
      <c r="M176" s="9">
        <f>1/(1+EXP(-(-4.2+0.055*K176)))</f>
        <v/>
      </c>
      <c r="N176" s="2">
        <f>IF(K176&lt;20,"A",IF(K176&lt;40,"B",IF(K176&lt;60,"C",IF(K176&lt;80,"D","E"))))</f>
        <v/>
      </c>
      <c r="O176" s="2">
        <f>IF(OR(N176="D",N176="E"),"Enhanced Review",IF(N176="C","Conditional","Approve"))</f>
        <v/>
      </c>
      <c r="P176" s="8">
        <f>H176*M176*45%</f>
        <v/>
      </c>
      <c r="Q176" s="9">
        <f>H176/B176</f>
        <v/>
      </c>
    </row>
    <row r="177">
      <c r="A177" s="11" t="inlineStr">
        <is>
          <t>B0173</t>
        </is>
      </c>
      <c r="B177" s="12" t="n">
        <v>41750</v>
      </c>
      <c r="C177" s="13" t="n">
        <v>0.2349703836732874</v>
      </c>
      <c r="D177" s="11" t="n">
        <v>627</v>
      </c>
      <c r="E177" s="13" t="n">
        <v>0.2909733244910321</v>
      </c>
      <c r="F177" s="11" t="n">
        <v>0</v>
      </c>
      <c r="G177" s="11" t="n">
        <v>3.5</v>
      </c>
      <c r="H177" s="12" t="n">
        <v>22854</v>
      </c>
      <c r="I177" s="11" t="n">
        <v>36</v>
      </c>
      <c r="J177" s="11" t="n">
        <v>0</v>
      </c>
      <c r="K177" s="2">
        <f>IF(D177&gt;=740,0,IF(D177&gt;=670,15,30))+IF(C177&lt;=25%,0,IF(C177&lt;=40%,15,30))+IF(E177&lt;=30%,0,IF(E177&lt;=60%,10,20))+IF(F177=0,0,IF(F177=1,10,25))+IF(G177&gt;=5,0,IF(G177&gt;=2,5,10))+IF(H177/B177&lt;=25%,0,IF(H177/B177&lt;=50%,10,20))+IF(I177=36,0,IF(I177=48,3,6))</f>
        <v/>
      </c>
      <c r="L177" s="2">
        <f>850-K177*3.5</f>
        <v/>
      </c>
      <c r="M177" s="9">
        <f>1/(1+EXP(-(-4.2+0.055*K177)))</f>
        <v/>
      </c>
      <c r="N177" s="2">
        <f>IF(K177&lt;20,"A",IF(K177&lt;40,"B",IF(K177&lt;60,"C",IF(K177&lt;80,"D","E"))))</f>
        <v/>
      </c>
      <c r="O177" s="2">
        <f>IF(OR(N177="D",N177="E"),"Enhanced Review",IF(N177="C","Conditional","Approve"))</f>
        <v/>
      </c>
      <c r="P177" s="8">
        <f>H177*M177*45%</f>
        <v/>
      </c>
      <c r="Q177" s="9">
        <f>H177/B177</f>
        <v/>
      </c>
    </row>
    <row r="178">
      <c r="A178" s="11" t="inlineStr">
        <is>
          <t>B0174</t>
        </is>
      </c>
      <c r="B178" s="12" t="n">
        <v>193055</v>
      </c>
      <c r="C178" s="13" t="n">
        <v>0.307893424387771</v>
      </c>
      <c r="D178" s="11" t="n">
        <v>658</v>
      </c>
      <c r="E178" s="13" t="n">
        <v>0.5175716879745529</v>
      </c>
      <c r="F178" s="11" t="n">
        <v>0</v>
      </c>
      <c r="G178" s="11" t="n">
        <v>6.5</v>
      </c>
      <c r="H178" s="12" t="n">
        <v>33698</v>
      </c>
      <c r="I178" s="11" t="n">
        <v>36</v>
      </c>
      <c r="J178" s="11" t="n">
        <v>1</v>
      </c>
      <c r="K178" s="2">
        <f>IF(D178&gt;=740,0,IF(D178&gt;=670,15,30))+IF(C178&lt;=25%,0,IF(C178&lt;=40%,15,30))+IF(E178&lt;=30%,0,IF(E178&lt;=60%,10,20))+IF(F178=0,0,IF(F178=1,10,25))+IF(G178&gt;=5,0,IF(G178&gt;=2,5,10))+IF(H178/B178&lt;=25%,0,IF(H178/B178&lt;=50%,10,20))+IF(I178=36,0,IF(I178=48,3,6))</f>
        <v/>
      </c>
      <c r="L178" s="2">
        <f>850-K178*3.5</f>
        <v/>
      </c>
      <c r="M178" s="9">
        <f>1/(1+EXP(-(-4.2+0.055*K178)))</f>
        <v/>
      </c>
      <c r="N178" s="2">
        <f>IF(K178&lt;20,"A",IF(K178&lt;40,"B",IF(K178&lt;60,"C",IF(K178&lt;80,"D","E"))))</f>
        <v/>
      </c>
      <c r="O178" s="2">
        <f>IF(OR(N178="D",N178="E"),"Enhanced Review",IF(N178="C","Conditional","Approve"))</f>
        <v/>
      </c>
      <c r="P178" s="8">
        <f>H178*M178*45%</f>
        <v/>
      </c>
      <c r="Q178" s="9">
        <f>H178/B178</f>
        <v/>
      </c>
    </row>
    <row r="179">
      <c r="A179" s="11" t="inlineStr">
        <is>
          <t>B0175</t>
        </is>
      </c>
      <c r="B179" s="12" t="n">
        <v>63220</v>
      </c>
      <c r="C179" s="13" t="n">
        <v>0.2297103310267833</v>
      </c>
      <c r="D179" s="11" t="n">
        <v>738</v>
      </c>
      <c r="E179" s="13" t="n">
        <v>0.4712747763363277</v>
      </c>
      <c r="F179" s="11" t="n">
        <v>0</v>
      </c>
      <c r="G179" s="11" t="n">
        <v>6.7</v>
      </c>
      <c r="H179" s="12" t="n">
        <v>24474</v>
      </c>
      <c r="I179" s="11" t="n">
        <v>36</v>
      </c>
      <c r="J179" s="11" t="n">
        <v>0</v>
      </c>
      <c r="K179" s="2">
        <f>IF(D179&gt;=740,0,IF(D179&gt;=670,15,30))+IF(C179&lt;=25%,0,IF(C179&lt;=40%,15,30))+IF(E179&lt;=30%,0,IF(E179&lt;=60%,10,20))+IF(F179=0,0,IF(F179=1,10,25))+IF(G179&gt;=5,0,IF(G179&gt;=2,5,10))+IF(H179/B179&lt;=25%,0,IF(H179/B179&lt;=50%,10,20))+IF(I179=36,0,IF(I179=48,3,6))</f>
        <v/>
      </c>
      <c r="L179" s="2">
        <f>850-K179*3.5</f>
        <v/>
      </c>
      <c r="M179" s="9">
        <f>1/(1+EXP(-(-4.2+0.055*K179)))</f>
        <v/>
      </c>
      <c r="N179" s="2">
        <f>IF(K179&lt;20,"A",IF(K179&lt;40,"B",IF(K179&lt;60,"C",IF(K179&lt;80,"D","E"))))</f>
        <v/>
      </c>
      <c r="O179" s="2">
        <f>IF(OR(N179="D",N179="E"),"Enhanced Review",IF(N179="C","Conditional","Approve"))</f>
        <v/>
      </c>
      <c r="P179" s="8">
        <f>H179*M179*45%</f>
        <v/>
      </c>
      <c r="Q179" s="9">
        <f>H179/B179</f>
        <v/>
      </c>
    </row>
    <row r="180">
      <c r="A180" s="11" t="inlineStr">
        <is>
          <t>B0176</t>
        </is>
      </c>
      <c r="B180" s="12" t="n">
        <v>68669</v>
      </c>
      <c r="C180" s="13" t="n">
        <v>0.3350465050439831</v>
      </c>
      <c r="D180" s="11" t="n">
        <v>750</v>
      </c>
      <c r="E180" s="13" t="n">
        <v>0.4404289624402032</v>
      </c>
      <c r="F180" s="11" t="n">
        <v>1</v>
      </c>
      <c r="G180" s="11" t="n">
        <v>2.7</v>
      </c>
      <c r="H180" s="12" t="n">
        <v>14696</v>
      </c>
      <c r="I180" s="11" t="n">
        <v>60</v>
      </c>
      <c r="J180" s="11" t="n">
        <v>0</v>
      </c>
      <c r="K180" s="2">
        <f>IF(D180&gt;=740,0,IF(D180&gt;=670,15,30))+IF(C180&lt;=25%,0,IF(C180&lt;=40%,15,30))+IF(E180&lt;=30%,0,IF(E180&lt;=60%,10,20))+IF(F180=0,0,IF(F180=1,10,25))+IF(G180&gt;=5,0,IF(G180&gt;=2,5,10))+IF(H180/B180&lt;=25%,0,IF(H180/B180&lt;=50%,10,20))+IF(I180=36,0,IF(I180=48,3,6))</f>
        <v/>
      </c>
      <c r="L180" s="2">
        <f>850-K180*3.5</f>
        <v/>
      </c>
      <c r="M180" s="9">
        <f>1/(1+EXP(-(-4.2+0.055*K180)))</f>
        <v/>
      </c>
      <c r="N180" s="2">
        <f>IF(K180&lt;20,"A",IF(K180&lt;40,"B",IF(K180&lt;60,"C",IF(K180&lt;80,"D","E"))))</f>
        <v/>
      </c>
      <c r="O180" s="2">
        <f>IF(OR(N180="D",N180="E"),"Enhanced Review",IF(N180="C","Conditional","Approve"))</f>
        <v/>
      </c>
      <c r="P180" s="8">
        <f>H180*M180*45%</f>
        <v/>
      </c>
      <c r="Q180" s="9">
        <f>H180/B180</f>
        <v/>
      </c>
    </row>
    <row r="181">
      <c r="A181" s="11" t="inlineStr">
        <is>
          <t>B0177</t>
        </is>
      </c>
      <c r="B181" s="12" t="n">
        <v>74390</v>
      </c>
      <c r="C181" s="13" t="n">
        <v>0.06791910888621502</v>
      </c>
      <c r="D181" s="11" t="n">
        <v>830</v>
      </c>
      <c r="E181" s="13" t="n">
        <v>0.2176915237600252</v>
      </c>
      <c r="F181" s="11" t="n">
        <v>0</v>
      </c>
      <c r="G181" s="11" t="n">
        <v>7</v>
      </c>
      <c r="H181" s="12" t="n">
        <v>16709</v>
      </c>
      <c r="I181" s="11" t="n">
        <v>48</v>
      </c>
      <c r="J181" s="11" t="n">
        <v>0</v>
      </c>
      <c r="K181" s="2">
        <f>IF(D181&gt;=740,0,IF(D181&gt;=670,15,30))+IF(C181&lt;=25%,0,IF(C181&lt;=40%,15,30))+IF(E181&lt;=30%,0,IF(E181&lt;=60%,10,20))+IF(F181=0,0,IF(F181=1,10,25))+IF(G181&gt;=5,0,IF(G181&gt;=2,5,10))+IF(H181/B181&lt;=25%,0,IF(H181/B181&lt;=50%,10,20))+IF(I181=36,0,IF(I181=48,3,6))</f>
        <v/>
      </c>
      <c r="L181" s="2">
        <f>850-K181*3.5</f>
        <v/>
      </c>
      <c r="M181" s="9">
        <f>1/(1+EXP(-(-4.2+0.055*K181)))</f>
        <v/>
      </c>
      <c r="N181" s="2">
        <f>IF(K181&lt;20,"A",IF(K181&lt;40,"B",IF(K181&lt;60,"C",IF(K181&lt;80,"D","E"))))</f>
        <v/>
      </c>
      <c r="O181" s="2">
        <f>IF(OR(N181="D",N181="E"),"Enhanced Review",IF(N181="C","Conditional","Approve"))</f>
        <v/>
      </c>
      <c r="P181" s="8">
        <f>H181*M181*45%</f>
        <v/>
      </c>
      <c r="Q181" s="9">
        <f>H181/B181</f>
        <v/>
      </c>
    </row>
    <row r="182">
      <c r="A182" s="11" t="inlineStr">
        <is>
          <t>B0178</t>
        </is>
      </c>
      <c r="B182" s="12" t="n">
        <v>125887</v>
      </c>
      <c r="C182" s="13" t="n">
        <v>0.07417827741730029</v>
      </c>
      <c r="D182" s="11" t="n">
        <v>780</v>
      </c>
      <c r="E182" s="13" t="n">
        <v>0.2538995111621303</v>
      </c>
      <c r="F182" s="11" t="n">
        <v>0</v>
      </c>
      <c r="G182" s="11" t="n">
        <v>14.2</v>
      </c>
      <c r="H182" s="12" t="n">
        <v>6483</v>
      </c>
      <c r="I182" s="11" t="n">
        <v>60</v>
      </c>
      <c r="J182" s="11" t="n">
        <v>0</v>
      </c>
      <c r="K182" s="2">
        <f>IF(D182&gt;=740,0,IF(D182&gt;=670,15,30))+IF(C182&lt;=25%,0,IF(C182&lt;=40%,15,30))+IF(E182&lt;=30%,0,IF(E182&lt;=60%,10,20))+IF(F182=0,0,IF(F182=1,10,25))+IF(G182&gt;=5,0,IF(G182&gt;=2,5,10))+IF(H182/B182&lt;=25%,0,IF(H182/B182&lt;=50%,10,20))+IF(I182=36,0,IF(I182=48,3,6))</f>
        <v/>
      </c>
      <c r="L182" s="2">
        <f>850-K182*3.5</f>
        <v/>
      </c>
      <c r="M182" s="9">
        <f>1/(1+EXP(-(-4.2+0.055*K182)))</f>
        <v/>
      </c>
      <c r="N182" s="2">
        <f>IF(K182&lt;20,"A",IF(K182&lt;40,"B",IF(K182&lt;60,"C",IF(K182&lt;80,"D","E"))))</f>
        <v/>
      </c>
      <c r="O182" s="2">
        <f>IF(OR(N182="D",N182="E"),"Enhanced Review",IF(N182="C","Conditional","Approve"))</f>
        <v/>
      </c>
      <c r="P182" s="8">
        <f>H182*M182*45%</f>
        <v/>
      </c>
      <c r="Q182" s="9">
        <f>H182/B182</f>
        <v/>
      </c>
    </row>
    <row r="183">
      <c r="A183" s="11" t="inlineStr">
        <is>
          <t>B0179</t>
        </is>
      </c>
      <c r="B183" s="12" t="n">
        <v>91306</v>
      </c>
      <c r="C183" s="13" t="n">
        <v>0.2108050065267427</v>
      </c>
      <c r="D183" s="11" t="n">
        <v>665</v>
      </c>
      <c r="E183" s="13" t="n">
        <v>0.2786408893068237</v>
      </c>
      <c r="F183" s="11" t="n">
        <v>0</v>
      </c>
      <c r="G183" s="11" t="n">
        <v>7</v>
      </c>
      <c r="H183" s="12" t="n">
        <v>12697</v>
      </c>
      <c r="I183" s="11" t="n">
        <v>36</v>
      </c>
      <c r="J183" s="11" t="n">
        <v>1</v>
      </c>
      <c r="K183" s="2">
        <f>IF(D183&gt;=740,0,IF(D183&gt;=670,15,30))+IF(C183&lt;=25%,0,IF(C183&lt;=40%,15,30))+IF(E183&lt;=30%,0,IF(E183&lt;=60%,10,20))+IF(F183=0,0,IF(F183=1,10,25))+IF(G183&gt;=5,0,IF(G183&gt;=2,5,10))+IF(H183/B183&lt;=25%,0,IF(H183/B183&lt;=50%,10,20))+IF(I183=36,0,IF(I183=48,3,6))</f>
        <v/>
      </c>
      <c r="L183" s="2">
        <f>850-K183*3.5</f>
        <v/>
      </c>
      <c r="M183" s="9">
        <f>1/(1+EXP(-(-4.2+0.055*K183)))</f>
        <v/>
      </c>
      <c r="N183" s="2">
        <f>IF(K183&lt;20,"A",IF(K183&lt;40,"B",IF(K183&lt;60,"C",IF(K183&lt;80,"D","E"))))</f>
        <v/>
      </c>
      <c r="O183" s="2">
        <f>IF(OR(N183="D",N183="E"),"Enhanced Review",IF(N183="C","Conditional","Approve"))</f>
        <v/>
      </c>
      <c r="P183" s="8">
        <f>H183*M183*45%</f>
        <v/>
      </c>
      <c r="Q183" s="9">
        <f>H183/B183</f>
        <v/>
      </c>
    </row>
    <row r="184">
      <c r="A184" s="11" t="inlineStr">
        <is>
          <t>B0180</t>
        </is>
      </c>
      <c r="B184" s="12" t="n">
        <v>79487</v>
      </c>
      <c r="C184" s="13" t="n">
        <v>0.09933281093964387</v>
      </c>
      <c r="D184" s="11" t="n">
        <v>655</v>
      </c>
      <c r="E184" s="13" t="n">
        <v>0.2560636278259571</v>
      </c>
      <c r="F184" s="11" t="n">
        <v>0</v>
      </c>
      <c r="G184" s="11" t="n">
        <v>9.300000000000001</v>
      </c>
      <c r="H184" s="12" t="n">
        <v>6256</v>
      </c>
      <c r="I184" s="11" t="n">
        <v>36</v>
      </c>
      <c r="J184" s="11" t="n">
        <v>0</v>
      </c>
      <c r="K184" s="2">
        <f>IF(D184&gt;=740,0,IF(D184&gt;=670,15,30))+IF(C184&lt;=25%,0,IF(C184&lt;=40%,15,30))+IF(E184&lt;=30%,0,IF(E184&lt;=60%,10,20))+IF(F184=0,0,IF(F184=1,10,25))+IF(G184&gt;=5,0,IF(G184&gt;=2,5,10))+IF(H184/B184&lt;=25%,0,IF(H184/B184&lt;=50%,10,20))+IF(I184=36,0,IF(I184=48,3,6))</f>
        <v/>
      </c>
      <c r="L184" s="2">
        <f>850-K184*3.5</f>
        <v/>
      </c>
      <c r="M184" s="9">
        <f>1/(1+EXP(-(-4.2+0.055*K184)))</f>
        <v/>
      </c>
      <c r="N184" s="2">
        <f>IF(K184&lt;20,"A",IF(K184&lt;40,"B",IF(K184&lt;60,"C",IF(K184&lt;80,"D","E"))))</f>
        <v/>
      </c>
      <c r="O184" s="2">
        <f>IF(OR(N184="D",N184="E"),"Enhanced Review",IF(N184="C","Conditional","Approve"))</f>
        <v/>
      </c>
      <c r="P184" s="8">
        <f>H184*M184*45%</f>
        <v/>
      </c>
      <c r="Q184" s="9">
        <f>H184/B184</f>
        <v/>
      </c>
    </row>
    <row r="185">
      <c r="A185" s="11" t="inlineStr">
        <is>
          <t>B0181</t>
        </is>
      </c>
      <c r="B185" s="12" t="n">
        <v>133256</v>
      </c>
      <c r="C185" s="13" t="n">
        <v>0.2824753744381526</v>
      </c>
      <c r="D185" s="11" t="n">
        <v>733</v>
      </c>
      <c r="E185" s="13" t="n">
        <v>0.4893385193567569</v>
      </c>
      <c r="F185" s="11" t="n">
        <v>0</v>
      </c>
      <c r="G185" s="11" t="n">
        <v>2.9</v>
      </c>
      <c r="H185" s="12" t="n">
        <v>33479</v>
      </c>
      <c r="I185" s="11" t="n">
        <v>48</v>
      </c>
      <c r="J185" s="11" t="n">
        <v>1</v>
      </c>
      <c r="K185" s="2">
        <f>IF(D185&gt;=740,0,IF(D185&gt;=670,15,30))+IF(C185&lt;=25%,0,IF(C185&lt;=40%,15,30))+IF(E185&lt;=30%,0,IF(E185&lt;=60%,10,20))+IF(F185=0,0,IF(F185=1,10,25))+IF(G185&gt;=5,0,IF(G185&gt;=2,5,10))+IF(H185/B185&lt;=25%,0,IF(H185/B185&lt;=50%,10,20))+IF(I185=36,0,IF(I185=48,3,6))</f>
        <v/>
      </c>
      <c r="L185" s="2">
        <f>850-K185*3.5</f>
        <v/>
      </c>
      <c r="M185" s="9">
        <f>1/(1+EXP(-(-4.2+0.055*K185)))</f>
        <v/>
      </c>
      <c r="N185" s="2">
        <f>IF(K185&lt;20,"A",IF(K185&lt;40,"B",IF(K185&lt;60,"C",IF(K185&lt;80,"D","E"))))</f>
        <v/>
      </c>
      <c r="O185" s="2">
        <f>IF(OR(N185="D",N185="E"),"Enhanced Review",IF(N185="C","Conditional","Approve"))</f>
        <v/>
      </c>
      <c r="P185" s="8">
        <f>H185*M185*45%</f>
        <v/>
      </c>
      <c r="Q185" s="9">
        <f>H185/B185</f>
        <v/>
      </c>
    </row>
    <row r="186">
      <c r="A186" s="11" t="inlineStr">
        <is>
          <t>B0182</t>
        </is>
      </c>
      <c r="B186" s="12" t="n">
        <v>64888</v>
      </c>
      <c r="C186" s="13" t="n">
        <v>0.1600350906506112</v>
      </c>
      <c r="D186" s="11" t="n">
        <v>634</v>
      </c>
      <c r="E186" s="13" t="n">
        <v>0.8715621294940324</v>
      </c>
      <c r="F186" s="11" t="n">
        <v>0</v>
      </c>
      <c r="G186" s="11" t="n">
        <v>7.5</v>
      </c>
      <c r="H186" s="12" t="n">
        <v>69804</v>
      </c>
      <c r="I186" s="11" t="n">
        <v>60</v>
      </c>
      <c r="J186" s="11" t="n">
        <v>0</v>
      </c>
      <c r="K186" s="2">
        <f>IF(D186&gt;=740,0,IF(D186&gt;=670,15,30))+IF(C186&lt;=25%,0,IF(C186&lt;=40%,15,30))+IF(E186&lt;=30%,0,IF(E186&lt;=60%,10,20))+IF(F186=0,0,IF(F186=1,10,25))+IF(G186&gt;=5,0,IF(G186&gt;=2,5,10))+IF(H186/B186&lt;=25%,0,IF(H186/B186&lt;=50%,10,20))+IF(I186=36,0,IF(I186=48,3,6))</f>
        <v/>
      </c>
      <c r="L186" s="2">
        <f>850-K186*3.5</f>
        <v/>
      </c>
      <c r="M186" s="9">
        <f>1/(1+EXP(-(-4.2+0.055*K186)))</f>
        <v/>
      </c>
      <c r="N186" s="2">
        <f>IF(K186&lt;20,"A",IF(K186&lt;40,"B",IF(K186&lt;60,"C",IF(K186&lt;80,"D","E"))))</f>
        <v/>
      </c>
      <c r="O186" s="2">
        <f>IF(OR(N186="D",N186="E"),"Enhanced Review",IF(N186="C","Conditional","Approve"))</f>
        <v/>
      </c>
      <c r="P186" s="8">
        <f>H186*M186*45%</f>
        <v/>
      </c>
      <c r="Q186" s="9">
        <f>H186/B186</f>
        <v/>
      </c>
    </row>
    <row r="187">
      <c r="A187" s="11" t="inlineStr">
        <is>
          <t>B0183</t>
        </is>
      </c>
      <c r="B187" s="12" t="n">
        <v>123484</v>
      </c>
      <c r="C187" s="13" t="n">
        <v>0.4595800033330011</v>
      </c>
      <c r="D187" s="11" t="n">
        <v>696</v>
      </c>
      <c r="E187" s="13" t="n">
        <v>0.5658916933562843</v>
      </c>
      <c r="F187" s="11" t="n">
        <v>0</v>
      </c>
      <c r="G187" s="11" t="n">
        <v>15.8</v>
      </c>
      <c r="H187" s="12" t="n">
        <v>7499</v>
      </c>
      <c r="I187" s="11" t="n">
        <v>60</v>
      </c>
      <c r="J187" s="11" t="n">
        <v>0</v>
      </c>
      <c r="K187" s="2">
        <f>IF(D187&gt;=740,0,IF(D187&gt;=670,15,30))+IF(C187&lt;=25%,0,IF(C187&lt;=40%,15,30))+IF(E187&lt;=30%,0,IF(E187&lt;=60%,10,20))+IF(F187=0,0,IF(F187=1,10,25))+IF(G187&gt;=5,0,IF(G187&gt;=2,5,10))+IF(H187/B187&lt;=25%,0,IF(H187/B187&lt;=50%,10,20))+IF(I187=36,0,IF(I187=48,3,6))</f>
        <v/>
      </c>
      <c r="L187" s="2">
        <f>850-K187*3.5</f>
        <v/>
      </c>
      <c r="M187" s="9">
        <f>1/(1+EXP(-(-4.2+0.055*K187)))</f>
        <v/>
      </c>
      <c r="N187" s="2">
        <f>IF(K187&lt;20,"A",IF(K187&lt;40,"B",IF(K187&lt;60,"C",IF(K187&lt;80,"D","E"))))</f>
        <v/>
      </c>
      <c r="O187" s="2">
        <f>IF(OR(N187="D",N187="E"),"Enhanced Review",IF(N187="C","Conditional","Approve"))</f>
        <v/>
      </c>
      <c r="P187" s="8">
        <f>H187*M187*45%</f>
        <v/>
      </c>
      <c r="Q187" s="9">
        <f>H187/B187</f>
        <v/>
      </c>
    </row>
    <row r="188">
      <c r="A188" s="11" t="inlineStr">
        <is>
          <t>B0184</t>
        </is>
      </c>
      <c r="B188" s="12" t="n">
        <v>71283</v>
      </c>
      <c r="C188" s="13" t="n">
        <v>0.186556602833422</v>
      </c>
      <c r="D188" s="11" t="n">
        <v>609</v>
      </c>
      <c r="E188" s="13" t="n">
        <v>0.7051647266196174</v>
      </c>
      <c r="F188" s="11" t="n">
        <v>0</v>
      </c>
      <c r="G188" s="11" t="n">
        <v>5.6</v>
      </c>
      <c r="H188" s="12" t="n">
        <v>20177</v>
      </c>
      <c r="I188" s="11" t="n">
        <v>60</v>
      </c>
      <c r="J188" s="11" t="n">
        <v>1</v>
      </c>
      <c r="K188" s="2">
        <f>IF(D188&gt;=740,0,IF(D188&gt;=670,15,30))+IF(C188&lt;=25%,0,IF(C188&lt;=40%,15,30))+IF(E188&lt;=30%,0,IF(E188&lt;=60%,10,20))+IF(F188=0,0,IF(F188=1,10,25))+IF(G188&gt;=5,0,IF(G188&gt;=2,5,10))+IF(H188/B188&lt;=25%,0,IF(H188/B188&lt;=50%,10,20))+IF(I188=36,0,IF(I188=48,3,6))</f>
        <v/>
      </c>
      <c r="L188" s="2">
        <f>850-K188*3.5</f>
        <v/>
      </c>
      <c r="M188" s="9">
        <f>1/(1+EXP(-(-4.2+0.055*K188)))</f>
        <v/>
      </c>
      <c r="N188" s="2">
        <f>IF(K188&lt;20,"A",IF(K188&lt;40,"B",IF(K188&lt;60,"C",IF(K188&lt;80,"D","E"))))</f>
        <v/>
      </c>
      <c r="O188" s="2">
        <f>IF(OR(N188="D",N188="E"),"Enhanced Review",IF(N188="C","Conditional","Approve"))</f>
        <v/>
      </c>
      <c r="P188" s="8">
        <f>H188*M188*45%</f>
        <v/>
      </c>
      <c r="Q188" s="9">
        <f>H188/B188</f>
        <v/>
      </c>
    </row>
    <row r="189">
      <c r="A189" s="11" t="inlineStr">
        <is>
          <t>B0185</t>
        </is>
      </c>
      <c r="B189" s="12" t="n">
        <v>95541</v>
      </c>
      <c r="C189" s="13" t="n">
        <v>0.1679417821266949</v>
      </c>
      <c r="D189" s="11" t="n">
        <v>593</v>
      </c>
      <c r="E189" s="13" t="n">
        <v>0.4937227082650475</v>
      </c>
      <c r="F189" s="11" t="n">
        <v>0</v>
      </c>
      <c r="G189" s="11" t="n">
        <v>10.1</v>
      </c>
      <c r="H189" s="12" t="n">
        <v>9766</v>
      </c>
      <c r="I189" s="11" t="n">
        <v>36</v>
      </c>
      <c r="J189" s="11" t="n">
        <v>0</v>
      </c>
      <c r="K189" s="2">
        <f>IF(D189&gt;=740,0,IF(D189&gt;=670,15,30))+IF(C189&lt;=25%,0,IF(C189&lt;=40%,15,30))+IF(E189&lt;=30%,0,IF(E189&lt;=60%,10,20))+IF(F189=0,0,IF(F189=1,10,25))+IF(G189&gt;=5,0,IF(G189&gt;=2,5,10))+IF(H189/B189&lt;=25%,0,IF(H189/B189&lt;=50%,10,20))+IF(I189=36,0,IF(I189=48,3,6))</f>
        <v/>
      </c>
      <c r="L189" s="2">
        <f>850-K189*3.5</f>
        <v/>
      </c>
      <c r="M189" s="9">
        <f>1/(1+EXP(-(-4.2+0.055*K189)))</f>
        <v/>
      </c>
      <c r="N189" s="2">
        <f>IF(K189&lt;20,"A",IF(K189&lt;40,"B",IF(K189&lt;60,"C",IF(K189&lt;80,"D","E"))))</f>
        <v/>
      </c>
      <c r="O189" s="2">
        <f>IF(OR(N189="D",N189="E"),"Enhanced Review",IF(N189="C","Conditional","Approve"))</f>
        <v/>
      </c>
      <c r="P189" s="8">
        <f>H189*M189*45%</f>
        <v/>
      </c>
      <c r="Q189" s="9">
        <f>H189/B189</f>
        <v/>
      </c>
    </row>
    <row r="190">
      <c r="A190" s="11" t="inlineStr">
        <is>
          <t>B0186</t>
        </is>
      </c>
      <c r="B190" s="12" t="n">
        <v>50184</v>
      </c>
      <c r="C190" s="13" t="n">
        <v>0.2282977051978952</v>
      </c>
      <c r="D190" s="11" t="n">
        <v>629</v>
      </c>
      <c r="E190" s="13" t="n">
        <v>0.1191502488607377</v>
      </c>
      <c r="F190" s="11" t="n">
        <v>2</v>
      </c>
      <c r="G190" s="11" t="n">
        <v>10.9</v>
      </c>
      <c r="H190" s="12" t="n">
        <v>53916</v>
      </c>
      <c r="I190" s="11" t="n">
        <v>60</v>
      </c>
      <c r="J190" s="11" t="n">
        <v>0</v>
      </c>
      <c r="K190" s="2">
        <f>IF(D190&gt;=740,0,IF(D190&gt;=670,15,30))+IF(C190&lt;=25%,0,IF(C190&lt;=40%,15,30))+IF(E190&lt;=30%,0,IF(E190&lt;=60%,10,20))+IF(F190=0,0,IF(F190=1,10,25))+IF(G190&gt;=5,0,IF(G190&gt;=2,5,10))+IF(H190/B190&lt;=25%,0,IF(H190/B190&lt;=50%,10,20))+IF(I190=36,0,IF(I190=48,3,6))</f>
        <v/>
      </c>
      <c r="L190" s="2">
        <f>850-K190*3.5</f>
        <v/>
      </c>
      <c r="M190" s="9">
        <f>1/(1+EXP(-(-4.2+0.055*K190)))</f>
        <v/>
      </c>
      <c r="N190" s="2">
        <f>IF(K190&lt;20,"A",IF(K190&lt;40,"B",IF(K190&lt;60,"C",IF(K190&lt;80,"D","E"))))</f>
        <v/>
      </c>
      <c r="O190" s="2">
        <f>IF(OR(N190="D",N190="E"),"Enhanced Review",IF(N190="C","Conditional","Approve"))</f>
        <v/>
      </c>
      <c r="P190" s="8">
        <f>H190*M190*45%</f>
        <v/>
      </c>
      <c r="Q190" s="9">
        <f>H190/B190</f>
        <v/>
      </c>
    </row>
    <row r="191">
      <c r="A191" s="11" t="inlineStr">
        <is>
          <t>B0187</t>
        </is>
      </c>
      <c r="B191" s="12" t="n">
        <v>125206</v>
      </c>
      <c r="C191" s="13" t="n">
        <v>0.3419014994634114</v>
      </c>
      <c r="D191" s="11" t="n">
        <v>764</v>
      </c>
      <c r="E191" s="13" t="n">
        <v>0.4746906601887322</v>
      </c>
      <c r="F191" s="11" t="n">
        <v>0</v>
      </c>
      <c r="G191" s="11" t="n">
        <v>15</v>
      </c>
      <c r="H191" s="12" t="n">
        <v>25628</v>
      </c>
      <c r="I191" s="11" t="n">
        <v>60</v>
      </c>
      <c r="J191" s="11" t="n">
        <v>0</v>
      </c>
      <c r="K191" s="2">
        <f>IF(D191&gt;=740,0,IF(D191&gt;=670,15,30))+IF(C191&lt;=25%,0,IF(C191&lt;=40%,15,30))+IF(E191&lt;=30%,0,IF(E191&lt;=60%,10,20))+IF(F191=0,0,IF(F191=1,10,25))+IF(G191&gt;=5,0,IF(G191&gt;=2,5,10))+IF(H191/B191&lt;=25%,0,IF(H191/B191&lt;=50%,10,20))+IF(I191=36,0,IF(I191=48,3,6))</f>
        <v/>
      </c>
      <c r="L191" s="2">
        <f>850-K191*3.5</f>
        <v/>
      </c>
      <c r="M191" s="9">
        <f>1/(1+EXP(-(-4.2+0.055*K191)))</f>
        <v/>
      </c>
      <c r="N191" s="2">
        <f>IF(K191&lt;20,"A",IF(K191&lt;40,"B",IF(K191&lt;60,"C",IF(K191&lt;80,"D","E"))))</f>
        <v/>
      </c>
      <c r="O191" s="2">
        <f>IF(OR(N191="D",N191="E"),"Enhanced Review",IF(N191="C","Conditional","Approve"))</f>
        <v/>
      </c>
      <c r="P191" s="8">
        <f>H191*M191*45%</f>
        <v/>
      </c>
      <c r="Q191" s="9">
        <f>H191/B191</f>
        <v/>
      </c>
    </row>
    <row r="192">
      <c r="A192" s="11" t="inlineStr">
        <is>
          <t>B0188</t>
        </is>
      </c>
      <c r="B192" s="12" t="n">
        <v>90221</v>
      </c>
      <c r="C192" s="13" t="n">
        <v>0.06615562453857318</v>
      </c>
      <c r="D192" s="11" t="n">
        <v>625</v>
      </c>
      <c r="E192" s="13" t="n">
        <v>0.4982652797562256</v>
      </c>
      <c r="F192" s="11" t="n">
        <v>0</v>
      </c>
      <c r="G192" s="11" t="n">
        <v>4.6</v>
      </c>
      <c r="H192" s="12" t="n">
        <v>30212</v>
      </c>
      <c r="I192" s="11" t="n">
        <v>36</v>
      </c>
      <c r="J192" s="11" t="n">
        <v>0</v>
      </c>
      <c r="K192" s="2">
        <f>IF(D192&gt;=740,0,IF(D192&gt;=670,15,30))+IF(C192&lt;=25%,0,IF(C192&lt;=40%,15,30))+IF(E192&lt;=30%,0,IF(E192&lt;=60%,10,20))+IF(F192=0,0,IF(F192=1,10,25))+IF(G192&gt;=5,0,IF(G192&gt;=2,5,10))+IF(H192/B192&lt;=25%,0,IF(H192/B192&lt;=50%,10,20))+IF(I192=36,0,IF(I192=48,3,6))</f>
        <v/>
      </c>
      <c r="L192" s="2">
        <f>850-K192*3.5</f>
        <v/>
      </c>
      <c r="M192" s="9">
        <f>1/(1+EXP(-(-4.2+0.055*K192)))</f>
        <v/>
      </c>
      <c r="N192" s="2">
        <f>IF(K192&lt;20,"A",IF(K192&lt;40,"B",IF(K192&lt;60,"C",IF(K192&lt;80,"D","E"))))</f>
        <v/>
      </c>
      <c r="O192" s="2">
        <f>IF(OR(N192="D",N192="E"),"Enhanced Review",IF(N192="C","Conditional","Approve"))</f>
        <v/>
      </c>
      <c r="P192" s="8">
        <f>H192*M192*45%</f>
        <v/>
      </c>
      <c r="Q192" s="9">
        <f>H192/B192</f>
        <v/>
      </c>
    </row>
    <row r="193">
      <c r="A193" s="11" t="inlineStr">
        <is>
          <t>B0189</t>
        </is>
      </c>
      <c r="B193" s="12" t="n">
        <v>66958</v>
      </c>
      <c r="C193" s="13" t="n">
        <v>0.1091033828917883</v>
      </c>
      <c r="D193" s="11" t="n">
        <v>709</v>
      </c>
      <c r="E193" s="13" t="n">
        <v>0.3082040408305046</v>
      </c>
      <c r="F193" s="11" t="n">
        <v>2</v>
      </c>
      <c r="G193" s="11" t="n">
        <v>5.6</v>
      </c>
      <c r="H193" s="12" t="n">
        <v>22659</v>
      </c>
      <c r="I193" s="11" t="n">
        <v>60</v>
      </c>
      <c r="J193" s="11" t="n">
        <v>0</v>
      </c>
      <c r="K193" s="2">
        <f>IF(D193&gt;=740,0,IF(D193&gt;=670,15,30))+IF(C193&lt;=25%,0,IF(C193&lt;=40%,15,30))+IF(E193&lt;=30%,0,IF(E193&lt;=60%,10,20))+IF(F193=0,0,IF(F193=1,10,25))+IF(G193&gt;=5,0,IF(G193&gt;=2,5,10))+IF(H193/B193&lt;=25%,0,IF(H193/B193&lt;=50%,10,20))+IF(I193=36,0,IF(I193=48,3,6))</f>
        <v/>
      </c>
      <c r="L193" s="2">
        <f>850-K193*3.5</f>
        <v/>
      </c>
      <c r="M193" s="9">
        <f>1/(1+EXP(-(-4.2+0.055*K193)))</f>
        <v/>
      </c>
      <c r="N193" s="2">
        <f>IF(K193&lt;20,"A",IF(K193&lt;40,"B",IF(K193&lt;60,"C",IF(K193&lt;80,"D","E"))))</f>
        <v/>
      </c>
      <c r="O193" s="2">
        <f>IF(OR(N193="D",N193="E"),"Enhanced Review",IF(N193="C","Conditional","Approve"))</f>
        <v/>
      </c>
      <c r="P193" s="8">
        <f>H193*M193*45%</f>
        <v/>
      </c>
      <c r="Q193" s="9">
        <f>H193/B193</f>
        <v/>
      </c>
    </row>
    <row r="194">
      <c r="A194" s="11" t="inlineStr">
        <is>
          <t>B0190</t>
        </is>
      </c>
      <c r="B194" s="12" t="n">
        <v>31602</v>
      </c>
      <c r="C194" s="13" t="n">
        <v>0.2444227344085794</v>
      </c>
      <c r="D194" s="11" t="n">
        <v>729</v>
      </c>
      <c r="E194" s="13" t="n">
        <v>0.5681111738006293</v>
      </c>
      <c r="F194" s="11" t="n">
        <v>0</v>
      </c>
      <c r="G194" s="11" t="n">
        <v>10</v>
      </c>
      <c r="H194" s="12" t="n">
        <v>13816</v>
      </c>
      <c r="I194" s="11" t="n">
        <v>48</v>
      </c>
      <c r="J194" s="11" t="n">
        <v>0</v>
      </c>
      <c r="K194" s="2">
        <f>IF(D194&gt;=740,0,IF(D194&gt;=670,15,30))+IF(C194&lt;=25%,0,IF(C194&lt;=40%,15,30))+IF(E194&lt;=30%,0,IF(E194&lt;=60%,10,20))+IF(F194=0,0,IF(F194=1,10,25))+IF(G194&gt;=5,0,IF(G194&gt;=2,5,10))+IF(H194/B194&lt;=25%,0,IF(H194/B194&lt;=50%,10,20))+IF(I194=36,0,IF(I194=48,3,6))</f>
        <v/>
      </c>
      <c r="L194" s="2">
        <f>850-K194*3.5</f>
        <v/>
      </c>
      <c r="M194" s="9">
        <f>1/(1+EXP(-(-4.2+0.055*K194)))</f>
        <v/>
      </c>
      <c r="N194" s="2">
        <f>IF(K194&lt;20,"A",IF(K194&lt;40,"B",IF(K194&lt;60,"C",IF(K194&lt;80,"D","E"))))</f>
        <v/>
      </c>
      <c r="O194" s="2">
        <f>IF(OR(N194="D",N194="E"),"Enhanced Review",IF(N194="C","Conditional","Approve"))</f>
        <v/>
      </c>
      <c r="P194" s="8">
        <f>H194*M194*45%</f>
        <v/>
      </c>
      <c r="Q194" s="9">
        <f>H194/B194</f>
        <v/>
      </c>
    </row>
    <row r="195">
      <c r="A195" s="11" t="inlineStr">
        <is>
          <t>B0191</t>
        </is>
      </c>
      <c r="B195" s="12" t="n">
        <v>109924</v>
      </c>
      <c r="C195" s="13" t="n">
        <v>0.2319793632890297</v>
      </c>
      <c r="D195" s="11" t="n">
        <v>710</v>
      </c>
      <c r="E195" s="13" t="n">
        <v>0.7544877011747766</v>
      </c>
      <c r="F195" s="11" t="n">
        <v>1</v>
      </c>
      <c r="G195" s="11" t="n">
        <v>5.1</v>
      </c>
      <c r="H195" s="12" t="n">
        <v>61273</v>
      </c>
      <c r="I195" s="11" t="n">
        <v>36</v>
      </c>
      <c r="J195" s="11" t="n">
        <v>1</v>
      </c>
      <c r="K195" s="2">
        <f>IF(D195&gt;=740,0,IF(D195&gt;=670,15,30))+IF(C195&lt;=25%,0,IF(C195&lt;=40%,15,30))+IF(E195&lt;=30%,0,IF(E195&lt;=60%,10,20))+IF(F195=0,0,IF(F195=1,10,25))+IF(G195&gt;=5,0,IF(G195&gt;=2,5,10))+IF(H195/B195&lt;=25%,0,IF(H195/B195&lt;=50%,10,20))+IF(I195=36,0,IF(I195=48,3,6))</f>
        <v/>
      </c>
      <c r="L195" s="2">
        <f>850-K195*3.5</f>
        <v/>
      </c>
      <c r="M195" s="9">
        <f>1/(1+EXP(-(-4.2+0.055*K195)))</f>
        <v/>
      </c>
      <c r="N195" s="2">
        <f>IF(K195&lt;20,"A",IF(K195&lt;40,"B",IF(K195&lt;60,"C",IF(K195&lt;80,"D","E"))))</f>
        <v/>
      </c>
      <c r="O195" s="2">
        <f>IF(OR(N195="D",N195="E"),"Enhanced Review",IF(N195="C","Conditional","Approve"))</f>
        <v/>
      </c>
      <c r="P195" s="8">
        <f>H195*M195*45%</f>
        <v/>
      </c>
      <c r="Q195" s="9">
        <f>H195/B195</f>
        <v/>
      </c>
    </row>
    <row r="196">
      <c r="A196" s="11" t="inlineStr">
        <is>
          <t>B0192</t>
        </is>
      </c>
      <c r="B196" s="12" t="n">
        <v>75625</v>
      </c>
      <c r="C196" s="13" t="n">
        <v>0.5255198824878515</v>
      </c>
      <c r="D196" s="11" t="n">
        <v>690</v>
      </c>
      <c r="E196" s="13" t="n">
        <v>0.2255739380215326</v>
      </c>
      <c r="F196" s="11" t="n">
        <v>1</v>
      </c>
      <c r="G196" s="11" t="n">
        <v>7.7</v>
      </c>
      <c r="H196" s="12" t="n">
        <v>31652</v>
      </c>
      <c r="I196" s="11" t="n">
        <v>36</v>
      </c>
      <c r="J196" s="11" t="n">
        <v>0</v>
      </c>
      <c r="K196" s="2">
        <f>IF(D196&gt;=740,0,IF(D196&gt;=670,15,30))+IF(C196&lt;=25%,0,IF(C196&lt;=40%,15,30))+IF(E196&lt;=30%,0,IF(E196&lt;=60%,10,20))+IF(F196=0,0,IF(F196=1,10,25))+IF(G196&gt;=5,0,IF(G196&gt;=2,5,10))+IF(H196/B196&lt;=25%,0,IF(H196/B196&lt;=50%,10,20))+IF(I196=36,0,IF(I196=48,3,6))</f>
        <v/>
      </c>
      <c r="L196" s="2">
        <f>850-K196*3.5</f>
        <v/>
      </c>
      <c r="M196" s="9">
        <f>1/(1+EXP(-(-4.2+0.055*K196)))</f>
        <v/>
      </c>
      <c r="N196" s="2">
        <f>IF(K196&lt;20,"A",IF(K196&lt;40,"B",IF(K196&lt;60,"C",IF(K196&lt;80,"D","E"))))</f>
        <v/>
      </c>
      <c r="O196" s="2">
        <f>IF(OR(N196="D",N196="E"),"Enhanced Review",IF(N196="C","Conditional","Approve"))</f>
        <v/>
      </c>
      <c r="P196" s="8">
        <f>H196*M196*45%</f>
        <v/>
      </c>
      <c r="Q196" s="9">
        <f>H196/B196</f>
        <v/>
      </c>
    </row>
    <row r="197">
      <c r="A197" s="11" t="inlineStr">
        <is>
          <t>B0193</t>
        </is>
      </c>
      <c r="B197" s="12" t="n">
        <v>54550</v>
      </c>
      <c r="C197" s="13" t="n">
        <v>0.2437364001080055</v>
      </c>
      <c r="D197" s="11" t="n">
        <v>666</v>
      </c>
      <c r="E197" s="13" t="n">
        <v>0.5995917389058947</v>
      </c>
      <c r="F197" s="11" t="n">
        <v>1</v>
      </c>
      <c r="G197" s="11" t="n">
        <v>8.6</v>
      </c>
      <c r="H197" s="12" t="n">
        <v>42948</v>
      </c>
      <c r="I197" s="11" t="n">
        <v>60</v>
      </c>
      <c r="J197" s="11" t="n">
        <v>1</v>
      </c>
      <c r="K197" s="2">
        <f>IF(D197&gt;=740,0,IF(D197&gt;=670,15,30))+IF(C197&lt;=25%,0,IF(C197&lt;=40%,15,30))+IF(E197&lt;=30%,0,IF(E197&lt;=60%,10,20))+IF(F197=0,0,IF(F197=1,10,25))+IF(G197&gt;=5,0,IF(G197&gt;=2,5,10))+IF(H197/B197&lt;=25%,0,IF(H197/B197&lt;=50%,10,20))+IF(I197=36,0,IF(I197=48,3,6))</f>
        <v/>
      </c>
      <c r="L197" s="2">
        <f>850-K197*3.5</f>
        <v/>
      </c>
      <c r="M197" s="9">
        <f>1/(1+EXP(-(-4.2+0.055*K197)))</f>
        <v/>
      </c>
      <c r="N197" s="2">
        <f>IF(K197&lt;20,"A",IF(K197&lt;40,"B",IF(K197&lt;60,"C",IF(K197&lt;80,"D","E"))))</f>
        <v/>
      </c>
      <c r="O197" s="2">
        <f>IF(OR(N197="D",N197="E"),"Enhanced Review",IF(N197="C","Conditional","Approve"))</f>
        <v/>
      </c>
      <c r="P197" s="8">
        <f>H197*M197*45%</f>
        <v/>
      </c>
      <c r="Q197" s="9">
        <f>H197/B197</f>
        <v/>
      </c>
    </row>
    <row r="198">
      <c r="A198" s="11" t="inlineStr">
        <is>
          <t>B0194</t>
        </is>
      </c>
      <c r="B198" s="12" t="n">
        <v>83155</v>
      </c>
      <c r="C198" s="13" t="n">
        <v>0.3996801075958462</v>
      </c>
      <c r="D198" s="11" t="n">
        <v>695</v>
      </c>
      <c r="E198" s="13" t="n">
        <v>0.4802178429017274</v>
      </c>
      <c r="F198" s="11" t="n">
        <v>0</v>
      </c>
      <c r="G198" s="11" t="n">
        <v>4.1</v>
      </c>
      <c r="H198" s="12" t="n">
        <v>19034</v>
      </c>
      <c r="I198" s="11" t="n">
        <v>36</v>
      </c>
      <c r="J198" s="11" t="n">
        <v>0</v>
      </c>
      <c r="K198" s="2">
        <f>IF(D198&gt;=740,0,IF(D198&gt;=670,15,30))+IF(C198&lt;=25%,0,IF(C198&lt;=40%,15,30))+IF(E198&lt;=30%,0,IF(E198&lt;=60%,10,20))+IF(F198=0,0,IF(F198=1,10,25))+IF(G198&gt;=5,0,IF(G198&gt;=2,5,10))+IF(H198/B198&lt;=25%,0,IF(H198/B198&lt;=50%,10,20))+IF(I198=36,0,IF(I198=48,3,6))</f>
        <v/>
      </c>
      <c r="L198" s="2">
        <f>850-K198*3.5</f>
        <v/>
      </c>
      <c r="M198" s="9">
        <f>1/(1+EXP(-(-4.2+0.055*K198)))</f>
        <v/>
      </c>
      <c r="N198" s="2">
        <f>IF(K198&lt;20,"A",IF(K198&lt;40,"B",IF(K198&lt;60,"C",IF(K198&lt;80,"D","E"))))</f>
        <v/>
      </c>
      <c r="O198" s="2">
        <f>IF(OR(N198="D",N198="E"),"Enhanced Review",IF(N198="C","Conditional","Approve"))</f>
        <v/>
      </c>
      <c r="P198" s="8">
        <f>H198*M198*45%</f>
        <v/>
      </c>
      <c r="Q198" s="9">
        <f>H198/B198</f>
        <v/>
      </c>
    </row>
    <row r="199">
      <c r="A199" s="11" t="inlineStr">
        <is>
          <t>B0195</t>
        </is>
      </c>
      <c r="B199" s="12" t="n">
        <v>81663</v>
      </c>
      <c r="C199" s="13" t="n">
        <v>0.04629906094967873</v>
      </c>
      <c r="D199" s="11" t="n">
        <v>695</v>
      </c>
      <c r="E199" s="13" t="n">
        <v>0.3484327628450217</v>
      </c>
      <c r="F199" s="11" t="n">
        <v>0</v>
      </c>
      <c r="G199" s="11" t="n">
        <v>2.7</v>
      </c>
      <c r="H199" s="12" t="n">
        <v>18879</v>
      </c>
      <c r="I199" s="11" t="n">
        <v>60</v>
      </c>
      <c r="J199" s="11" t="n">
        <v>0</v>
      </c>
      <c r="K199" s="2">
        <f>IF(D199&gt;=740,0,IF(D199&gt;=670,15,30))+IF(C199&lt;=25%,0,IF(C199&lt;=40%,15,30))+IF(E199&lt;=30%,0,IF(E199&lt;=60%,10,20))+IF(F199=0,0,IF(F199=1,10,25))+IF(G199&gt;=5,0,IF(G199&gt;=2,5,10))+IF(H199/B199&lt;=25%,0,IF(H199/B199&lt;=50%,10,20))+IF(I199=36,0,IF(I199=48,3,6))</f>
        <v/>
      </c>
      <c r="L199" s="2">
        <f>850-K199*3.5</f>
        <v/>
      </c>
      <c r="M199" s="9">
        <f>1/(1+EXP(-(-4.2+0.055*K199)))</f>
        <v/>
      </c>
      <c r="N199" s="2">
        <f>IF(K199&lt;20,"A",IF(K199&lt;40,"B",IF(K199&lt;60,"C",IF(K199&lt;80,"D","E"))))</f>
        <v/>
      </c>
      <c r="O199" s="2">
        <f>IF(OR(N199="D",N199="E"),"Enhanced Review",IF(N199="C","Conditional","Approve"))</f>
        <v/>
      </c>
      <c r="P199" s="8">
        <f>H199*M199*45%</f>
        <v/>
      </c>
      <c r="Q199" s="9">
        <f>H199/B199</f>
        <v/>
      </c>
    </row>
    <row r="200">
      <c r="A200" s="11" t="inlineStr">
        <is>
          <t>B0196</t>
        </is>
      </c>
      <c r="B200" s="12" t="n">
        <v>96594</v>
      </c>
      <c r="C200" s="13" t="n">
        <v>0.2634997928622905</v>
      </c>
      <c r="D200" s="11" t="n">
        <v>775</v>
      </c>
      <c r="E200" s="13" t="n">
        <v>0.1283864828184209</v>
      </c>
      <c r="F200" s="11" t="n">
        <v>0</v>
      </c>
      <c r="G200" s="11" t="n">
        <v>2.6</v>
      </c>
      <c r="H200" s="12" t="n">
        <v>18388</v>
      </c>
      <c r="I200" s="11" t="n">
        <v>36</v>
      </c>
      <c r="J200" s="11" t="n">
        <v>0</v>
      </c>
      <c r="K200" s="2">
        <f>IF(D200&gt;=740,0,IF(D200&gt;=670,15,30))+IF(C200&lt;=25%,0,IF(C200&lt;=40%,15,30))+IF(E200&lt;=30%,0,IF(E200&lt;=60%,10,20))+IF(F200=0,0,IF(F200=1,10,25))+IF(G200&gt;=5,0,IF(G200&gt;=2,5,10))+IF(H200/B200&lt;=25%,0,IF(H200/B200&lt;=50%,10,20))+IF(I200=36,0,IF(I200=48,3,6))</f>
        <v/>
      </c>
      <c r="L200" s="2">
        <f>850-K200*3.5</f>
        <v/>
      </c>
      <c r="M200" s="9">
        <f>1/(1+EXP(-(-4.2+0.055*K200)))</f>
        <v/>
      </c>
      <c r="N200" s="2">
        <f>IF(K200&lt;20,"A",IF(K200&lt;40,"B",IF(K200&lt;60,"C",IF(K200&lt;80,"D","E"))))</f>
        <v/>
      </c>
      <c r="O200" s="2">
        <f>IF(OR(N200="D",N200="E"),"Enhanced Review",IF(N200="C","Conditional","Approve"))</f>
        <v/>
      </c>
      <c r="P200" s="8">
        <f>H200*M200*45%</f>
        <v/>
      </c>
      <c r="Q200" s="9">
        <f>H200/B200</f>
        <v/>
      </c>
    </row>
    <row r="201">
      <c r="A201" s="11" t="inlineStr">
        <is>
          <t>B0197</t>
        </is>
      </c>
      <c r="B201" s="12" t="n">
        <v>60344</v>
      </c>
      <c r="C201" s="13" t="n">
        <v>0.1609537284438126</v>
      </c>
      <c r="D201" s="11" t="n">
        <v>614</v>
      </c>
      <c r="E201" s="13" t="n">
        <v>0.2128220678811045</v>
      </c>
      <c r="F201" s="11" t="n">
        <v>0</v>
      </c>
      <c r="G201" s="11" t="n">
        <v>11.1</v>
      </c>
      <c r="H201" s="12" t="n">
        <v>12536</v>
      </c>
      <c r="I201" s="11" t="n">
        <v>36</v>
      </c>
      <c r="J201" s="11" t="n">
        <v>0</v>
      </c>
      <c r="K201" s="2">
        <f>IF(D201&gt;=740,0,IF(D201&gt;=670,15,30))+IF(C201&lt;=25%,0,IF(C201&lt;=40%,15,30))+IF(E201&lt;=30%,0,IF(E201&lt;=60%,10,20))+IF(F201=0,0,IF(F201=1,10,25))+IF(G201&gt;=5,0,IF(G201&gt;=2,5,10))+IF(H201/B201&lt;=25%,0,IF(H201/B201&lt;=50%,10,20))+IF(I201=36,0,IF(I201=48,3,6))</f>
        <v/>
      </c>
      <c r="L201" s="2">
        <f>850-K201*3.5</f>
        <v/>
      </c>
      <c r="M201" s="9">
        <f>1/(1+EXP(-(-4.2+0.055*K201)))</f>
        <v/>
      </c>
      <c r="N201" s="2">
        <f>IF(K201&lt;20,"A",IF(K201&lt;40,"B",IF(K201&lt;60,"C",IF(K201&lt;80,"D","E"))))</f>
        <v/>
      </c>
      <c r="O201" s="2">
        <f>IF(OR(N201="D",N201="E"),"Enhanced Review",IF(N201="C","Conditional","Approve"))</f>
        <v/>
      </c>
      <c r="P201" s="8">
        <f>H201*M201*45%</f>
        <v/>
      </c>
      <c r="Q201" s="9">
        <f>H201/B201</f>
        <v/>
      </c>
    </row>
    <row r="202">
      <c r="A202" s="11" t="inlineStr">
        <is>
          <t>B0198</t>
        </is>
      </c>
      <c r="B202" s="12" t="n">
        <v>157739</v>
      </c>
      <c r="C202" s="13" t="n">
        <v>0.4212129344319476</v>
      </c>
      <c r="D202" s="11" t="n">
        <v>655</v>
      </c>
      <c r="E202" s="13" t="n">
        <v>0.3469614173363479</v>
      </c>
      <c r="F202" s="11" t="n">
        <v>0</v>
      </c>
      <c r="G202" s="11" t="n">
        <v>4.6</v>
      </c>
      <c r="H202" s="12" t="n">
        <v>16697</v>
      </c>
      <c r="I202" s="11" t="n">
        <v>60</v>
      </c>
      <c r="J202" s="11" t="n">
        <v>1</v>
      </c>
      <c r="K202" s="2">
        <f>IF(D202&gt;=740,0,IF(D202&gt;=670,15,30))+IF(C202&lt;=25%,0,IF(C202&lt;=40%,15,30))+IF(E202&lt;=30%,0,IF(E202&lt;=60%,10,20))+IF(F202=0,0,IF(F202=1,10,25))+IF(G202&gt;=5,0,IF(G202&gt;=2,5,10))+IF(H202/B202&lt;=25%,0,IF(H202/B202&lt;=50%,10,20))+IF(I202=36,0,IF(I202=48,3,6))</f>
        <v/>
      </c>
      <c r="L202" s="2">
        <f>850-K202*3.5</f>
        <v/>
      </c>
      <c r="M202" s="9">
        <f>1/(1+EXP(-(-4.2+0.055*K202)))</f>
        <v/>
      </c>
      <c r="N202" s="2">
        <f>IF(K202&lt;20,"A",IF(K202&lt;40,"B",IF(K202&lt;60,"C",IF(K202&lt;80,"D","E"))))</f>
        <v/>
      </c>
      <c r="O202" s="2">
        <f>IF(OR(N202="D",N202="E"),"Enhanced Review",IF(N202="C","Conditional","Approve"))</f>
        <v/>
      </c>
      <c r="P202" s="8">
        <f>H202*M202*45%</f>
        <v/>
      </c>
      <c r="Q202" s="9">
        <f>H202/B202</f>
        <v/>
      </c>
    </row>
    <row r="203">
      <c r="A203" s="11" t="inlineStr">
        <is>
          <t>B0199</t>
        </is>
      </c>
      <c r="B203" s="12" t="n">
        <v>71072</v>
      </c>
      <c r="C203" s="13" t="n">
        <v>0.3810868895815601</v>
      </c>
      <c r="D203" s="11" t="n">
        <v>676</v>
      </c>
      <c r="E203" s="13" t="n">
        <v>0.4141424075752582</v>
      </c>
      <c r="F203" s="11" t="n">
        <v>1</v>
      </c>
      <c r="G203" s="11" t="n">
        <v>3.6</v>
      </c>
      <c r="H203" s="12" t="n">
        <v>45333</v>
      </c>
      <c r="I203" s="11" t="n">
        <v>48</v>
      </c>
      <c r="J203" s="11" t="n">
        <v>0</v>
      </c>
      <c r="K203" s="2">
        <f>IF(D203&gt;=740,0,IF(D203&gt;=670,15,30))+IF(C203&lt;=25%,0,IF(C203&lt;=40%,15,30))+IF(E203&lt;=30%,0,IF(E203&lt;=60%,10,20))+IF(F203=0,0,IF(F203=1,10,25))+IF(G203&gt;=5,0,IF(G203&gt;=2,5,10))+IF(H203/B203&lt;=25%,0,IF(H203/B203&lt;=50%,10,20))+IF(I203=36,0,IF(I203=48,3,6))</f>
        <v/>
      </c>
      <c r="L203" s="2">
        <f>850-K203*3.5</f>
        <v/>
      </c>
      <c r="M203" s="9">
        <f>1/(1+EXP(-(-4.2+0.055*K203)))</f>
        <v/>
      </c>
      <c r="N203" s="2">
        <f>IF(K203&lt;20,"A",IF(K203&lt;40,"B",IF(K203&lt;60,"C",IF(K203&lt;80,"D","E"))))</f>
        <v/>
      </c>
      <c r="O203" s="2">
        <f>IF(OR(N203="D",N203="E"),"Enhanced Review",IF(N203="C","Conditional","Approve"))</f>
        <v/>
      </c>
      <c r="P203" s="8">
        <f>H203*M203*45%</f>
        <v/>
      </c>
      <c r="Q203" s="9">
        <f>H203/B203</f>
        <v/>
      </c>
    </row>
    <row r="204">
      <c r="A204" s="11" t="inlineStr">
        <is>
          <t>B0200</t>
        </is>
      </c>
      <c r="B204" s="12" t="n">
        <v>80152</v>
      </c>
      <c r="C204" s="13" t="n">
        <v>0.1642579254983002</v>
      </c>
      <c r="D204" s="11" t="n">
        <v>581</v>
      </c>
      <c r="E204" s="13" t="n">
        <v>0.4019195729636062</v>
      </c>
      <c r="F204" s="11" t="n">
        <v>0</v>
      </c>
      <c r="G204" s="11" t="n">
        <v>14.9</v>
      </c>
      <c r="H204" s="12" t="n">
        <v>21956</v>
      </c>
      <c r="I204" s="11" t="n">
        <v>36</v>
      </c>
      <c r="J204" s="11" t="n">
        <v>0</v>
      </c>
      <c r="K204" s="2">
        <f>IF(D204&gt;=740,0,IF(D204&gt;=670,15,30))+IF(C204&lt;=25%,0,IF(C204&lt;=40%,15,30))+IF(E204&lt;=30%,0,IF(E204&lt;=60%,10,20))+IF(F204=0,0,IF(F204=1,10,25))+IF(G204&gt;=5,0,IF(G204&gt;=2,5,10))+IF(H204/B204&lt;=25%,0,IF(H204/B204&lt;=50%,10,20))+IF(I204=36,0,IF(I204=48,3,6))</f>
        <v/>
      </c>
      <c r="L204" s="2">
        <f>850-K204*3.5</f>
        <v/>
      </c>
      <c r="M204" s="9">
        <f>1/(1+EXP(-(-4.2+0.055*K204)))</f>
        <v/>
      </c>
      <c r="N204" s="2">
        <f>IF(K204&lt;20,"A",IF(K204&lt;40,"B",IF(K204&lt;60,"C",IF(K204&lt;80,"D","E"))))</f>
        <v/>
      </c>
      <c r="O204" s="2">
        <f>IF(OR(N204="D",N204="E"),"Enhanced Review",IF(N204="C","Conditional","Approve"))</f>
        <v/>
      </c>
      <c r="P204" s="8">
        <f>H204*M204*45%</f>
        <v/>
      </c>
      <c r="Q204" s="9">
        <f>H204/B204</f>
        <v/>
      </c>
    </row>
    <row r="205">
      <c r="A205" s="11" t="inlineStr">
        <is>
          <t>B0201</t>
        </is>
      </c>
      <c r="B205" s="12" t="n">
        <v>128651</v>
      </c>
      <c r="C205" s="13" t="n">
        <v>0.2269125513442962</v>
      </c>
      <c r="D205" s="11" t="n">
        <v>643</v>
      </c>
      <c r="E205" s="13" t="n">
        <v>0.2340187282060431</v>
      </c>
      <c r="F205" s="11" t="n">
        <v>0</v>
      </c>
      <c r="G205" s="11" t="n">
        <v>4.5</v>
      </c>
      <c r="H205" s="12" t="n">
        <v>50999</v>
      </c>
      <c r="I205" s="11" t="n">
        <v>60</v>
      </c>
      <c r="J205" s="11" t="n">
        <v>0</v>
      </c>
      <c r="K205" s="2">
        <f>IF(D205&gt;=740,0,IF(D205&gt;=670,15,30))+IF(C205&lt;=25%,0,IF(C205&lt;=40%,15,30))+IF(E205&lt;=30%,0,IF(E205&lt;=60%,10,20))+IF(F205=0,0,IF(F205=1,10,25))+IF(G205&gt;=5,0,IF(G205&gt;=2,5,10))+IF(H205/B205&lt;=25%,0,IF(H205/B205&lt;=50%,10,20))+IF(I205=36,0,IF(I205=48,3,6))</f>
        <v/>
      </c>
      <c r="L205" s="2">
        <f>850-K205*3.5</f>
        <v/>
      </c>
      <c r="M205" s="9">
        <f>1/(1+EXP(-(-4.2+0.055*K205)))</f>
        <v/>
      </c>
      <c r="N205" s="2">
        <f>IF(K205&lt;20,"A",IF(K205&lt;40,"B",IF(K205&lt;60,"C",IF(K205&lt;80,"D","E"))))</f>
        <v/>
      </c>
      <c r="O205" s="2">
        <f>IF(OR(N205="D",N205="E"),"Enhanced Review",IF(N205="C","Conditional","Approve"))</f>
        <v/>
      </c>
      <c r="P205" s="8">
        <f>H205*M205*45%</f>
        <v/>
      </c>
      <c r="Q205" s="9">
        <f>H205/B205</f>
        <v/>
      </c>
    </row>
    <row r="206">
      <c r="A206" s="11" t="inlineStr">
        <is>
          <t>B0202</t>
        </is>
      </c>
      <c r="B206" s="12" t="n">
        <v>78599</v>
      </c>
      <c r="C206" s="13" t="n">
        <v>0.1695978165649555</v>
      </c>
      <c r="D206" s="11" t="n">
        <v>721</v>
      </c>
      <c r="E206" s="13" t="n">
        <v>0.6225837020160331</v>
      </c>
      <c r="F206" s="11" t="n">
        <v>2</v>
      </c>
      <c r="G206" s="11" t="n">
        <v>5.9</v>
      </c>
      <c r="H206" s="12" t="n">
        <v>23909</v>
      </c>
      <c r="I206" s="11" t="n">
        <v>60</v>
      </c>
      <c r="J206" s="11" t="n">
        <v>1</v>
      </c>
      <c r="K206" s="2">
        <f>IF(D206&gt;=740,0,IF(D206&gt;=670,15,30))+IF(C206&lt;=25%,0,IF(C206&lt;=40%,15,30))+IF(E206&lt;=30%,0,IF(E206&lt;=60%,10,20))+IF(F206=0,0,IF(F206=1,10,25))+IF(G206&gt;=5,0,IF(G206&gt;=2,5,10))+IF(H206/B206&lt;=25%,0,IF(H206/B206&lt;=50%,10,20))+IF(I206=36,0,IF(I206=48,3,6))</f>
        <v/>
      </c>
      <c r="L206" s="2">
        <f>850-K206*3.5</f>
        <v/>
      </c>
      <c r="M206" s="9">
        <f>1/(1+EXP(-(-4.2+0.055*K206)))</f>
        <v/>
      </c>
      <c r="N206" s="2">
        <f>IF(K206&lt;20,"A",IF(K206&lt;40,"B",IF(K206&lt;60,"C",IF(K206&lt;80,"D","E"))))</f>
        <v/>
      </c>
      <c r="O206" s="2">
        <f>IF(OR(N206="D",N206="E"),"Enhanced Review",IF(N206="C","Conditional","Approve"))</f>
        <v/>
      </c>
      <c r="P206" s="8">
        <f>H206*M206*45%</f>
        <v/>
      </c>
      <c r="Q206" s="9">
        <f>H206/B206</f>
        <v/>
      </c>
    </row>
    <row r="207">
      <c r="A207" s="11" t="inlineStr">
        <is>
          <t>B0203</t>
        </is>
      </c>
      <c r="B207" s="12" t="n">
        <v>101793</v>
      </c>
      <c r="C207" s="13" t="n">
        <v>0.2894343455265266</v>
      </c>
      <c r="D207" s="11" t="n">
        <v>716</v>
      </c>
      <c r="E207" s="13" t="n">
        <v>0.4392539621838594</v>
      </c>
      <c r="F207" s="11" t="n">
        <v>0</v>
      </c>
      <c r="G207" s="11" t="n">
        <v>15.9</v>
      </c>
      <c r="H207" s="12" t="n">
        <v>11059</v>
      </c>
      <c r="I207" s="11" t="n">
        <v>60</v>
      </c>
      <c r="J207" s="11" t="n">
        <v>0</v>
      </c>
      <c r="K207" s="2">
        <f>IF(D207&gt;=740,0,IF(D207&gt;=670,15,30))+IF(C207&lt;=25%,0,IF(C207&lt;=40%,15,30))+IF(E207&lt;=30%,0,IF(E207&lt;=60%,10,20))+IF(F207=0,0,IF(F207=1,10,25))+IF(G207&gt;=5,0,IF(G207&gt;=2,5,10))+IF(H207/B207&lt;=25%,0,IF(H207/B207&lt;=50%,10,20))+IF(I207=36,0,IF(I207=48,3,6))</f>
        <v/>
      </c>
      <c r="L207" s="2">
        <f>850-K207*3.5</f>
        <v/>
      </c>
      <c r="M207" s="9">
        <f>1/(1+EXP(-(-4.2+0.055*K207)))</f>
        <v/>
      </c>
      <c r="N207" s="2">
        <f>IF(K207&lt;20,"A",IF(K207&lt;40,"B",IF(K207&lt;60,"C",IF(K207&lt;80,"D","E"))))</f>
        <v/>
      </c>
      <c r="O207" s="2">
        <f>IF(OR(N207="D",N207="E"),"Enhanced Review",IF(N207="C","Conditional","Approve"))</f>
        <v/>
      </c>
      <c r="P207" s="8">
        <f>H207*M207*45%</f>
        <v/>
      </c>
      <c r="Q207" s="9">
        <f>H207/B207</f>
        <v/>
      </c>
    </row>
    <row r="208">
      <c r="A208" s="11" t="inlineStr">
        <is>
          <t>B0204</t>
        </is>
      </c>
      <c r="B208" s="12" t="n">
        <v>55801</v>
      </c>
      <c r="C208" s="13" t="n">
        <v>0.2779410222795828</v>
      </c>
      <c r="D208" s="11" t="n">
        <v>830</v>
      </c>
      <c r="E208" s="13" t="n">
        <v>0.3396149061325281</v>
      </c>
      <c r="F208" s="11" t="n">
        <v>0</v>
      </c>
      <c r="G208" s="11" t="n">
        <v>7.2</v>
      </c>
      <c r="H208" s="12" t="n">
        <v>58110</v>
      </c>
      <c r="I208" s="11" t="n">
        <v>48</v>
      </c>
      <c r="J208" s="11" t="n">
        <v>0</v>
      </c>
      <c r="K208" s="2">
        <f>IF(D208&gt;=740,0,IF(D208&gt;=670,15,30))+IF(C208&lt;=25%,0,IF(C208&lt;=40%,15,30))+IF(E208&lt;=30%,0,IF(E208&lt;=60%,10,20))+IF(F208=0,0,IF(F208=1,10,25))+IF(G208&gt;=5,0,IF(G208&gt;=2,5,10))+IF(H208/B208&lt;=25%,0,IF(H208/B208&lt;=50%,10,20))+IF(I208=36,0,IF(I208=48,3,6))</f>
        <v/>
      </c>
      <c r="L208" s="2">
        <f>850-K208*3.5</f>
        <v/>
      </c>
      <c r="M208" s="9">
        <f>1/(1+EXP(-(-4.2+0.055*K208)))</f>
        <v/>
      </c>
      <c r="N208" s="2">
        <f>IF(K208&lt;20,"A",IF(K208&lt;40,"B",IF(K208&lt;60,"C",IF(K208&lt;80,"D","E"))))</f>
        <v/>
      </c>
      <c r="O208" s="2">
        <f>IF(OR(N208="D",N208="E"),"Enhanced Review",IF(N208="C","Conditional","Approve"))</f>
        <v/>
      </c>
      <c r="P208" s="8">
        <f>H208*M208*45%</f>
        <v/>
      </c>
      <c r="Q208" s="9">
        <f>H208/B208</f>
        <v/>
      </c>
    </row>
    <row r="209">
      <c r="A209" s="11" t="inlineStr">
        <is>
          <t>B0205</t>
        </is>
      </c>
      <c r="B209" s="12" t="n">
        <v>40773</v>
      </c>
      <c r="C209" s="13" t="n">
        <v>0.5501743906501062</v>
      </c>
      <c r="D209" s="11" t="n">
        <v>779</v>
      </c>
      <c r="E209" s="13" t="n">
        <v>0.6608350802339565</v>
      </c>
      <c r="F209" s="11" t="n">
        <v>0</v>
      </c>
      <c r="G209" s="11" t="n">
        <v>4.4</v>
      </c>
      <c r="H209" s="12" t="n">
        <v>18874</v>
      </c>
      <c r="I209" s="11" t="n">
        <v>60</v>
      </c>
      <c r="J209" s="11" t="n">
        <v>0</v>
      </c>
      <c r="K209" s="2">
        <f>IF(D209&gt;=740,0,IF(D209&gt;=670,15,30))+IF(C209&lt;=25%,0,IF(C209&lt;=40%,15,30))+IF(E209&lt;=30%,0,IF(E209&lt;=60%,10,20))+IF(F209=0,0,IF(F209=1,10,25))+IF(G209&gt;=5,0,IF(G209&gt;=2,5,10))+IF(H209/B209&lt;=25%,0,IF(H209/B209&lt;=50%,10,20))+IF(I209=36,0,IF(I209=48,3,6))</f>
        <v/>
      </c>
      <c r="L209" s="2">
        <f>850-K209*3.5</f>
        <v/>
      </c>
      <c r="M209" s="9">
        <f>1/(1+EXP(-(-4.2+0.055*K209)))</f>
        <v/>
      </c>
      <c r="N209" s="2">
        <f>IF(K209&lt;20,"A",IF(K209&lt;40,"B",IF(K209&lt;60,"C",IF(K209&lt;80,"D","E"))))</f>
        <v/>
      </c>
      <c r="O209" s="2">
        <f>IF(OR(N209="D",N209="E"),"Enhanced Review",IF(N209="C","Conditional","Approve"))</f>
        <v/>
      </c>
      <c r="P209" s="8">
        <f>H209*M209*45%</f>
        <v/>
      </c>
      <c r="Q209" s="9">
        <f>H209/B209</f>
        <v/>
      </c>
    </row>
    <row r="210">
      <c r="A210" s="11" t="inlineStr">
        <is>
          <t>B0206</t>
        </is>
      </c>
      <c r="B210" s="12" t="n">
        <v>72683</v>
      </c>
      <c r="C210" s="13" t="n">
        <v>0.2132164228939039</v>
      </c>
      <c r="D210" s="11" t="n">
        <v>590</v>
      </c>
      <c r="E210" s="13" t="n">
        <v>0.4115033462720917</v>
      </c>
      <c r="F210" s="11" t="n">
        <v>1</v>
      </c>
      <c r="G210" s="11" t="n">
        <v>3.7</v>
      </c>
      <c r="H210" s="12" t="n">
        <v>33135</v>
      </c>
      <c r="I210" s="11" t="n">
        <v>60</v>
      </c>
      <c r="J210" s="11" t="n">
        <v>1</v>
      </c>
      <c r="K210" s="2">
        <f>IF(D210&gt;=740,0,IF(D210&gt;=670,15,30))+IF(C210&lt;=25%,0,IF(C210&lt;=40%,15,30))+IF(E210&lt;=30%,0,IF(E210&lt;=60%,10,20))+IF(F210=0,0,IF(F210=1,10,25))+IF(G210&gt;=5,0,IF(G210&gt;=2,5,10))+IF(H210/B210&lt;=25%,0,IF(H210/B210&lt;=50%,10,20))+IF(I210=36,0,IF(I210=48,3,6))</f>
        <v/>
      </c>
      <c r="L210" s="2">
        <f>850-K210*3.5</f>
        <v/>
      </c>
      <c r="M210" s="9">
        <f>1/(1+EXP(-(-4.2+0.055*K210)))</f>
        <v/>
      </c>
      <c r="N210" s="2">
        <f>IF(K210&lt;20,"A",IF(K210&lt;40,"B",IF(K210&lt;60,"C",IF(K210&lt;80,"D","E"))))</f>
        <v/>
      </c>
      <c r="O210" s="2">
        <f>IF(OR(N210="D",N210="E"),"Enhanced Review",IF(N210="C","Conditional","Approve"))</f>
        <v/>
      </c>
      <c r="P210" s="8">
        <f>H210*M210*45%</f>
        <v/>
      </c>
      <c r="Q210" s="9">
        <f>H210/B210</f>
        <v/>
      </c>
    </row>
    <row r="211">
      <c r="A211" s="11" t="inlineStr">
        <is>
          <t>B0207</t>
        </is>
      </c>
      <c r="B211" s="12" t="n">
        <v>109660</v>
      </c>
      <c r="C211" s="13" t="n">
        <v>0.04402277480766035</v>
      </c>
      <c r="D211" s="11" t="n">
        <v>566</v>
      </c>
      <c r="E211" s="13" t="n">
        <v>0.9064981954601009</v>
      </c>
      <c r="F211" s="11" t="n">
        <v>2</v>
      </c>
      <c r="G211" s="11" t="n">
        <v>8.199999999999999</v>
      </c>
      <c r="H211" s="12" t="n">
        <v>20672</v>
      </c>
      <c r="I211" s="11" t="n">
        <v>36</v>
      </c>
      <c r="J211" s="11" t="n">
        <v>1</v>
      </c>
      <c r="K211" s="2">
        <f>IF(D211&gt;=740,0,IF(D211&gt;=670,15,30))+IF(C211&lt;=25%,0,IF(C211&lt;=40%,15,30))+IF(E211&lt;=30%,0,IF(E211&lt;=60%,10,20))+IF(F211=0,0,IF(F211=1,10,25))+IF(G211&gt;=5,0,IF(G211&gt;=2,5,10))+IF(H211/B211&lt;=25%,0,IF(H211/B211&lt;=50%,10,20))+IF(I211=36,0,IF(I211=48,3,6))</f>
        <v/>
      </c>
      <c r="L211" s="2">
        <f>850-K211*3.5</f>
        <v/>
      </c>
      <c r="M211" s="9">
        <f>1/(1+EXP(-(-4.2+0.055*K211)))</f>
        <v/>
      </c>
      <c r="N211" s="2">
        <f>IF(K211&lt;20,"A",IF(K211&lt;40,"B",IF(K211&lt;60,"C",IF(K211&lt;80,"D","E"))))</f>
        <v/>
      </c>
      <c r="O211" s="2">
        <f>IF(OR(N211="D",N211="E"),"Enhanced Review",IF(N211="C","Conditional","Approve"))</f>
        <v/>
      </c>
      <c r="P211" s="8">
        <f>H211*M211*45%</f>
        <v/>
      </c>
      <c r="Q211" s="9">
        <f>H211/B211</f>
        <v/>
      </c>
    </row>
    <row r="212">
      <c r="A212" s="11" t="inlineStr">
        <is>
          <t>B0208</t>
        </is>
      </c>
      <c r="B212" s="12" t="n">
        <v>74896</v>
      </c>
      <c r="C212" s="13" t="n">
        <v>0.08857217465426091</v>
      </c>
      <c r="D212" s="11" t="n">
        <v>744</v>
      </c>
      <c r="E212" s="13" t="n">
        <v>0.1984448842376846</v>
      </c>
      <c r="F212" s="11" t="n">
        <v>0</v>
      </c>
      <c r="G212" s="11" t="n">
        <v>9.4</v>
      </c>
      <c r="H212" s="12" t="n">
        <v>29304</v>
      </c>
      <c r="I212" s="11" t="n">
        <v>36</v>
      </c>
      <c r="J212" s="11" t="n">
        <v>0</v>
      </c>
      <c r="K212" s="2">
        <f>IF(D212&gt;=740,0,IF(D212&gt;=670,15,30))+IF(C212&lt;=25%,0,IF(C212&lt;=40%,15,30))+IF(E212&lt;=30%,0,IF(E212&lt;=60%,10,20))+IF(F212=0,0,IF(F212=1,10,25))+IF(G212&gt;=5,0,IF(G212&gt;=2,5,10))+IF(H212/B212&lt;=25%,0,IF(H212/B212&lt;=50%,10,20))+IF(I212=36,0,IF(I212=48,3,6))</f>
        <v/>
      </c>
      <c r="L212" s="2">
        <f>850-K212*3.5</f>
        <v/>
      </c>
      <c r="M212" s="9">
        <f>1/(1+EXP(-(-4.2+0.055*K212)))</f>
        <v/>
      </c>
      <c r="N212" s="2">
        <f>IF(K212&lt;20,"A",IF(K212&lt;40,"B",IF(K212&lt;60,"C",IF(K212&lt;80,"D","E"))))</f>
        <v/>
      </c>
      <c r="O212" s="2">
        <f>IF(OR(N212="D",N212="E"),"Enhanced Review",IF(N212="C","Conditional","Approve"))</f>
        <v/>
      </c>
      <c r="P212" s="8">
        <f>H212*M212*45%</f>
        <v/>
      </c>
      <c r="Q212" s="9">
        <f>H212/B212</f>
        <v/>
      </c>
    </row>
    <row r="213">
      <c r="A213" s="11" t="inlineStr">
        <is>
          <t>B0209</t>
        </is>
      </c>
      <c r="B213" s="12" t="n">
        <v>32937</v>
      </c>
      <c r="C213" s="13" t="n">
        <v>0.2526550488925296</v>
      </c>
      <c r="D213" s="11" t="n">
        <v>767</v>
      </c>
      <c r="E213" s="13" t="n">
        <v>0.5096017816815616</v>
      </c>
      <c r="F213" s="11" t="n">
        <v>0</v>
      </c>
      <c r="G213" s="11" t="n">
        <v>5.9</v>
      </c>
      <c r="H213" s="12" t="n">
        <v>12717</v>
      </c>
      <c r="I213" s="11" t="n">
        <v>48</v>
      </c>
      <c r="J213" s="11" t="n">
        <v>1</v>
      </c>
      <c r="K213" s="2">
        <f>IF(D213&gt;=740,0,IF(D213&gt;=670,15,30))+IF(C213&lt;=25%,0,IF(C213&lt;=40%,15,30))+IF(E213&lt;=30%,0,IF(E213&lt;=60%,10,20))+IF(F213=0,0,IF(F213=1,10,25))+IF(G213&gt;=5,0,IF(G213&gt;=2,5,10))+IF(H213/B213&lt;=25%,0,IF(H213/B213&lt;=50%,10,20))+IF(I213=36,0,IF(I213=48,3,6))</f>
        <v/>
      </c>
      <c r="L213" s="2">
        <f>850-K213*3.5</f>
        <v/>
      </c>
      <c r="M213" s="9">
        <f>1/(1+EXP(-(-4.2+0.055*K213)))</f>
        <v/>
      </c>
      <c r="N213" s="2">
        <f>IF(K213&lt;20,"A",IF(K213&lt;40,"B",IF(K213&lt;60,"C",IF(K213&lt;80,"D","E"))))</f>
        <v/>
      </c>
      <c r="O213" s="2">
        <f>IF(OR(N213="D",N213="E"),"Enhanced Review",IF(N213="C","Conditional","Approve"))</f>
        <v/>
      </c>
      <c r="P213" s="8">
        <f>H213*M213*45%</f>
        <v/>
      </c>
      <c r="Q213" s="9">
        <f>H213/B213</f>
        <v/>
      </c>
    </row>
    <row r="214">
      <c r="A214" s="11" t="inlineStr">
        <is>
          <t>B0210</t>
        </is>
      </c>
      <c r="B214" s="12" t="n">
        <v>22000</v>
      </c>
      <c r="C214" s="13" t="n">
        <v>0.2541042286381955</v>
      </c>
      <c r="D214" s="11" t="n">
        <v>682</v>
      </c>
      <c r="E214" s="13" t="n">
        <v>0.3771919238494505</v>
      </c>
      <c r="F214" s="11" t="n">
        <v>0</v>
      </c>
      <c r="G214" s="11" t="n">
        <v>11.5</v>
      </c>
      <c r="H214" s="12" t="n">
        <v>26974</v>
      </c>
      <c r="I214" s="11" t="n">
        <v>60</v>
      </c>
      <c r="J214" s="11" t="n">
        <v>0</v>
      </c>
      <c r="K214" s="2">
        <f>IF(D214&gt;=740,0,IF(D214&gt;=670,15,30))+IF(C214&lt;=25%,0,IF(C214&lt;=40%,15,30))+IF(E214&lt;=30%,0,IF(E214&lt;=60%,10,20))+IF(F214=0,0,IF(F214=1,10,25))+IF(G214&gt;=5,0,IF(G214&gt;=2,5,10))+IF(H214/B214&lt;=25%,0,IF(H214/B214&lt;=50%,10,20))+IF(I214=36,0,IF(I214=48,3,6))</f>
        <v/>
      </c>
      <c r="L214" s="2">
        <f>850-K214*3.5</f>
        <v/>
      </c>
      <c r="M214" s="9">
        <f>1/(1+EXP(-(-4.2+0.055*K214)))</f>
        <v/>
      </c>
      <c r="N214" s="2">
        <f>IF(K214&lt;20,"A",IF(K214&lt;40,"B",IF(K214&lt;60,"C",IF(K214&lt;80,"D","E"))))</f>
        <v/>
      </c>
      <c r="O214" s="2">
        <f>IF(OR(N214="D",N214="E"),"Enhanced Review",IF(N214="C","Conditional","Approve"))</f>
        <v/>
      </c>
      <c r="P214" s="8">
        <f>H214*M214*45%</f>
        <v/>
      </c>
      <c r="Q214" s="9">
        <f>H214/B214</f>
        <v/>
      </c>
    </row>
    <row r="215">
      <c r="A215" s="11" t="inlineStr">
        <is>
          <t>B0211</t>
        </is>
      </c>
      <c r="B215" s="12" t="n">
        <v>58705</v>
      </c>
      <c r="C215" s="13" t="n">
        <v>0.5002754290630136</v>
      </c>
      <c r="D215" s="11" t="n">
        <v>672</v>
      </c>
      <c r="E215" s="13" t="n">
        <v>0.9682899297563015</v>
      </c>
      <c r="F215" s="11" t="n">
        <v>0</v>
      </c>
      <c r="G215" s="11" t="n">
        <v>3.1</v>
      </c>
      <c r="H215" s="12" t="n">
        <v>14109</v>
      </c>
      <c r="I215" s="11" t="n">
        <v>36</v>
      </c>
      <c r="J215" s="11" t="n">
        <v>0</v>
      </c>
      <c r="K215" s="2">
        <f>IF(D215&gt;=740,0,IF(D215&gt;=670,15,30))+IF(C215&lt;=25%,0,IF(C215&lt;=40%,15,30))+IF(E215&lt;=30%,0,IF(E215&lt;=60%,10,20))+IF(F215=0,0,IF(F215=1,10,25))+IF(G215&gt;=5,0,IF(G215&gt;=2,5,10))+IF(H215/B215&lt;=25%,0,IF(H215/B215&lt;=50%,10,20))+IF(I215=36,0,IF(I215=48,3,6))</f>
        <v/>
      </c>
      <c r="L215" s="2">
        <f>850-K215*3.5</f>
        <v/>
      </c>
      <c r="M215" s="9">
        <f>1/(1+EXP(-(-4.2+0.055*K215)))</f>
        <v/>
      </c>
      <c r="N215" s="2">
        <f>IF(K215&lt;20,"A",IF(K215&lt;40,"B",IF(K215&lt;60,"C",IF(K215&lt;80,"D","E"))))</f>
        <v/>
      </c>
      <c r="O215" s="2">
        <f>IF(OR(N215="D",N215="E"),"Enhanced Review",IF(N215="C","Conditional","Approve"))</f>
        <v/>
      </c>
      <c r="P215" s="8">
        <f>H215*M215*45%</f>
        <v/>
      </c>
      <c r="Q215" s="9">
        <f>H215/B215</f>
        <v/>
      </c>
    </row>
    <row r="216">
      <c r="A216" s="11" t="inlineStr">
        <is>
          <t>B0212</t>
        </is>
      </c>
      <c r="B216" s="12" t="n">
        <v>37476</v>
      </c>
      <c r="C216" s="13" t="n">
        <v>0.4476407023567127</v>
      </c>
      <c r="D216" s="11" t="n">
        <v>721</v>
      </c>
      <c r="E216" s="13" t="n">
        <v>0.601463773924114</v>
      </c>
      <c r="F216" s="11" t="n">
        <v>1</v>
      </c>
      <c r="G216" s="11" t="n">
        <v>7.8</v>
      </c>
      <c r="H216" s="12" t="n">
        <v>15586</v>
      </c>
      <c r="I216" s="11" t="n">
        <v>60</v>
      </c>
      <c r="J216" s="11" t="n">
        <v>1</v>
      </c>
      <c r="K216" s="2">
        <f>IF(D216&gt;=740,0,IF(D216&gt;=670,15,30))+IF(C216&lt;=25%,0,IF(C216&lt;=40%,15,30))+IF(E216&lt;=30%,0,IF(E216&lt;=60%,10,20))+IF(F216=0,0,IF(F216=1,10,25))+IF(G216&gt;=5,0,IF(G216&gt;=2,5,10))+IF(H216/B216&lt;=25%,0,IF(H216/B216&lt;=50%,10,20))+IF(I216=36,0,IF(I216=48,3,6))</f>
        <v/>
      </c>
      <c r="L216" s="2">
        <f>850-K216*3.5</f>
        <v/>
      </c>
      <c r="M216" s="9">
        <f>1/(1+EXP(-(-4.2+0.055*K216)))</f>
        <v/>
      </c>
      <c r="N216" s="2">
        <f>IF(K216&lt;20,"A",IF(K216&lt;40,"B",IF(K216&lt;60,"C",IF(K216&lt;80,"D","E"))))</f>
        <v/>
      </c>
      <c r="O216" s="2">
        <f>IF(OR(N216="D",N216="E"),"Enhanced Review",IF(N216="C","Conditional","Approve"))</f>
        <v/>
      </c>
      <c r="P216" s="8">
        <f>H216*M216*45%</f>
        <v/>
      </c>
      <c r="Q216" s="9">
        <f>H216/B216</f>
        <v/>
      </c>
    </row>
    <row r="217">
      <c r="A217" s="11" t="inlineStr">
        <is>
          <t>B0213</t>
        </is>
      </c>
      <c r="B217" s="12" t="n">
        <v>51334</v>
      </c>
      <c r="C217" s="13" t="n">
        <v>0.2494953775815834</v>
      </c>
      <c r="D217" s="11" t="n">
        <v>611</v>
      </c>
      <c r="E217" s="13" t="n">
        <v>0.2136618735088305</v>
      </c>
      <c r="F217" s="11" t="n">
        <v>2</v>
      </c>
      <c r="G217" s="11" t="n">
        <v>4.8</v>
      </c>
      <c r="H217" s="12" t="n">
        <v>20916</v>
      </c>
      <c r="I217" s="11" t="n">
        <v>60</v>
      </c>
      <c r="J217" s="11" t="n">
        <v>1</v>
      </c>
      <c r="K217" s="2">
        <f>IF(D217&gt;=740,0,IF(D217&gt;=670,15,30))+IF(C217&lt;=25%,0,IF(C217&lt;=40%,15,30))+IF(E217&lt;=30%,0,IF(E217&lt;=60%,10,20))+IF(F217=0,0,IF(F217=1,10,25))+IF(G217&gt;=5,0,IF(G217&gt;=2,5,10))+IF(H217/B217&lt;=25%,0,IF(H217/B217&lt;=50%,10,20))+IF(I217=36,0,IF(I217=48,3,6))</f>
        <v/>
      </c>
      <c r="L217" s="2">
        <f>850-K217*3.5</f>
        <v/>
      </c>
      <c r="M217" s="9">
        <f>1/(1+EXP(-(-4.2+0.055*K217)))</f>
        <v/>
      </c>
      <c r="N217" s="2">
        <f>IF(K217&lt;20,"A",IF(K217&lt;40,"B",IF(K217&lt;60,"C",IF(K217&lt;80,"D","E"))))</f>
        <v/>
      </c>
      <c r="O217" s="2">
        <f>IF(OR(N217="D",N217="E"),"Enhanced Review",IF(N217="C","Conditional","Approve"))</f>
        <v/>
      </c>
      <c r="P217" s="8">
        <f>H217*M217*45%</f>
        <v/>
      </c>
      <c r="Q217" s="9">
        <f>H217/B217</f>
        <v/>
      </c>
    </row>
    <row r="218">
      <c r="A218" s="11" t="inlineStr">
        <is>
          <t>B0214</t>
        </is>
      </c>
      <c r="B218" s="12" t="n">
        <v>46954</v>
      </c>
      <c r="C218" s="13" t="n">
        <v>0.2808168458449913</v>
      </c>
      <c r="D218" s="11" t="n">
        <v>819</v>
      </c>
      <c r="E218" s="13" t="n">
        <v>0.3629641981879885</v>
      </c>
      <c r="F218" s="11" t="n">
        <v>0</v>
      </c>
      <c r="G218" s="11" t="n">
        <v>4.4</v>
      </c>
      <c r="H218" s="12" t="n">
        <v>16833</v>
      </c>
      <c r="I218" s="11" t="n">
        <v>60</v>
      </c>
      <c r="J218" s="11" t="n">
        <v>0</v>
      </c>
      <c r="K218" s="2">
        <f>IF(D218&gt;=740,0,IF(D218&gt;=670,15,30))+IF(C218&lt;=25%,0,IF(C218&lt;=40%,15,30))+IF(E218&lt;=30%,0,IF(E218&lt;=60%,10,20))+IF(F218=0,0,IF(F218=1,10,25))+IF(G218&gt;=5,0,IF(G218&gt;=2,5,10))+IF(H218/B218&lt;=25%,0,IF(H218/B218&lt;=50%,10,20))+IF(I218=36,0,IF(I218=48,3,6))</f>
        <v/>
      </c>
      <c r="L218" s="2">
        <f>850-K218*3.5</f>
        <v/>
      </c>
      <c r="M218" s="9">
        <f>1/(1+EXP(-(-4.2+0.055*K218)))</f>
        <v/>
      </c>
      <c r="N218" s="2">
        <f>IF(K218&lt;20,"A",IF(K218&lt;40,"B",IF(K218&lt;60,"C",IF(K218&lt;80,"D","E"))))</f>
        <v/>
      </c>
      <c r="O218" s="2">
        <f>IF(OR(N218="D",N218="E"),"Enhanced Review",IF(N218="C","Conditional","Approve"))</f>
        <v/>
      </c>
      <c r="P218" s="8">
        <f>H218*M218*45%</f>
        <v/>
      </c>
      <c r="Q218" s="9">
        <f>H218/B218</f>
        <v/>
      </c>
    </row>
    <row r="219">
      <c r="A219" s="11" t="inlineStr">
        <is>
          <t>B0215</t>
        </is>
      </c>
      <c r="B219" s="12" t="n">
        <v>47343</v>
      </c>
      <c r="C219" s="13" t="n">
        <v>0.3153487203623304</v>
      </c>
      <c r="D219" s="11" t="n">
        <v>746</v>
      </c>
      <c r="E219" s="13" t="n">
        <v>0.5856420349338518</v>
      </c>
      <c r="F219" s="11" t="n">
        <v>0</v>
      </c>
      <c r="G219" s="11" t="n">
        <v>2.6</v>
      </c>
      <c r="H219" s="12" t="n">
        <v>13145</v>
      </c>
      <c r="I219" s="11" t="n">
        <v>60</v>
      </c>
      <c r="J219" s="11" t="n">
        <v>0</v>
      </c>
      <c r="K219" s="2">
        <f>IF(D219&gt;=740,0,IF(D219&gt;=670,15,30))+IF(C219&lt;=25%,0,IF(C219&lt;=40%,15,30))+IF(E219&lt;=30%,0,IF(E219&lt;=60%,10,20))+IF(F219=0,0,IF(F219=1,10,25))+IF(G219&gt;=5,0,IF(G219&gt;=2,5,10))+IF(H219/B219&lt;=25%,0,IF(H219/B219&lt;=50%,10,20))+IF(I219=36,0,IF(I219=48,3,6))</f>
        <v/>
      </c>
      <c r="L219" s="2">
        <f>850-K219*3.5</f>
        <v/>
      </c>
      <c r="M219" s="9">
        <f>1/(1+EXP(-(-4.2+0.055*K219)))</f>
        <v/>
      </c>
      <c r="N219" s="2">
        <f>IF(K219&lt;20,"A",IF(K219&lt;40,"B",IF(K219&lt;60,"C",IF(K219&lt;80,"D","E"))))</f>
        <v/>
      </c>
      <c r="O219" s="2">
        <f>IF(OR(N219="D",N219="E"),"Enhanced Review",IF(N219="C","Conditional","Approve"))</f>
        <v/>
      </c>
      <c r="P219" s="8">
        <f>H219*M219*45%</f>
        <v/>
      </c>
      <c r="Q219" s="9">
        <f>H219/B219</f>
        <v/>
      </c>
    </row>
    <row r="220">
      <c r="A220" s="11" t="inlineStr">
        <is>
          <t>B0216</t>
        </is>
      </c>
      <c r="B220" s="12" t="n">
        <v>94102</v>
      </c>
      <c r="C220" s="13" t="n">
        <v>0.2567038551634231</v>
      </c>
      <c r="D220" s="11" t="n">
        <v>781</v>
      </c>
      <c r="E220" s="13" t="n">
        <v>0.2307278010804203</v>
      </c>
      <c r="F220" s="11" t="n">
        <v>0</v>
      </c>
      <c r="G220" s="11" t="n">
        <v>6.2</v>
      </c>
      <c r="H220" s="12" t="n">
        <v>29476</v>
      </c>
      <c r="I220" s="11" t="n">
        <v>36</v>
      </c>
      <c r="J220" s="11" t="n">
        <v>0</v>
      </c>
      <c r="K220" s="2">
        <f>IF(D220&gt;=740,0,IF(D220&gt;=670,15,30))+IF(C220&lt;=25%,0,IF(C220&lt;=40%,15,30))+IF(E220&lt;=30%,0,IF(E220&lt;=60%,10,20))+IF(F220=0,0,IF(F220=1,10,25))+IF(G220&gt;=5,0,IF(G220&gt;=2,5,10))+IF(H220/B220&lt;=25%,0,IF(H220/B220&lt;=50%,10,20))+IF(I220=36,0,IF(I220=48,3,6))</f>
        <v/>
      </c>
      <c r="L220" s="2">
        <f>850-K220*3.5</f>
        <v/>
      </c>
      <c r="M220" s="9">
        <f>1/(1+EXP(-(-4.2+0.055*K220)))</f>
        <v/>
      </c>
      <c r="N220" s="2">
        <f>IF(K220&lt;20,"A",IF(K220&lt;40,"B",IF(K220&lt;60,"C",IF(K220&lt;80,"D","E"))))</f>
        <v/>
      </c>
      <c r="O220" s="2">
        <f>IF(OR(N220="D",N220="E"),"Enhanced Review",IF(N220="C","Conditional","Approve"))</f>
        <v/>
      </c>
      <c r="P220" s="8">
        <f>H220*M220*45%</f>
        <v/>
      </c>
      <c r="Q220" s="9">
        <f>H220/B220</f>
        <v/>
      </c>
    </row>
    <row r="221">
      <c r="A221" s="11" t="inlineStr">
        <is>
          <t>B0217</t>
        </is>
      </c>
      <c r="B221" s="12" t="n">
        <v>75946</v>
      </c>
      <c r="C221" s="13" t="n">
        <v>0.1767386185059242</v>
      </c>
      <c r="D221" s="11" t="n">
        <v>658</v>
      </c>
      <c r="E221" s="13" t="n">
        <v>0.34630151432343</v>
      </c>
      <c r="F221" s="11" t="n">
        <v>0</v>
      </c>
      <c r="G221" s="11" t="n">
        <v>11.4</v>
      </c>
      <c r="H221" s="12" t="n">
        <v>78404</v>
      </c>
      <c r="I221" s="11" t="n">
        <v>36</v>
      </c>
      <c r="J221" s="11" t="n">
        <v>0</v>
      </c>
      <c r="K221" s="2">
        <f>IF(D221&gt;=740,0,IF(D221&gt;=670,15,30))+IF(C221&lt;=25%,0,IF(C221&lt;=40%,15,30))+IF(E221&lt;=30%,0,IF(E221&lt;=60%,10,20))+IF(F221=0,0,IF(F221=1,10,25))+IF(G221&gt;=5,0,IF(G221&gt;=2,5,10))+IF(H221/B221&lt;=25%,0,IF(H221/B221&lt;=50%,10,20))+IF(I221=36,0,IF(I221=48,3,6))</f>
        <v/>
      </c>
      <c r="L221" s="2">
        <f>850-K221*3.5</f>
        <v/>
      </c>
      <c r="M221" s="9">
        <f>1/(1+EXP(-(-4.2+0.055*K221)))</f>
        <v/>
      </c>
      <c r="N221" s="2">
        <f>IF(K221&lt;20,"A",IF(K221&lt;40,"B",IF(K221&lt;60,"C",IF(K221&lt;80,"D","E"))))</f>
        <v/>
      </c>
      <c r="O221" s="2">
        <f>IF(OR(N221="D",N221="E"),"Enhanced Review",IF(N221="C","Conditional","Approve"))</f>
        <v/>
      </c>
      <c r="P221" s="8">
        <f>H221*M221*45%</f>
        <v/>
      </c>
      <c r="Q221" s="9">
        <f>H221/B221</f>
        <v/>
      </c>
    </row>
    <row r="222">
      <c r="A222" s="11" t="inlineStr">
        <is>
          <t>B0218</t>
        </is>
      </c>
      <c r="B222" s="12" t="n">
        <v>109418</v>
      </c>
      <c r="C222" s="13" t="n">
        <v>0.4730579544966215</v>
      </c>
      <c r="D222" s="11" t="n">
        <v>726</v>
      </c>
      <c r="E222" s="13" t="n">
        <v>0.9151010633031772</v>
      </c>
      <c r="F222" s="11" t="n">
        <v>0</v>
      </c>
      <c r="G222" s="11" t="n">
        <v>9.199999999999999</v>
      </c>
      <c r="H222" s="12" t="n">
        <v>28482</v>
      </c>
      <c r="I222" s="11" t="n">
        <v>36</v>
      </c>
      <c r="J222" s="11" t="n">
        <v>1</v>
      </c>
      <c r="K222" s="2">
        <f>IF(D222&gt;=740,0,IF(D222&gt;=670,15,30))+IF(C222&lt;=25%,0,IF(C222&lt;=40%,15,30))+IF(E222&lt;=30%,0,IF(E222&lt;=60%,10,20))+IF(F222=0,0,IF(F222=1,10,25))+IF(G222&gt;=5,0,IF(G222&gt;=2,5,10))+IF(H222/B222&lt;=25%,0,IF(H222/B222&lt;=50%,10,20))+IF(I222=36,0,IF(I222=48,3,6))</f>
        <v/>
      </c>
      <c r="L222" s="2">
        <f>850-K222*3.5</f>
        <v/>
      </c>
      <c r="M222" s="9">
        <f>1/(1+EXP(-(-4.2+0.055*K222)))</f>
        <v/>
      </c>
      <c r="N222" s="2">
        <f>IF(K222&lt;20,"A",IF(K222&lt;40,"B",IF(K222&lt;60,"C",IF(K222&lt;80,"D","E"))))</f>
        <v/>
      </c>
      <c r="O222" s="2">
        <f>IF(OR(N222="D",N222="E"),"Enhanced Review",IF(N222="C","Conditional","Approve"))</f>
        <v/>
      </c>
      <c r="P222" s="8">
        <f>H222*M222*45%</f>
        <v/>
      </c>
      <c r="Q222" s="9">
        <f>H222/B222</f>
        <v/>
      </c>
    </row>
    <row r="223">
      <c r="A223" s="11" t="inlineStr">
        <is>
          <t>B0219</t>
        </is>
      </c>
      <c r="B223" s="12" t="n">
        <v>129275</v>
      </c>
      <c r="C223" s="13" t="n">
        <v>0.1652853110484198</v>
      </c>
      <c r="D223" s="11" t="n">
        <v>725</v>
      </c>
      <c r="E223" s="13" t="n">
        <v>0.3674688815738569</v>
      </c>
      <c r="F223" s="11" t="n">
        <v>1</v>
      </c>
      <c r="G223" s="11" t="n">
        <v>3.6</v>
      </c>
      <c r="H223" s="12" t="n">
        <v>20313</v>
      </c>
      <c r="I223" s="11" t="n">
        <v>60</v>
      </c>
      <c r="J223" s="11" t="n">
        <v>0</v>
      </c>
      <c r="K223" s="2">
        <f>IF(D223&gt;=740,0,IF(D223&gt;=670,15,30))+IF(C223&lt;=25%,0,IF(C223&lt;=40%,15,30))+IF(E223&lt;=30%,0,IF(E223&lt;=60%,10,20))+IF(F223=0,0,IF(F223=1,10,25))+IF(G223&gt;=5,0,IF(G223&gt;=2,5,10))+IF(H223/B223&lt;=25%,0,IF(H223/B223&lt;=50%,10,20))+IF(I223=36,0,IF(I223=48,3,6))</f>
        <v/>
      </c>
      <c r="L223" s="2">
        <f>850-K223*3.5</f>
        <v/>
      </c>
      <c r="M223" s="9">
        <f>1/(1+EXP(-(-4.2+0.055*K223)))</f>
        <v/>
      </c>
      <c r="N223" s="2">
        <f>IF(K223&lt;20,"A",IF(K223&lt;40,"B",IF(K223&lt;60,"C",IF(K223&lt;80,"D","E"))))</f>
        <v/>
      </c>
      <c r="O223" s="2">
        <f>IF(OR(N223="D",N223="E"),"Enhanced Review",IF(N223="C","Conditional","Approve"))</f>
        <v/>
      </c>
      <c r="P223" s="8">
        <f>H223*M223*45%</f>
        <v/>
      </c>
      <c r="Q223" s="9">
        <f>H223/B223</f>
        <v/>
      </c>
    </row>
    <row r="224">
      <c r="A224" s="11" t="inlineStr">
        <is>
          <t>B0220</t>
        </is>
      </c>
      <c r="B224" s="12" t="n">
        <v>88252</v>
      </c>
      <c r="C224" s="13" t="n">
        <v>0.1088906764682199</v>
      </c>
      <c r="D224" s="11" t="n">
        <v>672</v>
      </c>
      <c r="E224" s="13" t="n">
        <v>0.6420420194827694</v>
      </c>
      <c r="F224" s="11" t="n">
        <v>0</v>
      </c>
      <c r="G224" s="11" t="n">
        <v>1.3</v>
      </c>
      <c r="H224" s="12" t="n">
        <v>58565</v>
      </c>
      <c r="I224" s="11" t="n">
        <v>60</v>
      </c>
      <c r="J224" s="11" t="n">
        <v>0</v>
      </c>
      <c r="K224" s="2">
        <f>IF(D224&gt;=740,0,IF(D224&gt;=670,15,30))+IF(C224&lt;=25%,0,IF(C224&lt;=40%,15,30))+IF(E224&lt;=30%,0,IF(E224&lt;=60%,10,20))+IF(F224=0,0,IF(F224=1,10,25))+IF(G224&gt;=5,0,IF(G224&gt;=2,5,10))+IF(H224/B224&lt;=25%,0,IF(H224/B224&lt;=50%,10,20))+IF(I224=36,0,IF(I224=48,3,6))</f>
        <v/>
      </c>
      <c r="L224" s="2">
        <f>850-K224*3.5</f>
        <v/>
      </c>
      <c r="M224" s="9">
        <f>1/(1+EXP(-(-4.2+0.055*K224)))</f>
        <v/>
      </c>
      <c r="N224" s="2">
        <f>IF(K224&lt;20,"A",IF(K224&lt;40,"B",IF(K224&lt;60,"C",IF(K224&lt;80,"D","E"))))</f>
        <v/>
      </c>
      <c r="O224" s="2">
        <f>IF(OR(N224="D",N224="E"),"Enhanced Review",IF(N224="C","Conditional","Approve"))</f>
        <v/>
      </c>
      <c r="P224" s="8">
        <f>H224*M224*45%</f>
        <v/>
      </c>
      <c r="Q224" s="9">
        <f>H224/B224</f>
        <v/>
      </c>
    </row>
    <row r="225">
      <c r="A225" s="11" t="inlineStr">
        <is>
          <t>B0221</t>
        </is>
      </c>
      <c r="B225" s="12" t="n">
        <v>168119</v>
      </c>
      <c r="C225" s="13" t="n">
        <v>0.2556923481236115</v>
      </c>
      <c r="D225" s="11" t="n">
        <v>743</v>
      </c>
      <c r="E225" s="13" t="n">
        <v>0.6940663112374638</v>
      </c>
      <c r="F225" s="11" t="n">
        <v>1</v>
      </c>
      <c r="G225" s="11" t="n">
        <v>6.6</v>
      </c>
      <c r="H225" s="12" t="n">
        <v>31797</v>
      </c>
      <c r="I225" s="11" t="n">
        <v>36</v>
      </c>
      <c r="J225" s="11" t="n">
        <v>0</v>
      </c>
      <c r="K225" s="2">
        <f>IF(D225&gt;=740,0,IF(D225&gt;=670,15,30))+IF(C225&lt;=25%,0,IF(C225&lt;=40%,15,30))+IF(E225&lt;=30%,0,IF(E225&lt;=60%,10,20))+IF(F225=0,0,IF(F225=1,10,25))+IF(G225&gt;=5,0,IF(G225&gt;=2,5,10))+IF(H225/B225&lt;=25%,0,IF(H225/B225&lt;=50%,10,20))+IF(I225=36,0,IF(I225=48,3,6))</f>
        <v/>
      </c>
      <c r="L225" s="2">
        <f>850-K225*3.5</f>
        <v/>
      </c>
      <c r="M225" s="9">
        <f>1/(1+EXP(-(-4.2+0.055*K225)))</f>
        <v/>
      </c>
      <c r="N225" s="2">
        <f>IF(K225&lt;20,"A",IF(K225&lt;40,"B",IF(K225&lt;60,"C",IF(K225&lt;80,"D","E"))))</f>
        <v/>
      </c>
      <c r="O225" s="2">
        <f>IF(OR(N225="D",N225="E"),"Enhanced Review",IF(N225="C","Conditional","Approve"))</f>
        <v/>
      </c>
      <c r="P225" s="8">
        <f>H225*M225*45%</f>
        <v/>
      </c>
      <c r="Q225" s="9">
        <f>H225/B225</f>
        <v/>
      </c>
    </row>
    <row r="226">
      <c r="A226" s="11" t="inlineStr">
        <is>
          <t>B0222</t>
        </is>
      </c>
      <c r="B226" s="12" t="n">
        <v>71837</v>
      </c>
      <c r="C226" s="13" t="n">
        <v>0.3389811038600692</v>
      </c>
      <c r="D226" s="11" t="n">
        <v>688</v>
      </c>
      <c r="E226" s="13" t="n">
        <v>0.6321172580644412</v>
      </c>
      <c r="F226" s="11" t="n">
        <v>1</v>
      </c>
      <c r="G226" s="11" t="n">
        <v>6.8</v>
      </c>
      <c r="H226" s="12" t="n">
        <v>7884</v>
      </c>
      <c r="I226" s="11" t="n">
        <v>48</v>
      </c>
      <c r="J226" s="11" t="n">
        <v>1</v>
      </c>
      <c r="K226" s="2">
        <f>IF(D226&gt;=740,0,IF(D226&gt;=670,15,30))+IF(C226&lt;=25%,0,IF(C226&lt;=40%,15,30))+IF(E226&lt;=30%,0,IF(E226&lt;=60%,10,20))+IF(F226=0,0,IF(F226=1,10,25))+IF(G226&gt;=5,0,IF(G226&gt;=2,5,10))+IF(H226/B226&lt;=25%,0,IF(H226/B226&lt;=50%,10,20))+IF(I226=36,0,IF(I226=48,3,6))</f>
        <v/>
      </c>
      <c r="L226" s="2">
        <f>850-K226*3.5</f>
        <v/>
      </c>
      <c r="M226" s="9">
        <f>1/(1+EXP(-(-4.2+0.055*K226)))</f>
        <v/>
      </c>
      <c r="N226" s="2">
        <f>IF(K226&lt;20,"A",IF(K226&lt;40,"B",IF(K226&lt;60,"C",IF(K226&lt;80,"D","E"))))</f>
        <v/>
      </c>
      <c r="O226" s="2">
        <f>IF(OR(N226="D",N226="E"),"Enhanced Review",IF(N226="C","Conditional","Approve"))</f>
        <v/>
      </c>
      <c r="P226" s="8">
        <f>H226*M226*45%</f>
        <v/>
      </c>
      <c r="Q226" s="9">
        <f>H226/B226</f>
        <v/>
      </c>
    </row>
    <row r="227">
      <c r="A227" s="11" t="inlineStr">
        <is>
          <t>B0223</t>
        </is>
      </c>
      <c r="B227" s="12" t="n">
        <v>80408</v>
      </c>
      <c r="C227" s="13" t="n">
        <v>0.08043525827276408</v>
      </c>
      <c r="D227" s="11" t="n">
        <v>582</v>
      </c>
      <c r="E227" s="13" t="n">
        <v>0.5780187489943419</v>
      </c>
      <c r="F227" s="11" t="n">
        <v>0</v>
      </c>
      <c r="G227" s="11" t="n">
        <v>5.8</v>
      </c>
      <c r="H227" s="12" t="n">
        <v>19575</v>
      </c>
      <c r="I227" s="11" t="n">
        <v>60</v>
      </c>
      <c r="J227" s="11" t="n">
        <v>0</v>
      </c>
      <c r="K227" s="2">
        <f>IF(D227&gt;=740,0,IF(D227&gt;=670,15,30))+IF(C227&lt;=25%,0,IF(C227&lt;=40%,15,30))+IF(E227&lt;=30%,0,IF(E227&lt;=60%,10,20))+IF(F227=0,0,IF(F227=1,10,25))+IF(G227&gt;=5,0,IF(G227&gt;=2,5,10))+IF(H227/B227&lt;=25%,0,IF(H227/B227&lt;=50%,10,20))+IF(I227=36,0,IF(I227=48,3,6))</f>
        <v/>
      </c>
      <c r="L227" s="2">
        <f>850-K227*3.5</f>
        <v/>
      </c>
      <c r="M227" s="9">
        <f>1/(1+EXP(-(-4.2+0.055*K227)))</f>
        <v/>
      </c>
      <c r="N227" s="2">
        <f>IF(K227&lt;20,"A",IF(K227&lt;40,"B",IF(K227&lt;60,"C",IF(K227&lt;80,"D","E"))))</f>
        <v/>
      </c>
      <c r="O227" s="2">
        <f>IF(OR(N227="D",N227="E"),"Enhanced Review",IF(N227="C","Conditional","Approve"))</f>
        <v/>
      </c>
      <c r="P227" s="8">
        <f>H227*M227*45%</f>
        <v/>
      </c>
      <c r="Q227" s="9">
        <f>H227/B227</f>
        <v/>
      </c>
    </row>
    <row r="228">
      <c r="A228" s="11" t="inlineStr">
        <is>
          <t>B0224</t>
        </is>
      </c>
      <c r="B228" s="12" t="n">
        <v>104219</v>
      </c>
      <c r="C228" s="13" t="n">
        <v>0.3436058015618914</v>
      </c>
      <c r="D228" s="11" t="n">
        <v>573</v>
      </c>
      <c r="E228" s="13" t="n">
        <v>0.5212835994677329</v>
      </c>
      <c r="F228" s="11" t="n">
        <v>0</v>
      </c>
      <c r="G228" s="11" t="n">
        <v>3.9</v>
      </c>
      <c r="H228" s="12" t="n">
        <v>18346</v>
      </c>
      <c r="I228" s="11" t="n">
        <v>48</v>
      </c>
      <c r="J228" s="11" t="n">
        <v>1</v>
      </c>
      <c r="K228" s="2">
        <f>IF(D228&gt;=740,0,IF(D228&gt;=670,15,30))+IF(C228&lt;=25%,0,IF(C228&lt;=40%,15,30))+IF(E228&lt;=30%,0,IF(E228&lt;=60%,10,20))+IF(F228=0,0,IF(F228=1,10,25))+IF(G228&gt;=5,0,IF(G228&gt;=2,5,10))+IF(H228/B228&lt;=25%,0,IF(H228/B228&lt;=50%,10,20))+IF(I228=36,0,IF(I228=48,3,6))</f>
        <v/>
      </c>
      <c r="L228" s="2">
        <f>850-K228*3.5</f>
        <v/>
      </c>
      <c r="M228" s="9">
        <f>1/(1+EXP(-(-4.2+0.055*K228)))</f>
        <v/>
      </c>
      <c r="N228" s="2">
        <f>IF(K228&lt;20,"A",IF(K228&lt;40,"B",IF(K228&lt;60,"C",IF(K228&lt;80,"D","E"))))</f>
        <v/>
      </c>
      <c r="O228" s="2">
        <f>IF(OR(N228="D",N228="E"),"Enhanced Review",IF(N228="C","Conditional","Approve"))</f>
        <v/>
      </c>
      <c r="P228" s="8">
        <f>H228*M228*45%</f>
        <v/>
      </c>
      <c r="Q228" s="9">
        <f>H228/B228</f>
        <v/>
      </c>
    </row>
    <row r="229">
      <c r="A229" s="11" t="inlineStr">
        <is>
          <t>B0225</t>
        </is>
      </c>
      <c r="B229" s="12" t="n">
        <v>147709</v>
      </c>
      <c r="C229" s="13" t="n">
        <v>0.3227333239644888</v>
      </c>
      <c r="D229" s="11" t="n">
        <v>689</v>
      </c>
      <c r="E229" s="13" t="n">
        <v>0.5428908329601695</v>
      </c>
      <c r="F229" s="11" t="n">
        <v>0</v>
      </c>
      <c r="G229" s="11" t="n">
        <v>10.6</v>
      </c>
      <c r="H229" s="12" t="n">
        <v>13167</v>
      </c>
      <c r="I229" s="11" t="n">
        <v>60</v>
      </c>
      <c r="J229" s="11" t="n">
        <v>0</v>
      </c>
      <c r="K229" s="2">
        <f>IF(D229&gt;=740,0,IF(D229&gt;=670,15,30))+IF(C229&lt;=25%,0,IF(C229&lt;=40%,15,30))+IF(E229&lt;=30%,0,IF(E229&lt;=60%,10,20))+IF(F229=0,0,IF(F229=1,10,25))+IF(G229&gt;=5,0,IF(G229&gt;=2,5,10))+IF(H229/B229&lt;=25%,0,IF(H229/B229&lt;=50%,10,20))+IF(I229=36,0,IF(I229=48,3,6))</f>
        <v/>
      </c>
      <c r="L229" s="2">
        <f>850-K229*3.5</f>
        <v/>
      </c>
      <c r="M229" s="9">
        <f>1/(1+EXP(-(-4.2+0.055*K229)))</f>
        <v/>
      </c>
      <c r="N229" s="2">
        <f>IF(K229&lt;20,"A",IF(K229&lt;40,"B",IF(K229&lt;60,"C",IF(K229&lt;80,"D","E"))))</f>
        <v/>
      </c>
      <c r="O229" s="2">
        <f>IF(OR(N229="D",N229="E"),"Enhanced Review",IF(N229="C","Conditional","Approve"))</f>
        <v/>
      </c>
      <c r="P229" s="8">
        <f>H229*M229*45%</f>
        <v/>
      </c>
      <c r="Q229" s="9">
        <f>H229/B229</f>
        <v/>
      </c>
    </row>
    <row r="230">
      <c r="A230" s="11" t="inlineStr">
        <is>
          <t>B0226</t>
        </is>
      </c>
      <c r="B230" s="12" t="n">
        <v>82424</v>
      </c>
      <c r="C230" s="13" t="n">
        <v>0.07205163623671842</v>
      </c>
      <c r="D230" s="11" t="n">
        <v>627</v>
      </c>
      <c r="E230" s="13" t="n">
        <v>0.4531133351563734</v>
      </c>
      <c r="F230" s="11" t="n">
        <v>1</v>
      </c>
      <c r="G230" s="11" t="n">
        <v>5.2</v>
      </c>
      <c r="H230" s="12" t="n">
        <v>21200</v>
      </c>
      <c r="I230" s="11" t="n">
        <v>48</v>
      </c>
      <c r="J230" s="11" t="n">
        <v>0</v>
      </c>
      <c r="K230" s="2">
        <f>IF(D230&gt;=740,0,IF(D230&gt;=670,15,30))+IF(C230&lt;=25%,0,IF(C230&lt;=40%,15,30))+IF(E230&lt;=30%,0,IF(E230&lt;=60%,10,20))+IF(F230=0,0,IF(F230=1,10,25))+IF(G230&gt;=5,0,IF(G230&gt;=2,5,10))+IF(H230/B230&lt;=25%,0,IF(H230/B230&lt;=50%,10,20))+IF(I230=36,0,IF(I230=48,3,6))</f>
        <v/>
      </c>
      <c r="L230" s="2">
        <f>850-K230*3.5</f>
        <v/>
      </c>
      <c r="M230" s="9">
        <f>1/(1+EXP(-(-4.2+0.055*K230)))</f>
        <v/>
      </c>
      <c r="N230" s="2">
        <f>IF(K230&lt;20,"A",IF(K230&lt;40,"B",IF(K230&lt;60,"C",IF(K230&lt;80,"D","E"))))</f>
        <v/>
      </c>
      <c r="O230" s="2">
        <f>IF(OR(N230="D",N230="E"),"Enhanced Review",IF(N230="C","Conditional","Approve"))</f>
        <v/>
      </c>
      <c r="P230" s="8">
        <f>H230*M230*45%</f>
        <v/>
      </c>
      <c r="Q230" s="9">
        <f>H230/B230</f>
        <v/>
      </c>
    </row>
    <row r="231">
      <c r="A231" s="11" t="inlineStr">
        <is>
          <t>B0227</t>
        </is>
      </c>
      <c r="B231" s="12" t="n">
        <v>26422</v>
      </c>
      <c r="C231" s="13" t="n">
        <v>0.4207670988037024</v>
      </c>
      <c r="D231" s="11" t="n">
        <v>721</v>
      </c>
      <c r="E231" s="13" t="n">
        <v>0.5015260196769138</v>
      </c>
      <c r="F231" s="11" t="n">
        <v>0</v>
      </c>
      <c r="G231" s="11" t="n">
        <v>7.3</v>
      </c>
      <c r="H231" s="12" t="n">
        <v>8235</v>
      </c>
      <c r="I231" s="11" t="n">
        <v>36</v>
      </c>
      <c r="J231" s="11" t="n">
        <v>0</v>
      </c>
      <c r="K231" s="2">
        <f>IF(D231&gt;=740,0,IF(D231&gt;=670,15,30))+IF(C231&lt;=25%,0,IF(C231&lt;=40%,15,30))+IF(E231&lt;=30%,0,IF(E231&lt;=60%,10,20))+IF(F231=0,0,IF(F231=1,10,25))+IF(G231&gt;=5,0,IF(G231&gt;=2,5,10))+IF(H231/B231&lt;=25%,0,IF(H231/B231&lt;=50%,10,20))+IF(I231=36,0,IF(I231=48,3,6))</f>
        <v/>
      </c>
      <c r="L231" s="2">
        <f>850-K231*3.5</f>
        <v/>
      </c>
      <c r="M231" s="9">
        <f>1/(1+EXP(-(-4.2+0.055*K231)))</f>
        <v/>
      </c>
      <c r="N231" s="2">
        <f>IF(K231&lt;20,"A",IF(K231&lt;40,"B",IF(K231&lt;60,"C",IF(K231&lt;80,"D","E"))))</f>
        <v/>
      </c>
      <c r="O231" s="2">
        <f>IF(OR(N231="D",N231="E"),"Enhanced Review",IF(N231="C","Conditional","Approve"))</f>
        <v/>
      </c>
      <c r="P231" s="8">
        <f>H231*M231*45%</f>
        <v/>
      </c>
      <c r="Q231" s="9">
        <f>H231/B231</f>
        <v/>
      </c>
    </row>
    <row r="232">
      <c r="A232" s="11" t="inlineStr">
        <is>
          <t>B0228</t>
        </is>
      </c>
      <c r="B232" s="12" t="n">
        <v>99121</v>
      </c>
      <c r="C232" s="13" t="n">
        <v>0.08993241886196347</v>
      </c>
      <c r="D232" s="11" t="n">
        <v>690</v>
      </c>
      <c r="E232" s="13" t="n">
        <v>0.3431663200890676</v>
      </c>
      <c r="F232" s="11" t="n">
        <v>1</v>
      </c>
      <c r="G232" s="11" t="n">
        <v>8.199999999999999</v>
      </c>
      <c r="H232" s="12" t="n">
        <v>19129</v>
      </c>
      <c r="I232" s="11" t="n">
        <v>60</v>
      </c>
      <c r="J232" s="11" t="n">
        <v>0</v>
      </c>
      <c r="K232" s="2">
        <f>IF(D232&gt;=740,0,IF(D232&gt;=670,15,30))+IF(C232&lt;=25%,0,IF(C232&lt;=40%,15,30))+IF(E232&lt;=30%,0,IF(E232&lt;=60%,10,20))+IF(F232=0,0,IF(F232=1,10,25))+IF(G232&gt;=5,0,IF(G232&gt;=2,5,10))+IF(H232/B232&lt;=25%,0,IF(H232/B232&lt;=50%,10,20))+IF(I232=36,0,IF(I232=48,3,6))</f>
        <v/>
      </c>
      <c r="L232" s="2">
        <f>850-K232*3.5</f>
        <v/>
      </c>
      <c r="M232" s="9">
        <f>1/(1+EXP(-(-4.2+0.055*K232)))</f>
        <v/>
      </c>
      <c r="N232" s="2">
        <f>IF(K232&lt;20,"A",IF(K232&lt;40,"B",IF(K232&lt;60,"C",IF(K232&lt;80,"D","E"))))</f>
        <v/>
      </c>
      <c r="O232" s="2">
        <f>IF(OR(N232="D",N232="E"),"Enhanced Review",IF(N232="C","Conditional","Approve"))</f>
        <v/>
      </c>
      <c r="P232" s="8">
        <f>H232*M232*45%</f>
        <v/>
      </c>
      <c r="Q232" s="9">
        <f>H232/B232</f>
        <v/>
      </c>
    </row>
    <row r="233">
      <c r="A233" s="11" t="inlineStr">
        <is>
          <t>B0229</t>
        </is>
      </c>
      <c r="B233" s="12" t="n">
        <v>60892</v>
      </c>
      <c r="C233" s="13" t="n">
        <v>0.273584339160794</v>
      </c>
      <c r="D233" s="11" t="n">
        <v>675</v>
      </c>
      <c r="E233" s="13" t="n">
        <v>0.3625296011881489</v>
      </c>
      <c r="F233" s="11" t="n">
        <v>1</v>
      </c>
      <c r="G233" s="11" t="n">
        <v>2.1</v>
      </c>
      <c r="H233" s="12" t="n">
        <v>22269</v>
      </c>
      <c r="I233" s="11" t="n">
        <v>60</v>
      </c>
      <c r="J233" s="11" t="n">
        <v>1</v>
      </c>
      <c r="K233" s="2">
        <f>IF(D233&gt;=740,0,IF(D233&gt;=670,15,30))+IF(C233&lt;=25%,0,IF(C233&lt;=40%,15,30))+IF(E233&lt;=30%,0,IF(E233&lt;=60%,10,20))+IF(F233=0,0,IF(F233=1,10,25))+IF(G233&gt;=5,0,IF(G233&gt;=2,5,10))+IF(H233/B233&lt;=25%,0,IF(H233/B233&lt;=50%,10,20))+IF(I233=36,0,IF(I233=48,3,6))</f>
        <v/>
      </c>
      <c r="L233" s="2">
        <f>850-K233*3.5</f>
        <v/>
      </c>
      <c r="M233" s="9">
        <f>1/(1+EXP(-(-4.2+0.055*K233)))</f>
        <v/>
      </c>
      <c r="N233" s="2">
        <f>IF(K233&lt;20,"A",IF(K233&lt;40,"B",IF(K233&lt;60,"C",IF(K233&lt;80,"D","E"))))</f>
        <v/>
      </c>
      <c r="O233" s="2">
        <f>IF(OR(N233="D",N233="E"),"Enhanced Review",IF(N233="C","Conditional","Approve"))</f>
        <v/>
      </c>
      <c r="P233" s="8">
        <f>H233*M233*45%</f>
        <v/>
      </c>
      <c r="Q233" s="9">
        <f>H233/B233</f>
        <v/>
      </c>
    </row>
    <row r="234">
      <c r="A234" s="11" t="inlineStr">
        <is>
          <t>B0230</t>
        </is>
      </c>
      <c r="B234" s="12" t="n">
        <v>53442</v>
      </c>
      <c r="C234" s="13" t="n">
        <v>0.2381490842620873</v>
      </c>
      <c r="D234" s="11" t="n">
        <v>683</v>
      </c>
      <c r="E234" s="13" t="n">
        <v>0.5492583112266604</v>
      </c>
      <c r="F234" s="11" t="n">
        <v>0</v>
      </c>
      <c r="G234" s="11" t="n">
        <v>11.3</v>
      </c>
      <c r="H234" s="12" t="n">
        <v>18430</v>
      </c>
      <c r="I234" s="11" t="n">
        <v>48</v>
      </c>
      <c r="J234" s="11" t="n">
        <v>0</v>
      </c>
      <c r="K234" s="2">
        <f>IF(D234&gt;=740,0,IF(D234&gt;=670,15,30))+IF(C234&lt;=25%,0,IF(C234&lt;=40%,15,30))+IF(E234&lt;=30%,0,IF(E234&lt;=60%,10,20))+IF(F234=0,0,IF(F234=1,10,25))+IF(G234&gt;=5,0,IF(G234&gt;=2,5,10))+IF(H234/B234&lt;=25%,0,IF(H234/B234&lt;=50%,10,20))+IF(I234=36,0,IF(I234=48,3,6))</f>
        <v/>
      </c>
      <c r="L234" s="2">
        <f>850-K234*3.5</f>
        <v/>
      </c>
      <c r="M234" s="9">
        <f>1/(1+EXP(-(-4.2+0.055*K234)))</f>
        <v/>
      </c>
      <c r="N234" s="2">
        <f>IF(K234&lt;20,"A",IF(K234&lt;40,"B",IF(K234&lt;60,"C",IF(K234&lt;80,"D","E"))))</f>
        <v/>
      </c>
      <c r="O234" s="2">
        <f>IF(OR(N234="D",N234="E"),"Enhanced Review",IF(N234="C","Conditional","Approve"))</f>
        <v/>
      </c>
      <c r="P234" s="8">
        <f>H234*M234*45%</f>
        <v/>
      </c>
      <c r="Q234" s="9">
        <f>H234/B234</f>
        <v/>
      </c>
    </row>
    <row r="235">
      <c r="A235" s="11" t="inlineStr">
        <is>
          <t>B0231</t>
        </is>
      </c>
      <c r="B235" s="12" t="n">
        <v>59267</v>
      </c>
      <c r="C235" s="13" t="n">
        <v>0.0474799863921405</v>
      </c>
      <c r="D235" s="11" t="n">
        <v>611</v>
      </c>
      <c r="E235" s="13" t="n">
        <v>0.4533368093292435</v>
      </c>
      <c r="F235" s="11" t="n">
        <v>0</v>
      </c>
      <c r="G235" s="11" t="n">
        <v>3.5</v>
      </c>
      <c r="H235" s="12" t="n">
        <v>18607</v>
      </c>
      <c r="I235" s="11" t="n">
        <v>60</v>
      </c>
      <c r="J235" s="11" t="n">
        <v>0</v>
      </c>
      <c r="K235" s="2">
        <f>IF(D235&gt;=740,0,IF(D235&gt;=670,15,30))+IF(C235&lt;=25%,0,IF(C235&lt;=40%,15,30))+IF(E235&lt;=30%,0,IF(E235&lt;=60%,10,20))+IF(F235=0,0,IF(F235=1,10,25))+IF(G235&gt;=5,0,IF(G235&gt;=2,5,10))+IF(H235/B235&lt;=25%,0,IF(H235/B235&lt;=50%,10,20))+IF(I235=36,0,IF(I235=48,3,6))</f>
        <v/>
      </c>
      <c r="L235" s="2">
        <f>850-K235*3.5</f>
        <v/>
      </c>
      <c r="M235" s="9">
        <f>1/(1+EXP(-(-4.2+0.055*K235)))</f>
        <v/>
      </c>
      <c r="N235" s="2">
        <f>IF(K235&lt;20,"A",IF(K235&lt;40,"B",IF(K235&lt;60,"C",IF(K235&lt;80,"D","E"))))</f>
        <v/>
      </c>
      <c r="O235" s="2">
        <f>IF(OR(N235="D",N235="E"),"Enhanced Review",IF(N235="C","Conditional","Approve"))</f>
        <v/>
      </c>
      <c r="P235" s="8">
        <f>H235*M235*45%</f>
        <v/>
      </c>
      <c r="Q235" s="9">
        <f>H235/B235</f>
        <v/>
      </c>
    </row>
    <row r="236">
      <c r="A236" s="11" t="inlineStr">
        <is>
          <t>B0232</t>
        </is>
      </c>
      <c r="B236" s="12" t="n">
        <v>79977</v>
      </c>
      <c r="C236" s="13" t="n">
        <v>0.0887795514905458</v>
      </c>
      <c r="D236" s="11" t="n">
        <v>691</v>
      </c>
      <c r="E236" s="13" t="n">
        <v>0.4328891732384664</v>
      </c>
      <c r="F236" s="11" t="n">
        <v>0</v>
      </c>
      <c r="G236" s="11" t="n">
        <v>10.3</v>
      </c>
      <c r="H236" s="12" t="n">
        <v>10382</v>
      </c>
      <c r="I236" s="11" t="n">
        <v>36</v>
      </c>
      <c r="J236" s="11" t="n">
        <v>0</v>
      </c>
      <c r="K236" s="2">
        <f>IF(D236&gt;=740,0,IF(D236&gt;=670,15,30))+IF(C236&lt;=25%,0,IF(C236&lt;=40%,15,30))+IF(E236&lt;=30%,0,IF(E236&lt;=60%,10,20))+IF(F236=0,0,IF(F236=1,10,25))+IF(G236&gt;=5,0,IF(G236&gt;=2,5,10))+IF(H236/B236&lt;=25%,0,IF(H236/B236&lt;=50%,10,20))+IF(I236=36,0,IF(I236=48,3,6))</f>
        <v/>
      </c>
      <c r="L236" s="2">
        <f>850-K236*3.5</f>
        <v/>
      </c>
      <c r="M236" s="9">
        <f>1/(1+EXP(-(-4.2+0.055*K236)))</f>
        <v/>
      </c>
      <c r="N236" s="2">
        <f>IF(K236&lt;20,"A",IF(K236&lt;40,"B",IF(K236&lt;60,"C",IF(K236&lt;80,"D","E"))))</f>
        <v/>
      </c>
      <c r="O236" s="2">
        <f>IF(OR(N236="D",N236="E"),"Enhanced Review",IF(N236="C","Conditional","Approve"))</f>
        <v/>
      </c>
      <c r="P236" s="8">
        <f>H236*M236*45%</f>
        <v/>
      </c>
      <c r="Q236" s="9">
        <f>H236/B236</f>
        <v/>
      </c>
    </row>
    <row r="237">
      <c r="A237" s="11" t="inlineStr">
        <is>
          <t>B0233</t>
        </is>
      </c>
      <c r="B237" s="12" t="n">
        <v>138541</v>
      </c>
      <c r="C237" s="13" t="n">
        <v>0.2274384239884291</v>
      </c>
      <c r="D237" s="11" t="n">
        <v>656</v>
      </c>
      <c r="E237" s="13" t="n">
        <v>0.1960217145429255</v>
      </c>
      <c r="F237" s="11" t="n">
        <v>0</v>
      </c>
      <c r="G237" s="11" t="n">
        <v>14.5</v>
      </c>
      <c r="H237" s="12" t="n">
        <v>56503</v>
      </c>
      <c r="I237" s="11" t="n">
        <v>48</v>
      </c>
      <c r="J237" s="11" t="n">
        <v>0</v>
      </c>
      <c r="K237" s="2">
        <f>IF(D237&gt;=740,0,IF(D237&gt;=670,15,30))+IF(C237&lt;=25%,0,IF(C237&lt;=40%,15,30))+IF(E237&lt;=30%,0,IF(E237&lt;=60%,10,20))+IF(F237=0,0,IF(F237=1,10,25))+IF(G237&gt;=5,0,IF(G237&gt;=2,5,10))+IF(H237/B237&lt;=25%,0,IF(H237/B237&lt;=50%,10,20))+IF(I237=36,0,IF(I237=48,3,6))</f>
        <v/>
      </c>
      <c r="L237" s="2">
        <f>850-K237*3.5</f>
        <v/>
      </c>
      <c r="M237" s="9">
        <f>1/(1+EXP(-(-4.2+0.055*K237)))</f>
        <v/>
      </c>
      <c r="N237" s="2">
        <f>IF(K237&lt;20,"A",IF(K237&lt;40,"B",IF(K237&lt;60,"C",IF(K237&lt;80,"D","E"))))</f>
        <v/>
      </c>
      <c r="O237" s="2">
        <f>IF(OR(N237="D",N237="E"),"Enhanced Review",IF(N237="C","Conditional","Approve"))</f>
        <v/>
      </c>
      <c r="P237" s="8">
        <f>H237*M237*45%</f>
        <v/>
      </c>
      <c r="Q237" s="9">
        <f>H237/B237</f>
        <v/>
      </c>
    </row>
    <row r="238">
      <c r="A238" s="11" t="inlineStr">
        <is>
          <t>B0234</t>
        </is>
      </c>
      <c r="B238" s="12" t="n">
        <v>25173</v>
      </c>
      <c r="C238" s="13" t="n">
        <v>0.3246751804767917</v>
      </c>
      <c r="D238" s="11" t="n">
        <v>670</v>
      </c>
      <c r="E238" s="13" t="n">
        <v>0.1965200216992498</v>
      </c>
      <c r="F238" s="11" t="n">
        <v>0</v>
      </c>
      <c r="G238" s="11" t="n">
        <v>9</v>
      </c>
      <c r="H238" s="12" t="n">
        <v>17664</v>
      </c>
      <c r="I238" s="11" t="n">
        <v>36</v>
      </c>
      <c r="J238" s="11" t="n">
        <v>0</v>
      </c>
      <c r="K238" s="2">
        <f>IF(D238&gt;=740,0,IF(D238&gt;=670,15,30))+IF(C238&lt;=25%,0,IF(C238&lt;=40%,15,30))+IF(E238&lt;=30%,0,IF(E238&lt;=60%,10,20))+IF(F238=0,0,IF(F238=1,10,25))+IF(G238&gt;=5,0,IF(G238&gt;=2,5,10))+IF(H238/B238&lt;=25%,0,IF(H238/B238&lt;=50%,10,20))+IF(I238=36,0,IF(I238=48,3,6))</f>
        <v/>
      </c>
      <c r="L238" s="2">
        <f>850-K238*3.5</f>
        <v/>
      </c>
      <c r="M238" s="9">
        <f>1/(1+EXP(-(-4.2+0.055*K238)))</f>
        <v/>
      </c>
      <c r="N238" s="2">
        <f>IF(K238&lt;20,"A",IF(K238&lt;40,"B",IF(K238&lt;60,"C",IF(K238&lt;80,"D","E"))))</f>
        <v/>
      </c>
      <c r="O238" s="2">
        <f>IF(OR(N238="D",N238="E"),"Enhanced Review",IF(N238="C","Conditional","Approve"))</f>
        <v/>
      </c>
      <c r="P238" s="8">
        <f>H238*M238*45%</f>
        <v/>
      </c>
      <c r="Q238" s="9">
        <f>H238/B238</f>
        <v/>
      </c>
    </row>
    <row r="239">
      <c r="A239" s="11" t="inlineStr">
        <is>
          <t>B0235</t>
        </is>
      </c>
      <c r="B239" s="12" t="n">
        <v>230739</v>
      </c>
      <c r="C239" s="13" t="n">
        <v>0.4268400414818918</v>
      </c>
      <c r="D239" s="11" t="n">
        <v>792</v>
      </c>
      <c r="E239" s="13" t="n">
        <v>0.678799337059515</v>
      </c>
      <c r="F239" s="11" t="n">
        <v>0</v>
      </c>
      <c r="G239" s="11" t="n">
        <v>3.8</v>
      </c>
      <c r="H239" s="12" t="n">
        <v>22287</v>
      </c>
      <c r="I239" s="11" t="n">
        <v>60</v>
      </c>
      <c r="J239" s="11" t="n">
        <v>0</v>
      </c>
      <c r="K239" s="2">
        <f>IF(D239&gt;=740,0,IF(D239&gt;=670,15,30))+IF(C239&lt;=25%,0,IF(C239&lt;=40%,15,30))+IF(E239&lt;=30%,0,IF(E239&lt;=60%,10,20))+IF(F239=0,0,IF(F239=1,10,25))+IF(G239&gt;=5,0,IF(G239&gt;=2,5,10))+IF(H239/B239&lt;=25%,0,IF(H239/B239&lt;=50%,10,20))+IF(I239=36,0,IF(I239=48,3,6))</f>
        <v/>
      </c>
      <c r="L239" s="2">
        <f>850-K239*3.5</f>
        <v/>
      </c>
      <c r="M239" s="9">
        <f>1/(1+EXP(-(-4.2+0.055*K239)))</f>
        <v/>
      </c>
      <c r="N239" s="2">
        <f>IF(K239&lt;20,"A",IF(K239&lt;40,"B",IF(K239&lt;60,"C",IF(K239&lt;80,"D","E"))))</f>
        <v/>
      </c>
      <c r="O239" s="2">
        <f>IF(OR(N239="D",N239="E"),"Enhanced Review",IF(N239="C","Conditional","Approve"))</f>
        <v/>
      </c>
      <c r="P239" s="8">
        <f>H239*M239*45%</f>
        <v/>
      </c>
      <c r="Q239" s="9">
        <f>H239/B239</f>
        <v/>
      </c>
    </row>
    <row r="240">
      <c r="A240" s="11" t="inlineStr">
        <is>
          <t>B0236</t>
        </is>
      </c>
      <c r="B240" s="12" t="n">
        <v>106400</v>
      </c>
      <c r="C240" s="13" t="n">
        <v>0.2845525003666385</v>
      </c>
      <c r="D240" s="11" t="n">
        <v>683</v>
      </c>
      <c r="E240" s="13" t="n">
        <v>0.1781370111691679</v>
      </c>
      <c r="F240" s="11" t="n">
        <v>0</v>
      </c>
      <c r="G240" s="11" t="n">
        <v>8.199999999999999</v>
      </c>
      <c r="H240" s="12" t="n">
        <v>24074</v>
      </c>
      <c r="I240" s="11" t="n">
        <v>60</v>
      </c>
      <c r="J240" s="11" t="n">
        <v>0</v>
      </c>
      <c r="K240" s="2">
        <f>IF(D240&gt;=740,0,IF(D240&gt;=670,15,30))+IF(C240&lt;=25%,0,IF(C240&lt;=40%,15,30))+IF(E240&lt;=30%,0,IF(E240&lt;=60%,10,20))+IF(F240=0,0,IF(F240=1,10,25))+IF(G240&gt;=5,0,IF(G240&gt;=2,5,10))+IF(H240/B240&lt;=25%,0,IF(H240/B240&lt;=50%,10,20))+IF(I240=36,0,IF(I240=48,3,6))</f>
        <v/>
      </c>
      <c r="L240" s="2">
        <f>850-K240*3.5</f>
        <v/>
      </c>
      <c r="M240" s="9">
        <f>1/(1+EXP(-(-4.2+0.055*K240)))</f>
        <v/>
      </c>
      <c r="N240" s="2">
        <f>IF(K240&lt;20,"A",IF(K240&lt;40,"B",IF(K240&lt;60,"C",IF(K240&lt;80,"D","E"))))</f>
        <v/>
      </c>
      <c r="O240" s="2">
        <f>IF(OR(N240="D",N240="E"),"Enhanced Review",IF(N240="C","Conditional","Approve"))</f>
        <v/>
      </c>
      <c r="P240" s="8">
        <f>H240*M240*45%</f>
        <v/>
      </c>
      <c r="Q240" s="9">
        <f>H240/B240</f>
        <v/>
      </c>
    </row>
    <row r="241">
      <c r="A241" s="11" t="inlineStr">
        <is>
          <t>B0237</t>
        </is>
      </c>
      <c r="B241" s="12" t="n">
        <v>96552</v>
      </c>
      <c r="C241" s="13" t="n">
        <v>0.1870070304119057</v>
      </c>
      <c r="D241" s="11" t="n">
        <v>713</v>
      </c>
      <c r="E241" s="13" t="n">
        <v>0.2451061674298702</v>
      </c>
      <c r="F241" s="11" t="n">
        <v>2</v>
      </c>
      <c r="G241" s="11" t="n">
        <v>1.8</v>
      </c>
      <c r="H241" s="12" t="n">
        <v>15631</v>
      </c>
      <c r="I241" s="11" t="n">
        <v>36</v>
      </c>
      <c r="J241" s="11" t="n">
        <v>1</v>
      </c>
      <c r="K241" s="2">
        <f>IF(D241&gt;=740,0,IF(D241&gt;=670,15,30))+IF(C241&lt;=25%,0,IF(C241&lt;=40%,15,30))+IF(E241&lt;=30%,0,IF(E241&lt;=60%,10,20))+IF(F241=0,0,IF(F241=1,10,25))+IF(G241&gt;=5,0,IF(G241&gt;=2,5,10))+IF(H241/B241&lt;=25%,0,IF(H241/B241&lt;=50%,10,20))+IF(I241=36,0,IF(I241=48,3,6))</f>
        <v/>
      </c>
      <c r="L241" s="2">
        <f>850-K241*3.5</f>
        <v/>
      </c>
      <c r="M241" s="9">
        <f>1/(1+EXP(-(-4.2+0.055*K241)))</f>
        <v/>
      </c>
      <c r="N241" s="2">
        <f>IF(K241&lt;20,"A",IF(K241&lt;40,"B",IF(K241&lt;60,"C",IF(K241&lt;80,"D","E"))))</f>
        <v/>
      </c>
      <c r="O241" s="2">
        <f>IF(OR(N241="D",N241="E"),"Enhanced Review",IF(N241="C","Conditional","Approve"))</f>
        <v/>
      </c>
      <c r="P241" s="8">
        <f>H241*M241*45%</f>
        <v/>
      </c>
      <c r="Q241" s="9">
        <f>H241/B241</f>
        <v/>
      </c>
    </row>
    <row r="242">
      <c r="A242" s="11" t="inlineStr">
        <is>
          <t>B0238</t>
        </is>
      </c>
      <c r="B242" s="12" t="n">
        <v>65623</v>
      </c>
      <c r="C242" s="13" t="n">
        <v>0.4488987769666249</v>
      </c>
      <c r="D242" s="11" t="n">
        <v>713</v>
      </c>
      <c r="E242" s="13" t="n">
        <v>0.1909114850140248</v>
      </c>
      <c r="F242" s="11" t="n">
        <v>2</v>
      </c>
      <c r="G242" s="11" t="n">
        <v>8.300000000000001</v>
      </c>
      <c r="H242" s="12" t="n">
        <v>90000</v>
      </c>
      <c r="I242" s="11" t="n">
        <v>60</v>
      </c>
      <c r="J242" s="11" t="n">
        <v>1</v>
      </c>
      <c r="K242" s="2">
        <f>IF(D242&gt;=740,0,IF(D242&gt;=670,15,30))+IF(C242&lt;=25%,0,IF(C242&lt;=40%,15,30))+IF(E242&lt;=30%,0,IF(E242&lt;=60%,10,20))+IF(F242=0,0,IF(F242=1,10,25))+IF(G242&gt;=5,0,IF(G242&gt;=2,5,10))+IF(H242/B242&lt;=25%,0,IF(H242/B242&lt;=50%,10,20))+IF(I242=36,0,IF(I242=48,3,6))</f>
        <v/>
      </c>
      <c r="L242" s="2">
        <f>850-K242*3.5</f>
        <v/>
      </c>
      <c r="M242" s="9">
        <f>1/(1+EXP(-(-4.2+0.055*K242)))</f>
        <v/>
      </c>
      <c r="N242" s="2">
        <f>IF(K242&lt;20,"A",IF(K242&lt;40,"B",IF(K242&lt;60,"C",IF(K242&lt;80,"D","E"))))</f>
        <v/>
      </c>
      <c r="O242" s="2">
        <f>IF(OR(N242="D",N242="E"),"Enhanced Review",IF(N242="C","Conditional","Approve"))</f>
        <v/>
      </c>
      <c r="P242" s="8">
        <f>H242*M242*45%</f>
        <v/>
      </c>
      <c r="Q242" s="9">
        <f>H242/B242</f>
        <v/>
      </c>
    </row>
    <row r="243">
      <c r="A243" s="11" t="inlineStr">
        <is>
          <t>B0239</t>
        </is>
      </c>
      <c r="B243" s="12" t="n">
        <v>96705</v>
      </c>
      <c r="C243" s="13" t="n">
        <v>0.1065153821187271</v>
      </c>
      <c r="D243" s="11" t="n">
        <v>720</v>
      </c>
      <c r="E243" s="13" t="n">
        <v>0.6138606916529065</v>
      </c>
      <c r="F243" s="11" t="n">
        <v>0</v>
      </c>
      <c r="G243" s="11" t="n">
        <v>13.7</v>
      </c>
      <c r="H243" s="12" t="n">
        <v>23351</v>
      </c>
      <c r="I243" s="11" t="n">
        <v>36</v>
      </c>
      <c r="J243" s="11" t="n">
        <v>0</v>
      </c>
      <c r="K243" s="2">
        <f>IF(D243&gt;=740,0,IF(D243&gt;=670,15,30))+IF(C243&lt;=25%,0,IF(C243&lt;=40%,15,30))+IF(E243&lt;=30%,0,IF(E243&lt;=60%,10,20))+IF(F243=0,0,IF(F243=1,10,25))+IF(G243&gt;=5,0,IF(G243&gt;=2,5,10))+IF(H243/B243&lt;=25%,0,IF(H243/B243&lt;=50%,10,20))+IF(I243=36,0,IF(I243=48,3,6))</f>
        <v/>
      </c>
      <c r="L243" s="2">
        <f>850-K243*3.5</f>
        <v/>
      </c>
      <c r="M243" s="9">
        <f>1/(1+EXP(-(-4.2+0.055*K243)))</f>
        <v/>
      </c>
      <c r="N243" s="2">
        <f>IF(K243&lt;20,"A",IF(K243&lt;40,"B",IF(K243&lt;60,"C",IF(K243&lt;80,"D","E"))))</f>
        <v/>
      </c>
      <c r="O243" s="2">
        <f>IF(OR(N243="D",N243="E"),"Enhanced Review",IF(N243="C","Conditional","Approve"))</f>
        <v/>
      </c>
      <c r="P243" s="8">
        <f>H243*M243*45%</f>
        <v/>
      </c>
      <c r="Q243" s="9">
        <f>H243/B243</f>
        <v/>
      </c>
    </row>
    <row r="244">
      <c r="A244" s="11" t="inlineStr">
        <is>
          <t>B0240</t>
        </is>
      </c>
      <c r="B244" s="12" t="n">
        <v>43995</v>
      </c>
      <c r="C244" s="13" t="n">
        <v>0.2819972329610177</v>
      </c>
      <c r="D244" s="11" t="n">
        <v>646</v>
      </c>
      <c r="E244" s="13" t="n">
        <v>0.4586752284671579</v>
      </c>
      <c r="F244" s="11" t="n">
        <v>2</v>
      </c>
      <c r="G244" s="11" t="n">
        <v>7</v>
      </c>
      <c r="H244" s="12" t="n">
        <v>31310</v>
      </c>
      <c r="I244" s="11" t="n">
        <v>48</v>
      </c>
      <c r="J244" s="11" t="n">
        <v>0</v>
      </c>
      <c r="K244" s="2">
        <f>IF(D244&gt;=740,0,IF(D244&gt;=670,15,30))+IF(C244&lt;=25%,0,IF(C244&lt;=40%,15,30))+IF(E244&lt;=30%,0,IF(E244&lt;=60%,10,20))+IF(F244=0,0,IF(F244=1,10,25))+IF(G244&gt;=5,0,IF(G244&gt;=2,5,10))+IF(H244/B244&lt;=25%,0,IF(H244/B244&lt;=50%,10,20))+IF(I244=36,0,IF(I244=48,3,6))</f>
        <v/>
      </c>
      <c r="L244" s="2">
        <f>850-K244*3.5</f>
        <v/>
      </c>
      <c r="M244" s="9">
        <f>1/(1+EXP(-(-4.2+0.055*K244)))</f>
        <v/>
      </c>
      <c r="N244" s="2">
        <f>IF(K244&lt;20,"A",IF(K244&lt;40,"B",IF(K244&lt;60,"C",IF(K244&lt;80,"D","E"))))</f>
        <v/>
      </c>
      <c r="O244" s="2">
        <f>IF(OR(N244="D",N244="E"),"Enhanced Review",IF(N244="C","Conditional","Approve"))</f>
        <v/>
      </c>
      <c r="P244" s="8">
        <f>H244*M244*45%</f>
        <v/>
      </c>
      <c r="Q244" s="9">
        <f>H244/B244</f>
        <v/>
      </c>
    </row>
    <row r="245">
      <c r="A245" s="11" t="inlineStr">
        <is>
          <t>B0241</t>
        </is>
      </c>
      <c r="B245" s="12" t="n">
        <v>136520</v>
      </c>
      <c r="C245" s="13" t="n">
        <v>0.3622705910036474</v>
      </c>
      <c r="D245" s="11" t="n">
        <v>617</v>
      </c>
      <c r="E245" s="13" t="n">
        <v>0.3807435398863163</v>
      </c>
      <c r="F245" s="11" t="n">
        <v>0</v>
      </c>
      <c r="G245" s="11" t="n">
        <v>3</v>
      </c>
      <c r="H245" s="12" t="n">
        <v>38959</v>
      </c>
      <c r="I245" s="11" t="n">
        <v>60</v>
      </c>
      <c r="J245" s="11" t="n">
        <v>0</v>
      </c>
      <c r="K245" s="2">
        <f>IF(D245&gt;=740,0,IF(D245&gt;=670,15,30))+IF(C245&lt;=25%,0,IF(C245&lt;=40%,15,30))+IF(E245&lt;=30%,0,IF(E245&lt;=60%,10,20))+IF(F245=0,0,IF(F245=1,10,25))+IF(G245&gt;=5,0,IF(G245&gt;=2,5,10))+IF(H245/B245&lt;=25%,0,IF(H245/B245&lt;=50%,10,20))+IF(I245=36,0,IF(I245=48,3,6))</f>
        <v/>
      </c>
      <c r="L245" s="2">
        <f>850-K245*3.5</f>
        <v/>
      </c>
      <c r="M245" s="9">
        <f>1/(1+EXP(-(-4.2+0.055*K245)))</f>
        <v/>
      </c>
      <c r="N245" s="2">
        <f>IF(K245&lt;20,"A",IF(K245&lt;40,"B",IF(K245&lt;60,"C",IF(K245&lt;80,"D","E"))))</f>
        <v/>
      </c>
      <c r="O245" s="2">
        <f>IF(OR(N245="D",N245="E"),"Enhanced Review",IF(N245="C","Conditional","Approve"))</f>
        <v/>
      </c>
      <c r="P245" s="8">
        <f>H245*M245*45%</f>
        <v/>
      </c>
      <c r="Q245" s="9">
        <f>H245/B245</f>
        <v/>
      </c>
    </row>
    <row r="246">
      <c r="A246" s="11" t="inlineStr">
        <is>
          <t>B0242</t>
        </is>
      </c>
      <c r="B246" s="12" t="n">
        <v>104318</v>
      </c>
      <c r="C246" s="13" t="n">
        <v>0.3638091250005053</v>
      </c>
      <c r="D246" s="11" t="n">
        <v>793</v>
      </c>
      <c r="E246" s="13" t="n">
        <v>0.2580979204937507</v>
      </c>
      <c r="F246" s="11" t="n">
        <v>0</v>
      </c>
      <c r="G246" s="11" t="n">
        <v>2</v>
      </c>
      <c r="H246" s="12" t="n">
        <v>16182</v>
      </c>
      <c r="I246" s="11" t="n">
        <v>36</v>
      </c>
      <c r="J246" s="11" t="n">
        <v>0</v>
      </c>
      <c r="K246" s="2">
        <f>IF(D246&gt;=740,0,IF(D246&gt;=670,15,30))+IF(C246&lt;=25%,0,IF(C246&lt;=40%,15,30))+IF(E246&lt;=30%,0,IF(E246&lt;=60%,10,20))+IF(F246=0,0,IF(F246=1,10,25))+IF(G246&gt;=5,0,IF(G246&gt;=2,5,10))+IF(H246/B246&lt;=25%,0,IF(H246/B246&lt;=50%,10,20))+IF(I246=36,0,IF(I246=48,3,6))</f>
        <v/>
      </c>
      <c r="L246" s="2">
        <f>850-K246*3.5</f>
        <v/>
      </c>
      <c r="M246" s="9">
        <f>1/(1+EXP(-(-4.2+0.055*K246)))</f>
        <v/>
      </c>
      <c r="N246" s="2">
        <f>IF(K246&lt;20,"A",IF(K246&lt;40,"B",IF(K246&lt;60,"C",IF(K246&lt;80,"D","E"))))</f>
        <v/>
      </c>
      <c r="O246" s="2">
        <f>IF(OR(N246="D",N246="E"),"Enhanced Review",IF(N246="C","Conditional","Approve"))</f>
        <v/>
      </c>
      <c r="P246" s="8">
        <f>H246*M246*45%</f>
        <v/>
      </c>
      <c r="Q246" s="9">
        <f>H246/B246</f>
        <v/>
      </c>
    </row>
    <row r="247">
      <c r="A247" s="11" t="inlineStr">
        <is>
          <t>B0243</t>
        </is>
      </c>
      <c r="B247" s="12" t="n">
        <v>80603</v>
      </c>
      <c r="C247" s="13" t="n">
        <v>0.1448444047303455</v>
      </c>
      <c r="D247" s="11" t="n">
        <v>679</v>
      </c>
      <c r="E247" s="13" t="n">
        <v>0.7233850080991936</v>
      </c>
      <c r="F247" s="11" t="n">
        <v>0</v>
      </c>
      <c r="G247" s="11" t="n">
        <v>3.2</v>
      </c>
      <c r="H247" s="12" t="n">
        <v>14995</v>
      </c>
      <c r="I247" s="11" t="n">
        <v>36</v>
      </c>
      <c r="J247" s="11" t="n">
        <v>1</v>
      </c>
      <c r="K247" s="2">
        <f>IF(D247&gt;=740,0,IF(D247&gt;=670,15,30))+IF(C247&lt;=25%,0,IF(C247&lt;=40%,15,30))+IF(E247&lt;=30%,0,IF(E247&lt;=60%,10,20))+IF(F247=0,0,IF(F247=1,10,25))+IF(G247&gt;=5,0,IF(G247&gt;=2,5,10))+IF(H247/B247&lt;=25%,0,IF(H247/B247&lt;=50%,10,20))+IF(I247=36,0,IF(I247=48,3,6))</f>
        <v/>
      </c>
      <c r="L247" s="2">
        <f>850-K247*3.5</f>
        <v/>
      </c>
      <c r="M247" s="9">
        <f>1/(1+EXP(-(-4.2+0.055*K247)))</f>
        <v/>
      </c>
      <c r="N247" s="2">
        <f>IF(K247&lt;20,"A",IF(K247&lt;40,"B",IF(K247&lt;60,"C",IF(K247&lt;80,"D","E"))))</f>
        <v/>
      </c>
      <c r="O247" s="2">
        <f>IF(OR(N247="D",N247="E"),"Enhanced Review",IF(N247="C","Conditional","Approve"))</f>
        <v/>
      </c>
      <c r="P247" s="8">
        <f>H247*M247*45%</f>
        <v/>
      </c>
      <c r="Q247" s="9">
        <f>H247/B247</f>
        <v/>
      </c>
    </row>
    <row r="248">
      <c r="A248" s="11" t="inlineStr">
        <is>
          <t>B0244</t>
        </is>
      </c>
      <c r="B248" s="12" t="n">
        <v>61507</v>
      </c>
      <c r="C248" s="13" t="n">
        <v>0.1760328917784892</v>
      </c>
      <c r="D248" s="11" t="n">
        <v>784</v>
      </c>
      <c r="E248" s="13" t="n">
        <v>0.3208783288535911</v>
      </c>
      <c r="F248" s="11" t="n">
        <v>0</v>
      </c>
      <c r="G248" s="11" t="n">
        <v>3.2</v>
      </c>
      <c r="H248" s="12" t="n">
        <v>37323</v>
      </c>
      <c r="I248" s="11" t="n">
        <v>36</v>
      </c>
      <c r="J248" s="11" t="n">
        <v>0</v>
      </c>
      <c r="K248" s="2">
        <f>IF(D248&gt;=740,0,IF(D248&gt;=670,15,30))+IF(C248&lt;=25%,0,IF(C248&lt;=40%,15,30))+IF(E248&lt;=30%,0,IF(E248&lt;=60%,10,20))+IF(F248=0,0,IF(F248=1,10,25))+IF(G248&gt;=5,0,IF(G248&gt;=2,5,10))+IF(H248/B248&lt;=25%,0,IF(H248/B248&lt;=50%,10,20))+IF(I248=36,0,IF(I248=48,3,6))</f>
        <v/>
      </c>
      <c r="L248" s="2">
        <f>850-K248*3.5</f>
        <v/>
      </c>
      <c r="M248" s="9">
        <f>1/(1+EXP(-(-4.2+0.055*K248)))</f>
        <v/>
      </c>
      <c r="N248" s="2">
        <f>IF(K248&lt;20,"A",IF(K248&lt;40,"B",IF(K248&lt;60,"C",IF(K248&lt;80,"D","E"))))</f>
        <v/>
      </c>
      <c r="O248" s="2">
        <f>IF(OR(N248="D",N248="E"),"Enhanced Review",IF(N248="C","Conditional","Approve"))</f>
        <v/>
      </c>
      <c r="P248" s="8">
        <f>H248*M248*45%</f>
        <v/>
      </c>
      <c r="Q248" s="9">
        <f>H248/B248</f>
        <v/>
      </c>
    </row>
    <row r="249">
      <c r="A249" s="11" t="inlineStr">
        <is>
          <t>B0245</t>
        </is>
      </c>
      <c r="B249" s="12" t="n">
        <v>73096</v>
      </c>
      <c r="C249" s="13" t="n">
        <v>0.3681609511320995</v>
      </c>
      <c r="D249" s="11" t="n">
        <v>712</v>
      </c>
      <c r="E249" s="13" t="n">
        <v>0.5201124284023838</v>
      </c>
      <c r="F249" s="11" t="n">
        <v>0</v>
      </c>
      <c r="G249" s="11" t="n">
        <v>8.6</v>
      </c>
      <c r="H249" s="12" t="n">
        <v>13171</v>
      </c>
      <c r="I249" s="11" t="n">
        <v>48</v>
      </c>
      <c r="J249" s="11" t="n">
        <v>0</v>
      </c>
      <c r="K249" s="2">
        <f>IF(D249&gt;=740,0,IF(D249&gt;=670,15,30))+IF(C249&lt;=25%,0,IF(C249&lt;=40%,15,30))+IF(E249&lt;=30%,0,IF(E249&lt;=60%,10,20))+IF(F249=0,0,IF(F249=1,10,25))+IF(G249&gt;=5,0,IF(G249&gt;=2,5,10))+IF(H249/B249&lt;=25%,0,IF(H249/B249&lt;=50%,10,20))+IF(I249=36,0,IF(I249=48,3,6))</f>
        <v/>
      </c>
      <c r="L249" s="2">
        <f>850-K249*3.5</f>
        <v/>
      </c>
      <c r="M249" s="9">
        <f>1/(1+EXP(-(-4.2+0.055*K249)))</f>
        <v/>
      </c>
      <c r="N249" s="2">
        <f>IF(K249&lt;20,"A",IF(K249&lt;40,"B",IF(K249&lt;60,"C",IF(K249&lt;80,"D","E"))))</f>
        <v/>
      </c>
      <c r="O249" s="2">
        <f>IF(OR(N249="D",N249="E"),"Enhanced Review",IF(N249="C","Conditional","Approve"))</f>
        <v/>
      </c>
      <c r="P249" s="8">
        <f>H249*M249*45%</f>
        <v/>
      </c>
      <c r="Q249" s="9">
        <f>H249/B249</f>
        <v/>
      </c>
    </row>
    <row r="250">
      <c r="A250" s="11" t="inlineStr">
        <is>
          <t>B0246</t>
        </is>
      </c>
      <c r="B250" s="12" t="n">
        <v>56024</v>
      </c>
      <c r="C250" s="13" t="n">
        <v>0.4807381058942718</v>
      </c>
      <c r="D250" s="11" t="n">
        <v>761</v>
      </c>
      <c r="E250" s="13" t="n">
        <v>0.3625106842153228</v>
      </c>
      <c r="F250" s="11" t="n">
        <v>1</v>
      </c>
      <c r="G250" s="11" t="n">
        <v>11.1</v>
      </c>
      <c r="H250" s="12" t="n">
        <v>54797</v>
      </c>
      <c r="I250" s="11" t="n">
        <v>60</v>
      </c>
      <c r="J250" s="11" t="n">
        <v>0</v>
      </c>
      <c r="K250" s="2">
        <f>IF(D250&gt;=740,0,IF(D250&gt;=670,15,30))+IF(C250&lt;=25%,0,IF(C250&lt;=40%,15,30))+IF(E250&lt;=30%,0,IF(E250&lt;=60%,10,20))+IF(F250=0,0,IF(F250=1,10,25))+IF(G250&gt;=5,0,IF(G250&gt;=2,5,10))+IF(H250/B250&lt;=25%,0,IF(H250/B250&lt;=50%,10,20))+IF(I250=36,0,IF(I250=48,3,6))</f>
        <v/>
      </c>
      <c r="L250" s="2">
        <f>850-K250*3.5</f>
        <v/>
      </c>
      <c r="M250" s="9">
        <f>1/(1+EXP(-(-4.2+0.055*K250)))</f>
        <v/>
      </c>
      <c r="N250" s="2">
        <f>IF(K250&lt;20,"A",IF(K250&lt;40,"B",IF(K250&lt;60,"C",IF(K250&lt;80,"D","E"))))</f>
        <v/>
      </c>
      <c r="O250" s="2">
        <f>IF(OR(N250="D",N250="E"),"Enhanced Review",IF(N250="C","Conditional","Approve"))</f>
        <v/>
      </c>
      <c r="P250" s="8">
        <f>H250*M250*45%</f>
        <v/>
      </c>
      <c r="Q250" s="9">
        <f>H250/B250</f>
        <v/>
      </c>
    </row>
    <row r="251">
      <c r="A251" s="11" t="inlineStr">
        <is>
          <t>B0247</t>
        </is>
      </c>
      <c r="B251" s="12" t="n">
        <v>45857</v>
      </c>
      <c r="C251" s="13" t="n">
        <v>0.254364982551171</v>
      </c>
      <c r="D251" s="11" t="n">
        <v>736</v>
      </c>
      <c r="E251" s="13" t="n">
        <v>0.7434391941270081</v>
      </c>
      <c r="F251" s="11" t="n">
        <v>0</v>
      </c>
      <c r="G251" s="11" t="n">
        <v>5.6</v>
      </c>
      <c r="H251" s="12" t="n">
        <v>66895</v>
      </c>
      <c r="I251" s="11" t="n">
        <v>60</v>
      </c>
      <c r="J251" s="11" t="n">
        <v>1</v>
      </c>
      <c r="K251" s="2">
        <f>IF(D251&gt;=740,0,IF(D251&gt;=670,15,30))+IF(C251&lt;=25%,0,IF(C251&lt;=40%,15,30))+IF(E251&lt;=30%,0,IF(E251&lt;=60%,10,20))+IF(F251=0,0,IF(F251=1,10,25))+IF(G251&gt;=5,0,IF(G251&gt;=2,5,10))+IF(H251/B251&lt;=25%,0,IF(H251/B251&lt;=50%,10,20))+IF(I251=36,0,IF(I251=48,3,6))</f>
        <v/>
      </c>
      <c r="L251" s="2">
        <f>850-K251*3.5</f>
        <v/>
      </c>
      <c r="M251" s="9">
        <f>1/(1+EXP(-(-4.2+0.055*K251)))</f>
        <v/>
      </c>
      <c r="N251" s="2">
        <f>IF(K251&lt;20,"A",IF(K251&lt;40,"B",IF(K251&lt;60,"C",IF(K251&lt;80,"D","E"))))</f>
        <v/>
      </c>
      <c r="O251" s="2">
        <f>IF(OR(N251="D",N251="E"),"Enhanced Review",IF(N251="C","Conditional","Approve"))</f>
        <v/>
      </c>
      <c r="P251" s="8">
        <f>H251*M251*45%</f>
        <v/>
      </c>
      <c r="Q251" s="9">
        <f>H251/B251</f>
        <v/>
      </c>
    </row>
    <row r="252">
      <c r="A252" s="11" t="inlineStr">
        <is>
          <t>B0248</t>
        </is>
      </c>
      <c r="B252" s="12" t="n">
        <v>92616</v>
      </c>
      <c r="C252" s="13" t="n">
        <v>0.2937841582209256</v>
      </c>
      <c r="D252" s="11" t="n">
        <v>584</v>
      </c>
      <c r="E252" s="13" t="n">
        <v>0.6245129565985663</v>
      </c>
      <c r="F252" s="11" t="n">
        <v>0</v>
      </c>
      <c r="G252" s="11" t="n">
        <v>9.699999999999999</v>
      </c>
      <c r="H252" s="12" t="n">
        <v>11247</v>
      </c>
      <c r="I252" s="11" t="n">
        <v>48</v>
      </c>
      <c r="J252" s="11" t="n">
        <v>1</v>
      </c>
      <c r="K252" s="2">
        <f>IF(D252&gt;=740,0,IF(D252&gt;=670,15,30))+IF(C252&lt;=25%,0,IF(C252&lt;=40%,15,30))+IF(E252&lt;=30%,0,IF(E252&lt;=60%,10,20))+IF(F252=0,0,IF(F252=1,10,25))+IF(G252&gt;=5,0,IF(G252&gt;=2,5,10))+IF(H252/B252&lt;=25%,0,IF(H252/B252&lt;=50%,10,20))+IF(I252=36,0,IF(I252=48,3,6))</f>
        <v/>
      </c>
      <c r="L252" s="2">
        <f>850-K252*3.5</f>
        <v/>
      </c>
      <c r="M252" s="9">
        <f>1/(1+EXP(-(-4.2+0.055*K252)))</f>
        <v/>
      </c>
      <c r="N252" s="2">
        <f>IF(K252&lt;20,"A",IF(K252&lt;40,"B",IF(K252&lt;60,"C",IF(K252&lt;80,"D","E"))))</f>
        <v/>
      </c>
      <c r="O252" s="2">
        <f>IF(OR(N252="D",N252="E"),"Enhanced Review",IF(N252="C","Conditional","Approve"))</f>
        <v/>
      </c>
      <c r="P252" s="8">
        <f>H252*M252*45%</f>
        <v/>
      </c>
      <c r="Q252" s="9">
        <f>H252/B252</f>
        <v/>
      </c>
    </row>
    <row r="253">
      <c r="A253" s="11" t="inlineStr">
        <is>
          <t>B0249</t>
        </is>
      </c>
      <c r="B253" s="12" t="n">
        <v>90617</v>
      </c>
      <c r="C253" s="13" t="n">
        <v>0.1282639691558256</v>
      </c>
      <c r="D253" s="11" t="n">
        <v>723</v>
      </c>
      <c r="E253" s="13" t="n">
        <v>0.2503456805406224</v>
      </c>
      <c r="F253" s="11" t="n">
        <v>0</v>
      </c>
      <c r="G253" s="11" t="n">
        <v>10.1</v>
      </c>
      <c r="H253" s="12" t="n">
        <v>9997</v>
      </c>
      <c r="I253" s="11" t="n">
        <v>36</v>
      </c>
      <c r="J253" s="11" t="n">
        <v>0</v>
      </c>
      <c r="K253" s="2">
        <f>IF(D253&gt;=740,0,IF(D253&gt;=670,15,30))+IF(C253&lt;=25%,0,IF(C253&lt;=40%,15,30))+IF(E253&lt;=30%,0,IF(E253&lt;=60%,10,20))+IF(F253=0,0,IF(F253=1,10,25))+IF(G253&gt;=5,0,IF(G253&gt;=2,5,10))+IF(H253/B253&lt;=25%,0,IF(H253/B253&lt;=50%,10,20))+IF(I253=36,0,IF(I253=48,3,6))</f>
        <v/>
      </c>
      <c r="L253" s="2">
        <f>850-K253*3.5</f>
        <v/>
      </c>
      <c r="M253" s="9">
        <f>1/(1+EXP(-(-4.2+0.055*K253)))</f>
        <v/>
      </c>
      <c r="N253" s="2">
        <f>IF(K253&lt;20,"A",IF(K253&lt;40,"B",IF(K253&lt;60,"C",IF(K253&lt;80,"D","E"))))</f>
        <v/>
      </c>
      <c r="O253" s="2">
        <f>IF(OR(N253="D",N253="E"),"Enhanced Review",IF(N253="C","Conditional","Approve"))</f>
        <v/>
      </c>
      <c r="P253" s="8">
        <f>H253*M253*45%</f>
        <v/>
      </c>
      <c r="Q253" s="9">
        <f>H253/B253</f>
        <v/>
      </c>
    </row>
    <row r="254">
      <c r="A254" s="11" t="inlineStr">
        <is>
          <t>B0250</t>
        </is>
      </c>
      <c r="B254" s="12" t="n">
        <v>65871</v>
      </c>
      <c r="C254" s="13" t="n">
        <v>0.2008268945448421</v>
      </c>
      <c r="D254" s="11" t="n">
        <v>635</v>
      </c>
      <c r="E254" s="13" t="n">
        <v>0.5062295161308868</v>
      </c>
      <c r="F254" s="11" t="n">
        <v>1</v>
      </c>
      <c r="G254" s="11" t="n">
        <v>12.5</v>
      </c>
      <c r="H254" s="12" t="n">
        <v>7327</v>
      </c>
      <c r="I254" s="11" t="n">
        <v>36</v>
      </c>
      <c r="J254" s="11" t="n">
        <v>1</v>
      </c>
      <c r="K254" s="2">
        <f>IF(D254&gt;=740,0,IF(D254&gt;=670,15,30))+IF(C254&lt;=25%,0,IF(C254&lt;=40%,15,30))+IF(E254&lt;=30%,0,IF(E254&lt;=60%,10,20))+IF(F254=0,0,IF(F254=1,10,25))+IF(G254&gt;=5,0,IF(G254&gt;=2,5,10))+IF(H254/B254&lt;=25%,0,IF(H254/B254&lt;=50%,10,20))+IF(I254=36,0,IF(I254=48,3,6))</f>
        <v/>
      </c>
      <c r="L254" s="2">
        <f>850-K254*3.5</f>
        <v/>
      </c>
      <c r="M254" s="9">
        <f>1/(1+EXP(-(-4.2+0.055*K254)))</f>
        <v/>
      </c>
      <c r="N254" s="2">
        <f>IF(K254&lt;20,"A",IF(K254&lt;40,"B",IF(K254&lt;60,"C",IF(K254&lt;80,"D","E"))))</f>
        <v/>
      </c>
      <c r="O254" s="2">
        <f>IF(OR(N254="D",N254="E"),"Enhanced Review",IF(N254="C","Conditional","Approve"))</f>
        <v/>
      </c>
      <c r="P254" s="8">
        <f>H254*M254*45%</f>
        <v/>
      </c>
      <c r="Q254" s="9">
        <f>H254/B254</f>
        <v/>
      </c>
    </row>
    <row r="255">
      <c r="A255" s="11" t="inlineStr">
        <is>
          <t>B0251</t>
        </is>
      </c>
      <c r="B255" s="12" t="n">
        <v>103119</v>
      </c>
      <c r="C255" s="13" t="n">
        <v>0.1637463871291732</v>
      </c>
      <c r="D255" s="11" t="n">
        <v>625</v>
      </c>
      <c r="E255" s="13" t="n">
        <v>0.5338302076599732</v>
      </c>
      <c r="F255" s="11" t="n">
        <v>0</v>
      </c>
      <c r="G255" s="11" t="n">
        <v>1.4</v>
      </c>
      <c r="H255" s="12" t="n">
        <v>9439</v>
      </c>
      <c r="I255" s="11" t="n">
        <v>60</v>
      </c>
      <c r="J255" s="11" t="n">
        <v>0</v>
      </c>
      <c r="K255" s="2">
        <f>IF(D255&gt;=740,0,IF(D255&gt;=670,15,30))+IF(C255&lt;=25%,0,IF(C255&lt;=40%,15,30))+IF(E255&lt;=30%,0,IF(E255&lt;=60%,10,20))+IF(F255=0,0,IF(F255=1,10,25))+IF(G255&gt;=5,0,IF(G255&gt;=2,5,10))+IF(H255/B255&lt;=25%,0,IF(H255/B255&lt;=50%,10,20))+IF(I255=36,0,IF(I255=48,3,6))</f>
        <v/>
      </c>
      <c r="L255" s="2">
        <f>850-K255*3.5</f>
        <v/>
      </c>
      <c r="M255" s="9">
        <f>1/(1+EXP(-(-4.2+0.055*K255)))</f>
        <v/>
      </c>
      <c r="N255" s="2">
        <f>IF(K255&lt;20,"A",IF(K255&lt;40,"B",IF(K255&lt;60,"C",IF(K255&lt;80,"D","E"))))</f>
        <v/>
      </c>
      <c r="O255" s="2">
        <f>IF(OR(N255="D",N255="E"),"Enhanced Review",IF(N255="C","Conditional","Approve"))</f>
        <v/>
      </c>
      <c r="P255" s="8">
        <f>H255*M255*45%</f>
        <v/>
      </c>
      <c r="Q255" s="9">
        <f>H255/B255</f>
        <v/>
      </c>
    </row>
    <row r="256">
      <c r="A256" s="11" t="inlineStr">
        <is>
          <t>B0252</t>
        </is>
      </c>
      <c r="B256" s="12" t="n">
        <v>71960</v>
      </c>
      <c r="C256" s="13" t="n">
        <v>0.3537110498755395</v>
      </c>
      <c r="D256" s="11" t="n">
        <v>759</v>
      </c>
      <c r="E256" s="13" t="n">
        <v>0.3400006662608903</v>
      </c>
      <c r="F256" s="11" t="n">
        <v>1</v>
      </c>
      <c r="G256" s="11" t="n">
        <v>25.3</v>
      </c>
      <c r="H256" s="12" t="n">
        <v>25320</v>
      </c>
      <c r="I256" s="11" t="n">
        <v>48</v>
      </c>
      <c r="J256" s="11" t="n">
        <v>0</v>
      </c>
      <c r="K256" s="2">
        <f>IF(D256&gt;=740,0,IF(D256&gt;=670,15,30))+IF(C256&lt;=25%,0,IF(C256&lt;=40%,15,30))+IF(E256&lt;=30%,0,IF(E256&lt;=60%,10,20))+IF(F256=0,0,IF(F256=1,10,25))+IF(G256&gt;=5,0,IF(G256&gt;=2,5,10))+IF(H256/B256&lt;=25%,0,IF(H256/B256&lt;=50%,10,20))+IF(I256=36,0,IF(I256=48,3,6))</f>
        <v/>
      </c>
      <c r="L256" s="2">
        <f>850-K256*3.5</f>
        <v/>
      </c>
      <c r="M256" s="9">
        <f>1/(1+EXP(-(-4.2+0.055*K256)))</f>
        <v/>
      </c>
      <c r="N256" s="2">
        <f>IF(K256&lt;20,"A",IF(K256&lt;40,"B",IF(K256&lt;60,"C",IF(K256&lt;80,"D","E"))))</f>
        <v/>
      </c>
      <c r="O256" s="2">
        <f>IF(OR(N256="D",N256="E"),"Enhanced Review",IF(N256="C","Conditional","Approve"))</f>
        <v/>
      </c>
      <c r="P256" s="8">
        <f>H256*M256*45%</f>
        <v/>
      </c>
      <c r="Q256" s="9">
        <f>H256/B256</f>
        <v/>
      </c>
    </row>
    <row r="257">
      <c r="A257" s="11" t="inlineStr">
        <is>
          <t>B0253</t>
        </is>
      </c>
      <c r="B257" s="12" t="n">
        <v>82417</v>
      </c>
      <c r="C257" s="13" t="n">
        <v>0.3321591250892325</v>
      </c>
      <c r="D257" s="11" t="n">
        <v>629</v>
      </c>
      <c r="E257" s="13" t="n">
        <v>0.09267966971860948</v>
      </c>
      <c r="F257" s="11" t="n">
        <v>0</v>
      </c>
      <c r="G257" s="11" t="n">
        <v>12.2</v>
      </c>
      <c r="H257" s="12" t="n">
        <v>14131</v>
      </c>
      <c r="I257" s="11" t="n">
        <v>48</v>
      </c>
      <c r="J257" s="11" t="n">
        <v>0</v>
      </c>
      <c r="K257" s="2">
        <f>IF(D257&gt;=740,0,IF(D257&gt;=670,15,30))+IF(C257&lt;=25%,0,IF(C257&lt;=40%,15,30))+IF(E257&lt;=30%,0,IF(E257&lt;=60%,10,20))+IF(F257=0,0,IF(F257=1,10,25))+IF(G257&gt;=5,0,IF(G257&gt;=2,5,10))+IF(H257/B257&lt;=25%,0,IF(H257/B257&lt;=50%,10,20))+IF(I257=36,0,IF(I257=48,3,6))</f>
        <v/>
      </c>
      <c r="L257" s="2">
        <f>850-K257*3.5</f>
        <v/>
      </c>
      <c r="M257" s="9">
        <f>1/(1+EXP(-(-4.2+0.055*K257)))</f>
        <v/>
      </c>
      <c r="N257" s="2">
        <f>IF(K257&lt;20,"A",IF(K257&lt;40,"B",IF(K257&lt;60,"C",IF(K257&lt;80,"D","E"))))</f>
        <v/>
      </c>
      <c r="O257" s="2">
        <f>IF(OR(N257="D",N257="E"),"Enhanced Review",IF(N257="C","Conditional","Approve"))</f>
        <v/>
      </c>
      <c r="P257" s="8">
        <f>H257*M257*45%</f>
        <v/>
      </c>
      <c r="Q257" s="9">
        <f>H257/B257</f>
        <v/>
      </c>
    </row>
    <row r="258">
      <c r="A258" s="11" t="inlineStr">
        <is>
          <t>B0254</t>
        </is>
      </c>
      <c r="B258" s="12" t="n">
        <v>97317</v>
      </c>
      <c r="C258" s="13" t="n">
        <v>0.3086580601860879</v>
      </c>
      <c r="D258" s="11" t="n">
        <v>598</v>
      </c>
      <c r="E258" s="13" t="n">
        <v>0.5600288056675815</v>
      </c>
      <c r="F258" s="11" t="n">
        <v>0</v>
      </c>
      <c r="G258" s="11" t="n">
        <v>9.699999999999999</v>
      </c>
      <c r="H258" s="12" t="n">
        <v>12655</v>
      </c>
      <c r="I258" s="11" t="n">
        <v>48</v>
      </c>
      <c r="J258" s="11" t="n">
        <v>1</v>
      </c>
      <c r="K258" s="2">
        <f>IF(D258&gt;=740,0,IF(D258&gt;=670,15,30))+IF(C258&lt;=25%,0,IF(C258&lt;=40%,15,30))+IF(E258&lt;=30%,0,IF(E258&lt;=60%,10,20))+IF(F258=0,0,IF(F258=1,10,25))+IF(G258&gt;=5,0,IF(G258&gt;=2,5,10))+IF(H258/B258&lt;=25%,0,IF(H258/B258&lt;=50%,10,20))+IF(I258=36,0,IF(I258=48,3,6))</f>
        <v/>
      </c>
      <c r="L258" s="2">
        <f>850-K258*3.5</f>
        <v/>
      </c>
      <c r="M258" s="9">
        <f>1/(1+EXP(-(-4.2+0.055*K258)))</f>
        <v/>
      </c>
      <c r="N258" s="2">
        <f>IF(K258&lt;20,"A",IF(K258&lt;40,"B",IF(K258&lt;60,"C",IF(K258&lt;80,"D","E"))))</f>
        <v/>
      </c>
      <c r="O258" s="2">
        <f>IF(OR(N258="D",N258="E"),"Enhanced Review",IF(N258="C","Conditional","Approve"))</f>
        <v/>
      </c>
      <c r="P258" s="8">
        <f>H258*M258*45%</f>
        <v/>
      </c>
      <c r="Q258" s="9">
        <f>H258/B258</f>
        <v/>
      </c>
    </row>
    <row r="259">
      <c r="A259" s="11" t="inlineStr">
        <is>
          <t>B0255</t>
        </is>
      </c>
      <c r="B259" s="12" t="n">
        <v>100887</v>
      </c>
      <c r="C259" s="13" t="n">
        <v>0.235712391853656</v>
      </c>
      <c r="D259" s="11" t="n">
        <v>726</v>
      </c>
      <c r="E259" s="13" t="n">
        <v>0.3433648620378753</v>
      </c>
      <c r="F259" s="11" t="n">
        <v>1</v>
      </c>
      <c r="G259" s="11" t="n">
        <v>12.1</v>
      </c>
      <c r="H259" s="12" t="n">
        <v>16611</v>
      </c>
      <c r="I259" s="11" t="n">
        <v>36</v>
      </c>
      <c r="J259" s="11" t="n">
        <v>0</v>
      </c>
      <c r="K259" s="2">
        <f>IF(D259&gt;=740,0,IF(D259&gt;=670,15,30))+IF(C259&lt;=25%,0,IF(C259&lt;=40%,15,30))+IF(E259&lt;=30%,0,IF(E259&lt;=60%,10,20))+IF(F259=0,0,IF(F259=1,10,25))+IF(G259&gt;=5,0,IF(G259&gt;=2,5,10))+IF(H259/B259&lt;=25%,0,IF(H259/B259&lt;=50%,10,20))+IF(I259=36,0,IF(I259=48,3,6))</f>
        <v/>
      </c>
      <c r="L259" s="2">
        <f>850-K259*3.5</f>
        <v/>
      </c>
      <c r="M259" s="9">
        <f>1/(1+EXP(-(-4.2+0.055*K259)))</f>
        <v/>
      </c>
      <c r="N259" s="2">
        <f>IF(K259&lt;20,"A",IF(K259&lt;40,"B",IF(K259&lt;60,"C",IF(K259&lt;80,"D","E"))))</f>
        <v/>
      </c>
      <c r="O259" s="2">
        <f>IF(OR(N259="D",N259="E"),"Enhanced Review",IF(N259="C","Conditional","Approve"))</f>
        <v/>
      </c>
      <c r="P259" s="8">
        <f>H259*M259*45%</f>
        <v/>
      </c>
      <c r="Q259" s="9">
        <f>H259/B259</f>
        <v/>
      </c>
    </row>
    <row r="260">
      <c r="A260" s="11" t="inlineStr">
        <is>
          <t>B0256</t>
        </is>
      </c>
      <c r="B260" s="12" t="n">
        <v>44154</v>
      </c>
      <c r="C260" s="13" t="n">
        <v>0.3847710576730788</v>
      </c>
      <c r="D260" s="11" t="n">
        <v>689</v>
      </c>
      <c r="E260" s="13" t="n">
        <v>0.2042840381372342</v>
      </c>
      <c r="F260" s="11" t="n">
        <v>0</v>
      </c>
      <c r="G260" s="11" t="n">
        <v>2.9</v>
      </c>
      <c r="H260" s="12" t="n">
        <v>8301</v>
      </c>
      <c r="I260" s="11" t="n">
        <v>60</v>
      </c>
      <c r="J260" s="11" t="n">
        <v>1</v>
      </c>
      <c r="K260" s="2">
        <f>IF(D260&gt;=740,0,IF(D260&gt;=670,15,30))+IF(C260&lt;=25%,0,IF(C260&lt;=40%,15,30))+IF(E260&lt;=30%,0,IF(E260&lt;=60%,10,20))+IF(F260=0,0,IF(F260=1,10,25))+IF(G260&gt;=5,0,IF(G260&gt;=2,5,10))+IF(H260/B260&lt;=25%,0,IF(H260/B260&lt;=50%,10,20))+IF(I260=36,0,IF(I260=48,3,6))</f>
        <v/>
      </c>
      <c r="L260" s="2">
        <f>850-K260*3.5</f>
        <v/>
      </c>
      <c r="M260" s="9">
        <f>1/(1+EXP(-(-4.2+0.055*K260)))</f>
        <v/>
      </c>
      <c r="N260" s="2">
        <f>IF(K260&lt;20,"A",IF(K260&lt;40,"B",IF(K260&lt;60,"C",IF(K260&lt;80,"D","E"))))</f>
        <v/>
      </c>
      <c r="O260" s="2">
        <f>IF(OR(N260="D",N260="E"),"Enhanced Review",IF(N260="C","Conditional","Approve"))</f>
        <v/>
      </c>
      <c r="P260" s="8">
        <f>H260*M260*45%</f>
        <v/>
      </c>
      <c r="Q260" s="9">
        <f>H260/B260</f>
        <v/>
      </c>
    </row>
    <row r="261">
      <c r="A261" s="11" t="inlineStr">
        <is>
          <t>B0257</t>
        </is>
      </c>
      <c r="B261" s="12" t="n">
        <v>122381</v>
      </c>
      <c r="C261" s="13" t="n">
        <v>0.5293294480778181</v>
      </c>
      <c r="D261" s="11" t="n">
        <v>589</v>
      </c>
      <c r="E261" s="13" t="n">
        <v>0.6131559484323434</v>
      </c>
      <c r="F261" s="11" t="n">
        <v>0</v>
      </c>
      <c r="G261" s="11" t="n">
        <v>5.9</v>
      </c>
      <c r="H261" s="12" t="n">
        <v>17221</v>
      </c>
      <c r="I261" s="11" t="n">
        <v>48</v>
      </c>
      <c r="J261" s="11" t="n">
        <v>1</v>
      </c>
      <c r="K261" s="2">
        <f>IF(D261&gt;=740,0,IF(D261&gt;=670,15,30))+IF(C261&lt;=25%,0,IF(C261&lt;=40%,15,30))+IF(E261&lt;=30%,0,IF(E261&lt;=60%,10,20))+IF(F261=0,0,IF(F261=1,10,25))+IF(G261&gt;=5,0,IF(G261&gt;=2,5,10))+IF(H261/B261&lt;=25%,0,IF(H261/B261&lt;=50%,10,20))+IF(I261=36,0,IF(I261=48,3,6))</f>
        <v/>
      </c>
      <c r="L261" s="2">
        <f>850-K261*3.5</f>
        <v/>
      </c>
      <c r="M261" s="9">
        <f>1/(1+EXP(-(-4.2+0.055*K261)))</f>
        <v/>
      </c>
      <c r="N261" s="2">
        <f>IF(K261&lt;20,"A",IF(K261&lt;40,"B",IF(K261&lt;60,"C",IF(K261&lt;80,"D","E"))))</f>
        <v/>
      </c>
      <c r="O261" s="2">
        <f>IF(OR(N261="D",N261="E"),"Enhanced Review",IF(N261="C","Conditional","Approve"))</f>
        <v/>
      </c>
      <c r="P261" s="8">
        <f>H261*M261*45%</f>
        <v/>
      </c>
      <c r="Q261" s="9">
        <f>H261/B261</f>
        <v/>
      </c>
    </row>
    <row r="262">
      <c r="A262" s="11" t="inlineStr">
        <is>
          <t>B0258</t>
        </is>
      </c>
      <c r="B262" s="12" t="n">
        <v>69153</v>
      </c>
      <c r="C262" s="13" t="n">
        <v>0.3478452404350442</v>
      </c>
      <c r="D262" s="11" t="n">
        <v>704</v>
      </c>
      <c r="E262" s="13" t="n">
        <v>0.6401564291332804</v>
      </c>
      <c r="F262" s="11" t="n">
        <v>0</v>
      </c>
      <c r="G262" s="11" t="n">
        <v>13.4</v>
      </c>
      <c r="H262" s="12" t="n">
        <v>15808</v>
      </c>
      <c r="I262" s="11" t="n">
        <v>60</v>
      </c>
      <c r="J262" s="11" t="n">
        <v>0</v>
      </c>
      <c r="K262" s="2">
        <f>IF(D262&gt;=740,0,IF(D262&gt;=670,15,30))+IF(C262&lt;=25%,0,IF(C262&lt;=40%,15,30))+IF(E262&lt;=30%,0,IF(E262&lt;=60%,10,20))+IF(F262=0,0,IF(F262=1,10,25))+IF(G262&gt;=5,0,IF(G262&gt;=2,5,10))+IF(H262/B262&lt;=25%,0,IF(H262/B262&lt;=50%,10,20))+IF(I262=36,0,IF(I262=48,3,6))</f>
        <v/>
      </c>
      <c r="L262" s="2">
        <f>850-K262*3.5</f>
        <v/>
      </c>
      <c r="M262" s="9">
        <f>1/(1+EXP(-(-4.2+0.055*K262)))</f>
        <v/>
      </c>
      <c r="N262" s="2">
        <f>IF(K262&lt;20,"A",IF(K262&lt;40,"B",IF(K262&lt;60,"C",IF(K262&lt;80,"D","E"))))</f>
        <v/>
      </c>
      <c r="O262" s="2">
        <f>IF(OR(N262="D",N262="E"),"Enhanced Review",IF(N262="C","Conditional","Approve"))</f>
        <v/>
      </c>
      <c r="P262" s="8">
        <f>H262*M262*45%</f>
        <v/>
      </c>
      <c r="Q262" s="9">
        <f>H262/B262</f>
        <v/>
      </c>
    </row>
    <row r="263">
      <c r="A263" s="11" t="inlineStr">
        <is>
          <t>B0259</t>
        </is>
      </c>
      <c r="B263" s="12" t="n">
        <v>141843</v>
      </c>
      <c r="C263" s="13" t="n">
        <v>0.3315655847588168</v>
      </c>
      <c r="D263" s="11" t="n">
        <v>687</v>
      </c>
      <c r="E263" s="13" t="n">
        <v>0.6934245180564415</v>
      </c>
      <c r="F263" s="11" t="n">
        <v>0</v>
      </c>
      <c r="G263" s="11" t="n">
        <v>1.4</v>
      </c>
      <c r="H263" s="12" t="n">
        <v>60104</v>
      </c>
      <c r="I263" s="11" t="n">
        <v>60</v>
      </c>
      <c r="J263" s="11" t="n">
        <v>0</v>
      </c>
      <c r="K263" s="2">
        <f>IF(D263&gt;=740,0,IF(D263&gt;=670,15,30))+IF(C263&lt;=25%,0,IF(C263&lt;=40%,15,30))+IF(E263&lt;=30%,0,IF(E263&lt;=60%,10,20))+IF(F263=0,0,IF(F263=1,10,25))+IF(G263&gt;=5,0,IF(G263&gt;=2,5,10))+IF(H263/B263&lt;=25%,0,IF(H263/B263&lt;=50%,10,20))+IF(I263=36,0,IF(I263=48,3,6))</f>
        <v/>
      </c>
      <c r="L263" s="2">
        <f>850-K263*3.5</f>
        <v/>
      </c>
      <c r="M263" s="9">
        <f>1/(1+EXP(-(-4.2+0.055*K263)))</f>
        <v/>
      </c>
      <c r="N263" s="2">
        <f>IF(K263&lt;20,"A",IF(K263&lt;40,"B",IF(K263&lt;60,"C",IF(K263&lt;80,"D","E"))))</f>
        <v/>
      </c>
      <c r="O263" s="2">
        <f>IF(OR(N263="D",N263="E"),"Enhanced Review",IF(N263="C","Conditional","Approve"))</f>
        <v/>
      </c>
      <c r="P263" s="8">
        <f>H263*M263*45%</f>
        <v/>
      </c>
      <c r="Q263" s="9">
        <f>H263/B263</f>
        <v/>
      </c>
    </row>
    <row r="264">
      <c r="A264" s="11" t="inlineStr">
        <is>
          <t>B0260</t>
        </is>
      </c>
      <c r="B264" s="12" t="n">
        <v>162716</v>
      </c>
      <c r="C264" s="13" t="n">
        <v>0.03</v>
      </c>
      <c r="D264" s="11" t="n">
        <v>764</v>
      </c>
      <c r="E264" s="13" t="n">
        <v>0.5546069220988021</v>
      </c>
      <c r="F264" s="11" t="n">
        <v>0</v>
      </c>
      <c r="G264" s="11" t="n">
        <v>7.6</v>
      </c>
      <c r="H264" s="12" t="n">
        <v>17479</v>
      </c>
      <c r="I264" s="11" t="n">
        <v>36</v>
      </c>
      <c r="J264" s="11" t="n">
        <v>0</v>
      </c>
      <c r="K264" s="2">
        <f>IF(D264&gt;=740,0,IF(D264&gt;=670,15,30))+IF(C264&lt;=25%,0,IF(C264&lt;=40%,15,30))+IF(E264&lt;=30%,0,IF(E264&lt;=60%,10,20))+IF(F264=0,0,IF(F264=1,10,25))+IF(G264&gt;=5,0,IF(G264&gt;=2,5,10))+IF(H264/B264&lt;=25%,0,IF(H264/B264&lt;=50%,10,20))+IF(I264=36,0,IF(I264=48,3,6))</f>
        <v/>
      </c>
      <c r="L264" s="2">
        <f>850-K264*3.5</f>
        <v/>
      </c>
      <c r="M264" s="9">
        <f>1/(1+EXP(-(-4.2+0.055*K264)))</f>
        <v/>
      </c>
      <c r="N264" s="2">
        <f>IF(K264&lt;20,"A",IF(K264&lt;40,"B",IF(K264&lt;60,"C",IF(K264&lt;80,"D","E"))))</f>
        <v/>
      </c>
      <c r="O264" s="2">
        <f>IF(OR(N264="D",N264="E"),"Enhanced Review",IF(N264="C","Conditional","Approve"))</f>
        <v/>
      </c>
      <c r="P264" s="8">
        <f>H264*M264*45%</f>
        <v/>
      </c>
      <c r="Q264" s="9">
        <f>H264/B264</f>
        <v/>
      </c>
    </row>
    <row r="265">
      <c r="A265" s="11" t="inlineStr">
        <is>
          <t>B0261</t>
        </is>
      </c>
      <c r="B265" s="12" t="n">
        <v>60147</v>
      </c>
      <c r="C265" s="13" t="n">
        <v>0.09051277916747558</v>
      </c>
      <c r="D265" s="11" t="n">
        <v>697</v>
      </c>
      <c r="E265" s="13" t="n">
        <v>0.141817237507417</v>
      </c>
      <c r="F265" s="11" t="n">
        <v>0</v>
      </c>
      <c r="G265" s="11" t="n">
        <v>16.9</v>
      </c>
      <c r="H265" s="12" t="n">
        <v>74159</v>
      </c>
      <c r="I265" s="11" t="n">
        <v>60</v>
      </c>
      <c r="J265" s="11" t="n">
        <v>0</v>
      </c>
      <c r="K265" s="2">
        <f>IF(D265&gt;=740,0,IF(D265&gt;=670,15,30))+IF(C265&lt;=25%,0,IF(C265&lt;=40%,15,30))+IF(E265&lt;=30%,0,IF(E265&lt;=60%,10,20))+IF(F265=0,0,IF(F265=1,10,25))+IF(G265&gt;=5,0,IF(G265&gt;=2,5,10))+IF(H265/B265&lt;=25%,0,IF(H265/B265&lt;=50%,10,20))+IF(I265=36,0,IF(I265=48,3,6))</f>
        <v/>
      </c>
      <c r="L265" s="2">
        <f>850-K265*3.5</f>
        <v/>
      </c>
      <c r="M265" s="9">
        <f>1/(1+EXP(-(-4.2+0.055*K265)))</f>
        <v/>
      </c>
      <c r="N265" s="2">
        <f>IF(K265&lt;20,"A",IF(K265&lt;40,"B",IF(K265&lt;60,"C",IF(K265&lt;80,"D","E"))))</f>
        <v/>
      </c>
      <c r="O265" s="2">
        <f>IF(OR(N265="D",N265="E"),"Enhanced Review",IF(N265="C","Conditional","Approve"))</f>
        <v/>
      </c>
      <c r="P265" s="8">
        <f>H265*M265*45%</f>
        <v/>
      </c>
      <c r="Q265" s="9">
        <f>H265/B265</f>
        <v/>
      </c>
    </row>
    <row r="266">
      <c r="A266" s="11" t="inlineStr">
        <is>
          <t>B0262</t>
        </is>
      </c>
      <c r="B266" s="12" t="n">
        <v>55973</v>
      </c>
      <c r="C266" s="13" t="n">
        <v>0.1655260887178462</v>
      </c>
      <c r="D266" s="11" t="n">
        <v>714</v>
      </c>
      <c r="E266" s="13" t="n">
        <v>0.4060261829327702</v>
      </c>
      <c r="F266" s="11" t="n">
        <v>1</v>
      </c>
      <c r="G266" s="11" t="n">
        <v>3.2</v>
      </c>
      <c r="H266" s="12" t="n">
        <v>29174</v>
      </c>
      <c r="I266" s="11" t="n">
        <v>36</v>
      </c>
      <c r="J266" s="11" t="n">
        <v>0</v>
      </c>
      <c r="K266" s="2">
        <f>IF(D266&gt;=740,0,IF(D266&gt;=670,15,30))+IF(C266&lt;=25%,0,IF(C266&lt;=40%,15,30))+IF(E266&lt;=30%,0,IF(E266&lt;=60%,10,20))+IF(F266=0,0,IF(F266=1,10,25))+IF(G266&gt;=5,0,IF(G266&gt;=2,5,10))+IF(H266/B266&lt;=25%,0,IF(H266/B266&lt;=50%,10,20))+IF(I266=36,0,IF(I266=48,3,6))</f>
        <v/>
      </c>
      <c r="L266" s="2">
        <f>850-K266*3.5</f>
        <v/>
      </c>
      <c r="M266" s="9">
        <f>1/(1+EXP(-(-4.2+0.055*K266)))</f>
        <v/>
      </c>
      <c r="N266" s="2">
        <f>IF(K266&lt;20,"A",IF(K266&lt;40,"B",IF(K266&lt;60,"C",IF(K266&lt;80,"D","E"))))</f>
        <v/>
      </c>
      <c r="O266" s="2">
        <f>IF(OR(N266="D",N266="E"),"Enhanced Review",IF(N266="C","Conditional","Approve"))</f>
        <v/>
      </c>
      <c r="P266" s="8">
        <f>H266*M266*45%</f>
        <v/>
      </c>
      <c r="Q266" s="9">
        <f>H266/B266</f>
        <v/>
      </c>
    </row>
    <row r="267">
      <c r="A267" s="11" t="inlineStr">
        <is>
          <t>B0263</t>
        </is>
      </c>
      <c r="B267" s="12" t="n">
        <v>66448</v>
      </c>
      <c r="C267" s="13" t="n">
        <v>0.3806917682133733</v>
      </c>
      <c r="D267" s="11" t="n">
        <v>697</v>
      </c>
      <c r="E267" s="13" t="n">
        <v>0.4371964303667334</v>
      </c>
      <c r="F267" s="11" t="n">
        <v>1</v>
      </c>
      <c r="G267" s="11" t="n">
        <v>5.4</v>
      </c>
      <c r="H267" s="12" t="n">
        <v>18707</v>
      </c>
      <c r="I267" s="11" t="n">
        <v>60</v>
      </c>
      <c r="J267" s="11" t="n">
        <v>0</v>
      </c>
      <c r="K267" s="2">
        <f>IF(D267&gt;=740,0,IF(D267&gt;=670,15,30))+IF(C267&lt;=25%,0,IF(C267&lt;=40%,15,30))+IF(E267&lt;=30%,0,IF(E267&lt;=60%,10,20))+IF(F267=0,0,IF(F267=1,10,25))+IF(G267&gt;=5,0,IF(G267&gt;=2,5,10))+IF(H267/B267&lt;=25%,0,IF(H267/B267&lt;=50%,10,20))+IF(I267=36,0,IF(I267=48,3,6))</f>
        <v/>
      </c>
      <c r="L267" s="2">
        <f>850-K267*3.5</f>
        <v/>
      </c>
      <c r="M267" s="9">
        <f>1/(1+EXP(-(-4.2+0.055*K267)))</f>
        <v/>
      </c>
      <c r="N267" s="2">
        <f>IF(K267&lt;20,"A",IF(K267&lt;40,"B",IF(K267&lt;60,"C",IF(K267&lt;80,"D","E"))))</f>
        <v/>
      </c>
      <c r="O267" s="2">
        <f>IF(OR(N267="D",N267="E"),"Enhanced Review",IF(N267="C","Conditional","Approve"))</f>
        <v/>
      </c>
      <c r="P267" s="8">
        <f>H267*M267*45%</f>
        <v/>
      </c>
      <c r="Q267" s="9">
        <f>H267/B267</f>
        <v/>
      </c>
    </row>
    <row r="268">
      <c r="A268" s="11" t="inlineStr">
        <is>
          <t>B0264</t>
        </is>
      </c>
      <c r="B268" s="12" t="n">
        <v>65377</v>
      </c>
      <c r="C268" s="13" t="n">
        <v>0.1078267824743302</v>
      </c>
      <c r="D268" s="11" t="n">
        <v>653</v>
      </c>
      <c r="E268" s="13" t="n">
        <v>0.5759759031090329</v>
      </c>
      <c r="F268" s="11" t="n">
        <v>1</v>
      </c>
      <c r="G268" s="11" t="n">
        <v>11.6</v>
      </c>
      <c r="H268" s="12" t="n">
        <v>11640</v>
      </c>
      <c r="I268" s="11" t="n">
        <v>36</v>
      </c>
      <c r="J268" s="11" t="n">
        <v>0</v>
      </c>
      <c r="K268" s="2">
        <f>IF(D268&gt;=740,0,IF(D268&gt;=670,15,30))+IF(C268&lt;=25%,0,IF(C268&lt;=40%,15,30))+IF(E268&lt;=30%,0,IF(E268&lt;=60%,10,20))+IF(F268=0,0,IF(F268=1,10,25))+IF(G268&gt;=5,0,IF(G268&gt;=2,5,10))+IF(H268/B268&lt;=25%,0,IF(H268/B268&lt;=50%,10,20))+IF(I268=36,0,IF(I268=48,3,6))</f>
        <v/>
      </c>
      <c r="L268" s="2">
        <f>850-K268*3.5</f>
        <v/>
      </c>
      <c r="M268" s="9">
        <f>1/(1+EXP(-(-4.2+0.055*K268)))</f>
        <v/>
      </c>
      <c r="N268" s="2">
        <f>IF(K268&lt;20,"A",IF(K268&lt;40,"B",IF(K268&lt;60,"C",IF(K268&lt;80,"D","E"))))</f>
        <v/>
      </c>
      <c r="O268" s="2">
        <f>IF(OR(N268="D",N268="E"),"Enhanced Review",IF(N268="C","Conditional","Approve"))</f>
        <v/>
      </c>
      <c r="P268" s="8">
        <f>H268*M268*45%</f>
        <v/>
      </c>
      <c r="Q268" s="9">
        <f>H268/B268</f>
        <v/>
      </c>
    </row>
    <row r="269">
      <c r="A269" s="11" t="inlineStr">
        <is>
          <t>B0265</t>
        </is>
      </c>
      <c r="B269" s="12" t="n">
        <v>61376</v>
      </c>
      <c r="C269" s="13" t="n">
        <v>0.387168416089923</v>
      </c>
      <c r="D269" s="11" t="n">
        <v>748</v>
      </c>
      <c r="E269" s="13" t="n">
        <v>0.3409849364234708</v>
      </c>
      <c r="F269" s="11" t="n">
        <v>5</v>
      </c>
      <c r="G269" s="11" t="n">
        <v>7.2</v>
      </c>
      <c r="H269" s="12" t="n">
        <v>16259</v>
      </c>
      <c r="I269" s="11" t="n">
        <v>60</v>
      </c>
      <c r="J269" s="11" t="n">
        <v>0</v>
      </c>
      <c r="K269" s="2">
        <f>IF(D269&gt;=740,0,IF(D269&gt;=670,15,30))+IF(C269&lt;=25%,0,IF(C269&lt;=40%,15,30))+IF(E269&lt;=30%,0,IF(E269&lt;=60%,10,20))+IF(F269=0,0,IF(F269=1,10,25))+IF(G269&gt;=5,0,IF(G269&gt;=2,5,10))+IF(H269/B269&lt;=25%,0,IF(H269/B269&lt;=50%,10,20))+IF(I269=36,0,IF(I269=48,3,6))</f>
        <v/>
      </c>
      <c r="L269" s="2">
        <f>850-K269*3.5</f>
        <v/>
      </c>
      <c r="M269" s="9">
        <f>1/(1+EXP(-(-4.2+0.055*K269)))</f>
        <v/>
      </c>
      <c r="N269" s="2">
        <f>IF(K269&lt;20,"A",IF(K269&lt;40,"B",IF(K269&lt;60,"C",IF(K269&lt;80,"D","E"))))</f>
        <v/>
      </c>
      <c r="O269" s="2">
        <f>IF(OR(N269="D",N269="E"),"Enhanced Review",IF(N269="C","Conditional","Approve"))</f>
        <v/>
      </c>
      <c r="P269" s="8">
        <f>H269*M269*45%</f>
        <v/>
      </c>
      <c r="Q269" s="9">
        <f>H269/B269</f>
        <v/>
      </c>
    </row>
    <row r="270">
      <c r="A270" s="11" t="inlineStr">
        <is>
          <t>B0266</t>
        </is>
      </c>
      <c r="B270" s="12" t="n">
        <v>87484</v>
      </c>
      <c r="C270" s="13" t="n">
        <v>0.1005018031869718</v>
      </c>
      <c r="D270" s="11" t="n">
        <v>778</v>
      </c>
      <c r="E270" s="13" t="n">
        <v>0.2193358795264005</v>
      </c>
      <c r="F270" s="11" t="n">
        <v>2</v>
      </c>
      <c r="G270" s="11" t="n">
        <v>8.699999999999999</v>
      </c>
      <c r="H270" s="12" t="n">
        <v>23544</v>
      </c>
      <c r="I270" s="11" t="n">
        <v>36</v>
      </c>
      <c r="J270" s="11" t="n">
        <v>0</v>
      </c>
      <c r="K270" s="2">
        <f>IF(D270&gt;=740,0,IF(D270&gt;=670,15,30))+IF(C270&lt;=25%,0,IF(C270&lt;=40%,15,30))+IF(E270&lt;=30%,0,IF(E270&lt;=60%,10,20))+IF(F270=0,0,IF(F270=1,10,25))+IF(G270&gt;=5,0,IF(G270&gt;=2,5,10))+IF(H270/B270&lt;=25%,0,IF(H270/B270&lt;=50%,10,20))+IF(I270=36,0,IF(I270=48,3,6))</f>
        <v/>
      </c>
      <c r="L270" s="2">
        <f>850-K270*3.5</f>
        <v/>
      </c>
      <c r="M270" s="9">
        <f>1/(1+EXP(-(-4.2+0.055*K270)))</f>
        <v/>
      </c>
      <c r="N270" s="2">
        <f>IF(K270&lt;20,"A",IF(K270&lt;40,"B",IF(K270&lt;60,"C",IF(K270&lt;80,"D","E"))))</f>
        <v/>
      </c>
      <c r="O270" s="2">
        <f>IF(OR(N270="D",N270="E"),"Enhanced Review",IF(N270="C","Conditional","Approve"))</f>
        <v/>
      </c>
      <c r="P270" s="8">
        <f>H270*M270*45%</f>
        <v/>
      </c>
      <c r="Q270" s="9">
        <f>H270/B270</f>
        <v/>
      </c>
    </row>
    <row r="271">
      <c r="A271" s="11" t="inlineStr">
        <is>
          <t>B0267</t>
        </is>
      </c>
      <c r="B271" s="12" t="n">
        <v>60561</v>
      </c>
      <c r="C271" s="13" t="n">
        <v>0.1517103501924754</v>
      </c>
      <c r="D271" s="11" t="n">
        <v>768</v>
      </c>
      <c r="E271" s="13" t="n">
        <v>0.2435995838998049</v>
      </c>
      <c r="F271" s="11" t="n">
        <v>0</v>
      </c>
      <c r="G271" s="11" t="n">
        <v>21.1</v>
      </c>
      <c r="H271" s="12" t="n">
        <v>31062</v>
      </c>
      <c r="I271" s="11" t="n">
        <v>36</v>
      </c>
      <c r="J271" s="11" t="n">
        <v>0</v>
      </c>
      <c r="K271" s="2">
        <f>IF(D271&gt;=740,0,IF(D271&gt;=670,15,30))+IF(C271&lt;=25%,0,IF(C271&lt;=40%,15,30))+IF(E271&lt;=30%,0,IF(E271&lt;=60%,10,20))+IF(F271=0,0,IF(F271=1,10,25))+IF(G271&gt;=5,0,IF(G271&gt;=2,5,10))+IF(H271/B271&lt;=25%,0,IF(H271/B271&lt;=50%,10,20))+IF(I271=36,0,IF(I271=48,3,6))</f>
        <v/>
      </c>
      <c r="L271" s="2">
        <f>850-K271*3.5</f>
        <v/>
      </c>
      <c r="M271" s="9">
        <f>1/(1+EXP(-(-4.2+0.055*K271)))</f>
        <v/>
      </c>
      <c r="N271" s="2">
        <f>IF(K271&lt;20,"A",IF(K271&lt;40,"B",IF(K271&lt;60,"C",IF(K271&lt;80,"D","E"))))</f>
        <v/>
      </c>
      <c r="O271" s="2">
        <f>IF(OR(N271="D",N271="E"),"Enhanced Review",IF(N271="C","Conditional","Approve"))</f>
        <v/>
      </c>
      <c r="P271" s="8">
        <f>H271*M271*45%</f>
        <v/>
      </c>
      <c r="Q271" s="9">
        <f>H271/B271</f>
        <v/>
      </c>
    </row>
    <row r="272">
      <c r="A272" s="11" t="inlineStr">
        <is>
          <t>B0268</t>
        </is>
      </c>
      <c r="B272" s="12" t="n">
        <v>60445</v>
      </c>
      <c r="C272" s="13" t="n">
        <v>0.1822477628832385</v>
      </c>
      <c r="D272" s="11" t="n">
        <v>723</v>
      </c>
      <c r="E272" s="13" t="n">
        <v>0.2627463953770325</v>
      </c>
      <c r="F272" s="11" t="n">
        <v>0</v>
      </c>
      <c r="G272" s="11" t="n">
        <v>18.1</v>
      </c>
      <c r="H272" s="12" t="n">
        <v>17586</v>
      </c>
      <c r="I272" s="11" t="n">
        <v>36</v>
      </c>
      <c r="J272" s="11" t="n">
        <v>0</v>
      </c>
      <c r="K272" s="2">
        <f>IF(D272&gt;=740,0,IF(D272&gt;=670,15,30))+IF(C272&lt;=25%,0,IF(C272&lt;=40%,15,30))+IF(E272&lt;=30%,0,IF(E272&lt;=60%,10,20))+IF(F272=0,0,IF(F272=1,10,25))+IF(G272&gt;=5,0,IF(G272&gt;=2,5,10))+IF(H272/B272&lt;=25%,0,IF(H272/B272&lt;=50%,10,20))+IF(I272=36,0,IF(I272=48,3,6))</f>
        <v/>
      </c>
      <c r="L272" s="2">
        <f>850-K272*3.5</f>
        <v/>
      </c>
      <c r="M272" s="9">
        <f>1/(1+EXP(-(-4.2+0.055*K272)))</f>
        <v/>
      </c>
      <c r="N272" s="2">
        <f>IF(K272&lt;20,"A",IF(K272&lt;40,"B",IF(K272&lt;60,"C",IF(K272&lt;80,"D","E"))))</f>
        <v/>
      </c>
      <c r="O272" s="2">
        <f>IF(OR(N272="D",N272="E"),"Enhanced Review",IF(N272="C","Conditional","Approve"))</f>
        <v/>
      </c>
      <c r="P272" s="8">
        <f>H272*M272*45%</f>
        <v/>
      </c>
      <c r="Q272" s="9">
        <f>H272/B272</f>
        <v/>
      </c>
    </row>
    <row r="273">
      <c r="A273" s="11" t="inlineStr">
        <is>
          <t>B0269</t>
        </is>
      </c>
      <c r="B273" s="12" t="n">
        <v>57864</v>
      </c>
      <c r="C273" s="13" t="n">
        <v>0.5428662860561846</v>
      </c>
      <c r="D273" s="11" t="n">
        <v>651</v>
      </c>
      <c r="E273" s="13" t="n">
        <v>0.2469073583649647</v>
      </c>
      <c r="F273" s="11" t="n">
        <v>0</v>
      </c>
      <c r="G273" s="11" t="n">
        <v>11.2</v>
      </c>
      <c r="H273" s="12" t="n">
        <v>17072</v>
      </c>
      <c r="I273" s="11" t="n">
        <v>60</v>
      </c>
      <c r="J273" s="11" t="n">
        <v>0</v>
      </c>
      <c r="K273" s="2">
        <f>IF(D273&gt;=740,0,IF(D273&gt;=670,15,30))+IF(C273&lt;=25%,0,IF(C273&lt;=40%,15,30))+IF(E273&lt;=30%,0,IF(E273&lt;=60%,10,20))+IF(F273=0,0,IF(F273=1,10,25))+IF(G273&gt;=5,0,IF(G273&gt;=2,5,10))+IF(H273/B273&lt;=25%,0,IF(H273/B273&lt;=50%,10,20))+IF(I273=36,0,IF(I273=48,3,6))</f>
        <v/>
      </c>
      <c r="L273" s="2">
        <f>850-K273*3.5</f>
        <v/>
      </c>
      <c r="M273" s="9">
        <f>1/(1+EXP(-(-4.2+0.055*K273)))</f>
        <v/>
      </c>
      <c r="N273" s="2">
        <f>IF(K273&lt;20,"A",IF(K273&lt;40,"B",IF(K273&lt;60,"C",IF(K273&lt;80,"D","E"))))</f>
        <v/>
      </c>
      <c r="O273" s="2">
        <f>IF(OR(N273="D",N273="E"),"Enhanced Review",IF(N273="C","Conditional","Approve"))</f>
        <v/>
      </c>
      <c r="P273" s="8">
        <f>H273*M273*45%</f>
        <v/>
      </c>
      <c r="Q273" s="9">
        <f>H273/B273</f>
        <v/>
      </c>
    </row>
    <row r="274">
      <c r="A274" s="11" t="inlineStr">
        <is>
          <t>B0270</t>
        </is>
      </c>
      <c r="B274" s="12" t="n">
        <v>188312</v>
      </c>
      <c r="C274" s="13" t="n">
        <v>0.1811970818346355</v>
      </c>
      <c r="D274" s="11" t="n">
        <v>768</v>
      </c>
      <c r="E274" s="13" t="n">
        <v>0.6135846460999808</v>
      </c>
      <c r="F274" s="11" t="n">
        <v>0</v>
      </c>
      <c r="G274" s="11" t="n">
        <v>8.199999999999999</v>
      </c>
      <c r="H274" s="12" t="n">
        <v>41631</v>
      </c>
      <c r="I274" s="11" t="n">
        <v>48</v>
      </c>
      <c r="J274" s="11" t="n">
        <v>0</v>
      </c>
      <c r="K274" s="2">
        <f>IF(D274&gt;=740,0,IF(D274&gt;=670,15,30))+IF(C274&lt;=25%,0,IF(C274&lt;=40%,15,30))+IF(E274&lt;=30%,0,IF(E274&lt;=60%,10,20))+IF(F274=0,0,IF(F274=1,10,25))+IF(G274&gt;=5,0,IF(G274&gt;=2,5,10))+IF(H274/B274&lt;=25%,0,IF(H274/B274&lt;=50%,10,20))+IF(I274=36,0,IF(I274=48,3,6))</f>
        <v/>
      </c>
      <c r="L274" s="2">
        <f>850-K274*3.5</f>
        <v/>
      </c>
      <c r="M274" s="9">
        <f>1/(1+EXP(-(-4.2+0.055*K274)))</f>
        <v/>
      </c>
      <c r="N274" s="2">
        <f>IF(K274&lt;20,"A",IF(K274&lt;40,"B",IF(K274&lt;60,"C",IF(K274&lt;80,"D","E"))))</f>
        <v/>
      </c>
      <c r="O274" s="2">
        <f>IF(OR(N274="D",N274="E"),"Enhanced Review",IF(N274="C","Conditional","Approve"))</f>
        <v/>
      </c>
      <c r="P274" s="8">
        <f>H274*M274*45%</f>
        <v/>
      </c>
      <c r="Q274" s="9">
        <f>H274/B274</f>
        <v/>
      </c>
    </row>
    <row r="275">
      <c r="A275" s="11" t="inlineStr">
        <is>
          <t>B0271</t>
        </is>
      </c>
      <c r="B275" s="12" t="n">
        <v>82697</v>
      </c>
      <c r="C275" s="13" t="n">
        <v>0.1321414220437351</v>
      </c>
      <c r="D275" s="11" t="n">
        <v>648</v>
      </c>
      <c r="E275" s="13" t="n">
        <v>0.4428225538913868</v>
      </c>
      <c r="F275" s="11" t="n">
        <v>2</v>
      </c>
      <c r="G275" s="11" t="n">
        <v>4</v>
      </c>
      <c r="H275" s="12" t="n">
        <v>18108</v>
      </c>
      <c r="I275" s="11" t="n">
        <v>48</v>
      </c>
      <c r="J275" s="11" t="n">
        <v>1</v>
      </c>
      <c r="K275" s="2">
        <f>IF(D275&gt;=740,0,IF(D275&gt;=670,15,30))+IF(C275&lt;=25%,0,IF(C275&lt;=40%,15,30))+IF(E275&lt;=30%,0,IF(E275&lt;=60%,10,20))+IF(F275=0,0,IF(F275=1,10,25))+IF(G275&gt;=5,0,IF(G275&gt;=2,5,10))+IF(H275/B275&lt;=25%,0,IF(H275/B275&lt;=50%,10,20))+IF(I275=36,0,IF(I275=48,3,6))</f>
        <v/>
      </c>
      <c r="L275" s="2">
        <f>850-K275*3.5</f>
        <v/>
      </c>
      <c r="M275" s="9">
        <f>1/(1+EXP(-(-4.2+0.055*K275)))</f>
        <v/>
      </c>
      <c r="N275" s="2">
        <f>IF(K275&lt;20,"A",IF(K275&lt;40,"B",IF(K275&lt;60,"C",IF(K275&lt;80,"D","E"))))</f>
        <v/>
      </c>
      <c r="O275" s="2">
        <f>IF(OR(N275="D",N275="E"),"Enhanced Review",IF(N275="C","Conditional","Approve"))</f>
        <v/>
      </c>
      <c r="P275" s="8">
        <f>H275*M275*45%</f>
        <v/>
      </c>
      <c r="Q275" s="9">
        <f>H275/B275</f>
        <v/>
      </c>
    </row>
    <row r="276">
      <c r="A276" s="11" t="inlineStr">
        <is>
          <t>B0272</t>
        </is>
      </c>
      <c r="B276" s="12" t="n">
        <v>77231</v>
      </c>
      <c r="C276" s="13" t="n">
        <v>0.1661361402617924</v>
      </c>
      <c r="D276" s="11" t="n">
        <v>734</v>
      </c>
      <c r="E276" s="13" t="n">
        <v>0.346551940968782</v>
      </c>
      <c r="F276" s="11" t="n">
        <v>0</v>
      </c>
      <c r="G276" s="11" t="n">
        <v>3</v>
      </c>
      <c r="H276" s="12" t="n">
        <v>5946</v>
      </c>
      <c r="I276" s="11" t="n">
        <v>36</v>
      </c>
      <c r="J276" s="11" t="n">
        <v>0</v>
      </c>
      <c r="K276" s="2">
        <f>IF(D276&gt;=740,0,IF(D276&gt;=670,15,30))+IF(C276&lt;=25%,0,IF(C276&lt;=40%,15,30))+IF(E276&lt;=30%,0,IF(E276&lt;=60%,10,20))+IF(F276=0,0,IF(F276=1,10,25))+IF(G276&gt;=5,0,IF(G276&gt;=2,5,10))+IF(H276/B276&lt;=25%,0,IF(H276/B276&lt;=50%,10,20))+IF(I276=36,0,IF(I276=48,3,6))</f>
        <v/>
      </c>
      <c r="L276" s="2">
        <f>850-K276*3.5</f>
        <v/>
      </c>
      <c r="M276" s="9">
        <f>1/(1+EXP(-(-4.2+0.055*K276)))</f>
        <v/>
      </c>
      <c r="N276" s="2">
        <f>IF(K276&lt;20,"A",IF(K276&lt;40,"B",IF(K276&lt;60,"C",IF(K276&lt;80,"D","E"))))</f>
        <v/>
      </c>
      <c r="O276" s="2">
        <f>IF(OR(N276="D",N276="E"),"Enhanced Review",IF(N276="C","Conditional","Approve"))</f>
        <v/>
      </c>
      <c r="P276" s="8">
        <f>H276*M276*45%</f>
        <v/>
      </c>
      <c r="Q276" s="9">
        <f>H276/B276</f>
        <v/>
      </c>
    </row>
    <row r="277">
      <c r="A277" s="11" t="inlineStr">
        <is>
          <t>B0273</t>
        </is>
      </c>
      <c r="B277" s="12" t="n">
        <v>88775</v>
      </c>
      <c r="C277" s="13" t="n">
        <v>0.3411864790291571</v>
      </c>
      <c r="D277" s="11" t="n">
        <v>748</v>
      </c>
      <c r="E277" s="13" t="n">
        <v>0.4801091802070114</v>
      </c>
      <c r="F277" s="11" t="n">
        <v>0</v>
      </c>
      <c r="G277" s="11" t="n">
        <v>6.1</v>
      </c>
      <c r="H277" s="12" t="n">
        <v>26628</v>
      </c>
      <c r="I277" s="11" t="n">
        <v>36</v>
      </c>
      <c r="J277" s="11" t="n">
        <v>1</v>
      </c>
      <c r="K277" s="2">
        <f>IF(D277&gt;=740,0,IF(D277&gt;=670,15,30))+IF(C277&lt;=25%,0,IF(C277&lt;=40%,15,30))+IF(E277&lt;=30%,0,IF(E277&lt;=60%,10,20))+IF(F277=0,0,IF(F277=1,10,25))+IF(G277&gt;=5,0,IF(G277&gt;=2,5,10))+IF(H277/B277&lt;=25%,0,IF(H277/B277&lt;=50%,10,20))+IF(I277=36,0,IF(I277=48,3,6))</f>
        <v/>
      </c>
      <c r="L277" s="2">
        <f>850-K277*3.5</f>
        <v/>
      </c>
      <c r="M277" s="9">
        <f>1/(1+EXP(-(-4.2+0.055*K277)))</f>
        <v/>
      </c>
      <c r="N277" s="2">
        <f>IF(K277&lt;20,"A",IF(K277&lt;40,"B",IF(K277&lt;60,"C",IF(K277&lt;80,"D","E"))))</f>
        <v/>
      </c>
      <c r="O277" s="2">
        <f>IF(OR(N277="D",N277="E"),"Enhanced Review",IF(N277="C","Conditional","Approve"))</f>
        <v/>
      </c>
      <c r="P277" s="8">
        <f>H277*M277*45%</f>
        <v/>
      </c>
      <c r="Q277" s="9">
        <f>H277/B277</f>
        <v/>
      </c>
    </row>
    <row r="278">
      <c r="A278" s="11" t="inlineStr">
        <is>
          <t>B0274</t>
        </is>
      </c>
      <c r="B278" s="12" t="n">
        <v>62156</v>
      </c>
      <c r="C278" s="13" t="n">
        <v>0.4515105969304029</v>
      </c>
      <c r="D278" s="11" t="n">
        <v>739</v>
      </c>
      <c r="E278" s="13" t="n">
        <v>0.3719347767713894</v>
      </c>
      <c r="F278" s="11" t="n">
        <v>0</v>
      </c>
      <c r="G278" s="11" t="n">
        <v>1.3</v>
      </c>
      <c r="H278" s="12" t="n">
        <v>17013</v>
      </c>
      <c r="I278" s="11" t="n">
        <v>60</v>
      </c>
      <c r="J278" s="11" t="n">
        <v>0</v>
      </c>
      <c r="K278" s="2">
        <f>IF(D278&gt;=740,0,IF(D278&gt;=670,15,30))+IF(C278&lt;=25%,0,IF(C278&lt;=40%,15,30))+IF(E278&lt;=30%,0,IF(E278&lt;=60%,10,20))+IF(F278=0,0,IF(F278=1,10,25))+IF(G278&gt;=5,0,IF(G278&gt;=2,5,10))+IF(H278/B278&lt;=25%,0,IF(H278/B278&lt;=50%,10,20))+IF(I278=36,0,IF(I278=48,3,6))</f>
        <v/>
      </c>
      <c r="L278" s="2">
        <f>850-K278*3.5</f>
        <v/>
      </c>
      <c r="M278" s="9">
        <f>1/(1+EXP(-(-4.2+0.055*K278)))</f>
        <v/>
      </c>
      <c r="N278" s="2">
        <f>IF(K278&lt;20,"A",IF(K278&lt;40,"B",IF(K278&lt;60,"C",IF(K278&lt;80,"D","E"))))</f>
        <v/>
      </c>
      <c r="O278" s="2">
        <f>IF(OR(N278="D",N278="E"),"Enhanced Review",IF(N278="C","Conditional","Approve"))</f>
        <v/>
      </c>
      <c r="P278" s="8">
        <f>H278*M278*45%</f>
        <v/>
      </c>
      <c r="Q278" s="9">
        <f>H278/B278</f>
        <v/>
      </c>
    </row>
    <row r="279">
      <c r="A279" s="11" t="inlineStr">
        <is>
          <t>B0275</t>
        </is>
      </c>
      <c r="B279" s="12" t="n">
        <v>35401</v>
      </c>
      <c r="C279" s="13" t="n">
        <v>0.2762189890305616</v>
      </c>
      <c r="D279" s="11" t="n">
        <v>646</v>
      </c>
      <c r="E279" s="13" t="n">
        <v>0.2985103270229085</v>
      </c>
      <c r="F279" s="11" t="n">
        <v>1</v>
      </c>
      <c r="G279" s="11" t="n">
        <v>2</v>
      </c>
      <c r="H279" s="12" t="n">
        <v>15955</v>
      </c>
      <c r="I279" s="11" t="n">
        <v>60</v>
      </c>
      <c r="J279" s="11" t="n">
        <v>1</v>
      </c>
      <c r="K279" s="2">
        <f>IF(D279&gt;=740,0,IF(D279&gt;=670,15,30))+IF(C279&lt;=25%,0,IF(C279&lt;=40%,15,30))+IF(E279&lt;=30%,0,IF(E279&lt;=60%,10,20))+IF(F279=0,0,IF(F279=1,10,25))+IF(G279&gt;=5,0,IF(G279&gt;=2,5,10))+IF(H279/B279&lt;=25%,0,IF(H279/B279&lt;=50%,10,20))+IF(I279=36,0,IF(I279=48,3,6))</f>
        <v/>
      </c>
      <c r="L279" s="2">
        <f>850-K279*3.5</f>
        <v/>
      </c>
      <c r="M279" s="9">
        <f>1/(1+EXP(-(-4.2+0.055*K279)))</f>
        <v/>
      </c>
      <c r="N279" s="2">
        <f>IF(K279&lt;20,"A",IF(K279&lt;40,"B",IF(K279&lt;60,"C",IF(K279&lt;80,"D","E"))))</f>
        <v/>
      </c>
      <c r="O279" s="2">
        <f>IF(OR(N279="D",N279="E"),"Enhanced Review",IF(N279="C","Conditional","Approve"))</f>
        <v/>
      </c>
      <c r="P279" s="8">
        <f>H279*M279*45%</f>
        <v/>
      </c>
      <c r="Q279" s="9">
        <f>H279/B279</f>
        <v/>
      </c>
    </row>
    <row r="280">
      <c r="A280" s="11" t="inlineStr">
        <is>
          <t>B0276</t>
        </is>
      </c>
      <c r="B280" s="12" t="n">
        <v>67403</v>
      </c>
      <c r="C280" s="13" t="n">
        <v>0.2817527469891519</v>
      </c>
      <c r="D280" s="11" t="n">
        <v>764</v>
      </c>
      <c r="E280" s="13" t="n">
        <v>0.807212382074964</v>
      </c>
      <c r="F280" s="11" t="n">
        <v>0</v>
      </c>
      <c r="G280" s="11" t="n">
        <v>9.5</v>
      </c>
      <c r="H280" s="12" t="n">
        <v>6549</v>
      </c>
      <c r="I280" s="11" t="n">
        <v>36</v>
      </c>
      <c r="J280" s="11" t="n">
        <v>0</v>
      </c>
      <c r="K280" s="2">
        <f>IF(D280&gt;=740,0,IF(D280&gt;=670,15,30))+IF(C280&lt;=25%,0,IF(C280&lt;=40%,15,30))+IF(E280&lt;=30%,0,IF(E280&lt;=60%,10,20))+IF(F280=0,0,IF(F280=1,10,25))+IF(G280&gt;=5,0,IF(G280&gt;=2,5,10))+IF(H280/B280&lt;=25%,0,IF(H280/B280&lt;=50%,10,20))+IF(I280=36,0,IF(I280=48,3,6))</f>
        <v/>
      </c>
      <c r="L280" s="2">
        <f>850-K280*3.5</f>
        <v/>
      </c>
      <c r="M280" s="9">
        <f>1/(1+EXP(-(-4.2+0.055*K280)))</f>
        <v/>
      </c>
      <c r="N280" s="2">
        <f>IF(K280&lt;20,"A",IF(K280&lt;40,"B",IF(K280&lt;60,"C",IF(K280&lt;80,"D","E"))))</f>
        <v/>
      </c>
      <c r="O280" s="2">
        <f>IF(OR(N280="D",N280="E"),"Enhanced Review",IF(N280="C","Conditional","Approve"))</f>
        <v/>
      </c>
      <c r="P280" s="8">
        <f>H280*M280*45%</f>
        <v/>
      </c>
      <c r="Q280" s="9">
        <f>H280/B280</f>
        <v/>
      </c>
    </row>
    <row r="281">
      <c r="A281" s="11" t="inlineStr">
        <is>
          <t>B0277</t>
        </is>
      </c>
      <c r="B281" s="12" t="n">
        <v>29415</v>
      </c>
      <c r="C281" s="13" t="n">
        <v>0.3502387447043543</v>
      </c>
      <c r="D281" s="11" t="n">
        <v>696</v>
      </c>
      <c r="E281" s="13" t="n">
        <v>0.1151914303172446</v>
      </c>
      <c r="F281" s="11" t="n">
        <v>0</v>
      </c>
      <c r="G281" s="11" t="n">
        <v>6.8</v>
      </c>
      <c r="H281" s="12" t="n">
        <v>23127</v>
      </c>
      <c r="I281" s="11" t="n">
        <v>36</v>
      </c>
      <c r="J281" s="11" t="n">
        <v>0</v>
      </c>
      <c r="K281" s="2">
        <f>IF(D281&gt;=740,0,IF(D281&gt;=670,15,30))+IF(C281&lt;=25%,0,IF(C281&lt;=40%,15,30))+IF(E281&lt;=30%,0,IF(E281&lt;=60%,10,20))+IF(F281=0,0,IF(F281=1,10,25))+IF(G281&gt;=5,0,IF(G281&gt;=2,5,10))+IF(H281/B281&lt;=25%,0,IF(H281/B281&lt;=50%,10,20))+IF(I281=36,0,IF(I281=48,3,6))</f>
        <v/>
      </c>
      <c r="L281" s="2">
        <f>850-K281*3.5</f>
        <v/>
      </c>
      <c r="M281" s="9">
        <f>1/(1+EXP(-(-4.2+0.055*K281)))</f>
        <v/>
      </c>
      <c r="N281" s="2">
        <f>IF(K281&lt;20,"A",IF(K281&lt;40,"B",IF(K281&lt;60,"C",IF(K281&lt;80,"D","E"))))</f>
        <v/>
      </c>
      <c r="O281" s="2">
        <f>IF(OR(N281="D",N281="E"),"Enhanced Review",IF(N281="C","Conditional","Approve"))</f>
        <v/>
      </c>
      <c r="P281" s="8">
        <f>H281*M281*45%</f>
        <v/>
      </c>
      <c r="Q281" s="9">
        <f>H281/B281</f>
        <v/>
      </c>
    </row>
    <row r="282">
      <c r="A282" s="11" t="inlineStr">
        <is>
          <t>B0278</t>
        </is>
      </c>
      <c r="B282" s="12" t="n">
        <v>87758</v>
      </c>
      <c r="C282" s="13" t="n">
        <v>0.2945979700882736</v>
      </c>
      <c r="D282" s="11" t="n">
        <v>603</v>
      </c>
      <c r="E282" s="13" t="n">
        <v>0.8167796514096503</v>
      </c>
      <c r="F282" s="11" t="n">
        <v>0</v>
      </c>
      <c r="G282" s="11" t="n">
        <v>1.3</v>
      </c>
      <c r="H282" s="12" t="n">
        <v>18785</v>
      </c>
      <c r="I282" s="11" t="n">
        <v>36</v>
      </c>
      <c r="J282" s="11" t="n">
        <v>0</v>
      </c>
      <c r="K282" s="2">
        <f>IF(D282&gt;=740,0,IF(D282&gt;=670,15,30))+IF(C282&lt;=25%,0,IF(C282&lt;=40%,15,30))+IF(E282&lt;=30%,0,IF(E282&lt;=60%,10,20))+IF(F282=0,0,IF(F282=1,10,25))+IF(G282&gt;=5,0,IF(G282&gt;=2,5,10))+IF(H282/B282&lt;=25%,0,IF(H282/B282&lt;=50%,10,20))+IF(I282=36,0,IF(I282=48,3,6))</f>
        <v/>
      </c>
      <c r="L282" s="2">
        <f>850-K282*3.5</f>
        <v/>
      </c>
      <c r="M282" s="9">
        <f>1/(1+EXP(-(-4.2+0.055*K282)))</f>
        <v/>
      </c>
      <c r="N282" s="2">
        <f>IF(K282&lt;20,"A",IF(K282&lt;40,"B",IF(K282&lt;60,"C",IF(K282&lt;80,"D","E"))))</f>
        <v/>
      </c>
      <c r="O282" s="2">
        <f>IF(OR(N282="D",N282="E"),"Enhanced Review",IF(N282="C","Conditional","Approve"))</f>
        <v/>
      </c>
      <c r="P282" s="8">
        <f>H282*M282*45%</f>
        <v/>
      </c>
      <c r="Q282" s="9">
        <f>H282/B282</f>
        <v/>
      </c>
    </row>
    <row r="283">
      <c r="A283" s="11" t="inlineStr">
        <is>
          <t>B0279</t>
        </is>
      </c>
      <c r="B283" s="12" t="n">
        <v>124793</v>
      </c>
      <c r="C283" s="13" t="n">
        <v>0.1848858480407854</v>
      </c>
      <c r="D283" s="11" t="n">
        <v>770</v>
      </c>
      <c r="E283" s="13" t="n">
        <v>0.3279099449205483</v>
      </c>
      <c r="F283" s="11" t="n">
        <v>0</v>
      </c>
      <c r="G283" s="11" t="n">
        <v>13.2</v>
      </c>
      <c r="H283" s="12" t="n">
        <v>12296</v>
      </c>
      <c r="I283" s="11" t="n">
        <v>36</v>
      </c>
      <c r="J283" s="11" t="n">
        <v>0</v>
      </c>
      <c r="K283" s="2">
        <f>IF(D283&gt;=740,0,IF(D283&gt;=670,15,30))+IF(C283&lt;=25%,0,IF(C283&lt;=40%,15,30))+IF(E283&lt;=30%,0,IF(E283&lt;=60%,10,20))+IF(F283=0,0,IF(F283=1,10,25))+IF(G283&gt;=5,0,IF(G283&gt;=2,5,10))+IF(H283/B283&lt;=25%,0,IF(H283/B283&lt;=50%,10,20))+IF(I283=36,0,IF(I283=48,3,6))</f>
        <v/>
      </c>
      <c r="L283" s="2">
        <f>850-K283*3.5</f>
        <v/>
      </c>
      <c r="M283" s="9">
        <f>1/(1+EXP(-(-4.2+0.055*K283)))</f>
        <v/>
      </c>
      <c r="N283" s="2">
        <f>IF(K283&lt;20,"A",IF(K283&lt;40,"B",IF(K283&lt;60,"C",IF(K283&lt;80,"D","E"))))</f>
        <v/>
      </c>
      <c r="O283" s="2">
        <f>IF(OR(N283="D",N283="E"),"Enhanced Review",IF(N283="C","Conditional","Approve"))</f>
        <v/>
      </c>
      <c r="P283" s="8">
        <f>H283*M283*45%</f>
        <v/>
      </c>
      <c r="Q283" s="9">
        <f>H283/B283</f>
        <v/>
      </c>
    </row>
    <row r="284">
      <c r="A284" s="11" t="inlineStr">
        <is>
          <t>B0280</t>
        </is>
      </c>
      <c r="B284" s="12" t="n">
        <v>102863</v>
      </c>
      <c r="C284" s="13" t="n">
        <v>0.32545598025286</v>
      </c>
      <c r="D284" s="11" t="n">
        <v>759</v>
      </c>
      <c r="E284" s="13" t="n">
        <v>0.3859041017557173</v>
      </c>
      <c r="F284" s="11" t="n">
        <v>0</v>
      </c>
      <c r="G284" s="11" t="n">
        <v>9.800000000000001</v>
      </c>
      <c r="H284" s="12" t="n">
        <v>41684</v>
      </c>
      <c r="I284" s="11" t="n">
        <v>36</v>
      </c>
      <c r="J284" s="11" t="n">
        <v>0</v>
      </c>
      <c r="K284" s="2">
        <f>IF(D284&gt;=740,0,IF(D284&gt;=670,15,30))+IF(C284&lt;=25%,0,IF(C284&lt;=40%,15,30))+IF(E284&lt;=30%,0,IF(E284&lt;=60%,10,20))+IF(F284=0,0,IF(F284=1,10,25))+IF(G284&gt;=5,0,IF(G284&gt;=2,5,10))+IF(H284/B284&lt;=25%,0,IF(H284/B284&lt;=50%,10,20))+IF(I284=36,0,IF(I284=48,3,6))</f>
        <v/>
      </c>
      <c r="L284" s="2">
        <f>850-K284*3.5</f>
        <v/>
      </c>
      <c r="M284" s="9">
        <f>1/(1+EXP(-(-4.2+0.055*K284)))</f>
        <v/>
      </c>
      <c r="N284" s="2">
        <f>IF(K284&lt;20,"A",IF(K284&lt;40,"B",IF(K284&lt;60,"C",IF(K284&lt;80,"D","E"))))</f>
        <v/>
      </c>
      <c r="O284" s="2">
        <f>IF(OR(N284="D",N284="E"),"Enhanced Review",IF(N284="C","Conditional","Approve"))</f>
        <v/>
      </c>
      <c r="P284" s="8">
        <f>H284*M284*45%</f>
        <v/>
      </c>
      <c r="Q284" s="9">
        <f>H284/B284</f>
        <v/>
      </c>
    </row>
    <row r="285">
      <c r="A285" s="11" t="inlineStr">
        <is>
          <t>B0281</t>
        </is>
      </c>
      <c r="B285" s="12" t="n">
        <v>109120</v>
      </c>
      <c r="C285" s="13" t="n">
        <v>0.2274490153447619</v>
      </c>
      <c r="D285" s="11" t="n">
        <v>661</v>
      </c>
      <c r="E285" s="13" t="n">
        <v>0.6637477820592549</v>
      </c>
      <c r="F285" s="11" t="n">
        <v>1</v>
      </c>
      <c r="G285" s="11" t="n">
        <v>13.6</v>
      </c>
      <c r="H285" s="12" t="n">
        <v>24906</v>
      </c>
      <c r="I285" s="11" t="n">
        <v>60</v>
      </c>
      <c r="J285" s="11" t="n">
        <v>0</v>
      </c>
      <c r="K285" s="2">
        <f>IF(D285&gt;=740,0,IF(D285&gt;=670,15,30))+IF(C285&lt;=25%,0,IF(C285&lt;=40%,15,30))+IF(E285&lt;=30%,0,IF(E285&lt;=60%,10,20))+IF(F285=0,0,IF(F285=1,10,25))+IF(G285&gt;=5,0,IF(G285&gt;=2,5,10))+IF(H285/B285&lt;=25%,0,IF(H285/B285&lt;=50%,10,20))+IF(I285=36,0,IF(I285=48,3,6))</f>
        <v/>
      </c>
      <c r="L285" s="2">
        <f>850-K285*3.5</f>
        <v/>
      </c>
      <c r="M285" s="9">
        <f>1/(1+EXP(-(-4.2+0.055*K285)))</f>
        <v/>
      </c>
      <c r="N285" s="2">
        <f>IF(K285&lt;20,"A",IF(K285&lt;40,"B",IF(K285&lt;60,"C",IF(K285&lt;80,"D","E"))))</f>
        <v/>
      </c>
      <c r="O285" s="2">
        <f>IF(OR(N285="D",N285="E"),"Enhanced Review",IF(N285="C","Conditional","Approve"))</f>
        <v/>
      </c>
      <c r="P285" s="8">
        <f>H285*M285*45%</f>
        <v/>
      </c>
      <c r="Q285" s="9">
        <f>H285/B285</f>
        <v/>
      </c>
    </row>
    <row r="286">
      <c r="A286" s="11" t="inlineStr">
        <is>
          <t>B0282</t>
        </is>
      </c>
      <c r="B286" s="12" t="n">
        <v>203639</v>
      </c>
      <c r="C286" s="13" t="n">
        <v>0.2821258182178388</v>
      </c>
      <c r="D286" s="11" t="n">
        <v>715</v>
      </c>
      <c r="E286" s="13" t="n">
        <v>0.5649950126715974</v>
      </c>
      <c r="F286" s="11" t="n">
        <v>1</v>
      </c>
      <c r="G286" s="11" t="n">
        <v>1.4</v>
      </c>
      <c r="H286" s="12" t="n">
        <v>11942</v>
      </c>
      <c r="I286" s="11" t="n">
        <v>36</v>
      </c>
      <c r="J286" s="11" t="n">
        <v>1</v>
      </c>
      <c r="K286" s="2">
        <f>IF(D286&gt;=740,0,IF(D286&gt;=670,15,30))+IF(C286&lt;=25%,0,IF(C286&lt;=40%,15,30))+IF(E286&lt;=30%,0,IF(E286&lt;=60%,10,20))+IF(F286=0,0,IF(F286=1,10,25))+IF(G286&gt;=5,0,IF(G286&gt;=2,5,10))+IF(H286/B286&lt;=25%,0,IF(H286/B286&lt;=50%,10,20))+IF(I286=36,0,IF(I286=48,3,6))</f>
        <v/>
      </c>
      <c r="L286" s="2">
        <f>850-K286*3.5</f>
        <v/>
      </c>
      <c r="M286" s="9">
        <f>1/(1+EXP(-(-4.2+0.055*K286)))</f>
        <v/>
      </c>
      <c r="N286" s="2">
        <f>IF(K286&lt;20,"A",IF(K286&lt;40,"B",IF(K286&lt;60,"C",IF(K286&lt;80,"D","E"))))</f>
        <v/>
      </c>
      <c r="O286" s="2">
        <f>IF(OR(N286="D",N286="E"),"Enhanced Review",IF(N286="C","Conditional","Approve"))</f>
        <v/>
      </c>
      <c r="P286" s="8">
        <f>H286*M286*45%</f>
        <v/>
      </c>
      <c r="Q286" s="9">
        <f>H286/B286</f>
        <v/>
      </c>
    </row>
    <row r="287">
      <c r="A287" s="11" t="inlineStr">
        <is>
          <t>B0283</t>
        </is>
      </c>
      <c r="B287" s="12" t="n">
        <v>78174</v>
      </c>
      <c r="C287" s="13" t="n">
        <v>0.1207711736526332</v>
      </c>
      <c r="D287" s="11" t="n">
        <v>648</v>
      </c>
      <c r="E287" s="13" t="n">
        <v>0.4607723269406228</v>
      </c>
      <c r="F287" s="11" t="n">
        <v>0</v>
      </c>
      <c r="G287" s="11" t="n">
        <v>4.4</v>
      </c>
      <c r="H287" s="12" t="n">
        <v>12010</v>
      </c>
      <c r="I287" s="11" t="n">
        <v>48</v>
      </c>
      <c r="J287" s="11" t="n">
        <v>0</v>
      </c>
      <c r="K287" s="2">
        <f>IF(D287&gt;=740,0,IF(D287&gt;=670,15,30))+IF(C287&lt;=25%,0,IF(C287&lt;=40%,15,30))+IF(E287&lt;=30%,0,IF(E287&lt;=60%,10,20))+IF(F287=0,0,IF(F287=1,10,25))+IF(G287&gt;=5,0,IF(G287&gt;=2,5,10))+IF(H287/B287&lt;=25%,0,IF(H287/B287&lt;=50%,10,20))+IF(I287=36,0,IF(I287=48,3,6))</f>
        <v/>
      </c>
      <c r="L287" s="2">
        <f>850-K287*3.5</f>
        <v/>
      </c>
      <c r="M287" s="9">
        <f>1/(1+EXP(-(-4.2+0.055*K287)))</f>
        <v/>
      </c>
      <c r="N287" s="2">
        <f>IF(K287&lt;20,"A",IF(K287&lt;40,"B",IF(K287&lt;60,"C",IF(K287&lt;80,"D","E"))))</f>
        <v/>
      </c>
      <c r="O287" s="2">
        <f>IF(OR(N287="D",N287="E"),"Enhanced Review",IF(N287="C","Conditional","Approve"))</f>
        <v/>
      </c>
      <c r="P287" s="8">
        <f>H287*M287*45%</f>
        <v/>
      </c>
      <c r="Q287" s="9">
        <f>H287/B287</f>
        <v/>
      </c>
    </row>
    <row r="288">
      <c r="A288" s="11" t="inlineStr">
        <is>
          <t>B0284</t>
        </is>
      </c>
      <c r="B288" s="12" t="n">
        <v>143211</v>
      </c>
      <c r="C288" s="13" t="n">
        <v>0.4086339002669798</v>
      </c>
      <c r="D288" s="11" t="n">
        <v>704</v>
      </c>
      <c r="E288" s="13" t="n">
        <v>0.21436814358761</v>
      </c>
      <c r="F288" s="11" t="n">
        <v>1</v>
      </c>
      <c r="G288" s="11" t="n">
        <v>4</v>
      </c>
      <c r="H288" s="12" t="n">
        <v>9804</v>
      </c>
      <c r="I288" s="11" t="n">
        <v>48</v>
      </c>
      <c r="J288" s="11" t="n">
        <v>0</v>
      </c>
      <c r="K288" s="2">
        <f>IF(D288&gt;=740,0,IF(D288&gt;=670,15,30))+IF(C288&lt;=25%,0,IF(C288&lt;=40%,15,30))+IF(E288&lt;=30%,0,IF(E288&lt;=60%,10,20))+IF(F288=0,0,IF(F288=1,10,25))+IF(G288&gt;=5,0,IF(G288&gt;=2,5,10))+IF(H288/B288&lt;=25%,0,IF(H288/B288&lt;=50%,10,20))+IF(I288=36,0,IF(I288=48,3,6))</f>
        <v/>
      </c>
      <c r="L288" s="2">
        <f>850-K288*3.5</f>
        <v/>
      </c>
      <c r="M288" s="9">
        <f>1/(1+EXP(-(-4.2+0.055*K288)))</f>
        <v/>
      </c>
      <c r="N288" s="2">
        <f>IF(K288&lt;20,"A",IF(K288&lt;40,"B",IF(K288&lt;60,"C",IF(K288&lt;80,"D","E"))))</f>
        <v/>
      </c>
      <c r="O288" s="2">
        <f>IF(OR(N288="D",N288="E"),"Enhanced Review",IF(N288="C","Conditional","Approve"))</f>
        <v/>
      </c>
      <c r="P288" s="8">
        <f>H288*M288*45%</f>
        <v/>
      </c>
      <c r="Q288" s="9">
        <f>H288/B288</f>
        <v/>
      </c>
    </row>
    <row r="289">
      <c r="A289" s="11" t="inlineStr">
        <is>
          <t>B0285</t>
        </is>
      </c>
      <c r="B289" s="12" t="n">
        <v>76537</v>
      </c>
      <c r="C289" s="13" t="n">
        <v>0.1131349129657681</v>
      </c>
      <c r="D289" s="11" t="n">
        <v>745</v>
      </c>
      <c r="E289" s="13" t="n">
        <v>0.307790346017105</v>
      </c>
      <c r="F289" s="11" t="n">
        <v>1</v>
      </c>
      <c r="G289" s="11" t="n">
        <v>6.5</v>
      </c>
      <c r="H289" s="12" t="n">
        <v>36293</v>
      </c>
      <c r="I289" s="11" t="n">
        <v>60</v>
      </c>
      <c r="J289" s="11" t="n">
        <v>1</v>
      </c>
      <c r="K289" s="2">
        <f>IF(D289&gt;=740,0,IF(D289&gt;=670,15,30))+IF(C289&lt;=25%,0,IF(C289&lt;=40%,15,30))+IF(E289&lt;=30%,0,IF(E289&lt;=60%,10,20))+IF(F289=0,0,IF(F289=1,10,25))+IF(G289&gt;=5,0,IF(G289&gt;=2,5,10))+IF(H289/B289&lt;=25%,0,IF(H289/B289&lt;=50%,10,20))+IF(I289=36,0,IF(I289=48,3,6))</f>
        <v/>
      </c>
      <c r="L289" s="2">
        <f>850-K289*3.5</f>
        <v/>
      </c>
      <c r="M289" s="9">
        <f>1/(1+EXP(-(-4.2+0.055*K289)))</f>
        <v/>
      </c>
      <c r="N289" s="2">
        <f>IF(K289&lt;20,"A",IF(K289&lt;40,"B",IF(K289&lt;60,"C",IF(K289&lt;80,"D","E"))))</f>
        <v/>
      </c>
      <c r="O289" s="2">
        <f>IF(OR(N289="D",N289="E"),"Enhanced Review",IF(N289="C","Conditional","Approve"))</f>
        <v/>
      </c>
      <c r="P289" s="8">
        <f>H289*M289*45%</f>
        <v/>
      </c>
      <c r="Q289" s="9">
        <f>H289/B289</f>
        <v/>
      </c>
    </row>
    <row r="290">
      <c r="A290" s="11" t="inlineStr">
        <is>
          <t>B0286</t>
        </is>
      </c>
      <c r="B290" s="12" t="n">
        <v>37964</v>
      </c>
      <c r="C290" s="13" t="n">
        <v>0.2465418060246951</v>
      </c>
      <c r="D290" s="11" t="n">
        <v>645</v>
      </c>
      <c r="E290" s="13" t="n">
        <v>0.4429811579958122</v>
      </c>
      <c r="F290" s="11" t="n">
        <v>0</v>
      </c>
      <c r="G290" s="11" t="n">
        <v>8.199999999999999</v>
      </c>
      <c r="H290" s="12" t="n">
        <v>17697</v>
      </c>
      <c r="I290" s="11" t="n">
        <v>60</v>
      </c>
      <c r="J290" s="11" t="n">
        <v>0</v>
      </c>
      <c r="K290" s="2">
        <f>IF(D290&gt;=740,0,IF(D290&gt;=670,15,30))+IF(C290&lt;=25%,0,IF(C290&lt;=40%,15,30))+IF(E290&lt;=30%,0,IF(E290&lt;=60%,10,20))+IF(F290=0,0,IF(F290=1,10,25))+IF(G290&gt;=5,0,IF(G290&gt;=2,5,10))+IF(H290/B290&lt;=25%,0,IF(H290/B290&lt;=50%,10,20))+IF(I290=36,0,IF(I290=48,3,6))</f>
        <v/>
      </c>
      <c r="L290" s="2">
        <f>850-K290*3.5</f>
        <v/>
      </c>
      <c r="M290" s="9">
        <f>1/(1+EXP(-(-4.2+0.055*K290)))</f>
        <v/>
      </c>
      <c r="N290" s="2">
        <f>IF(K290&lt;20,"A",IF(K290&lt;40,"B",IF(K290&lt;60,"C",IF(K290&lt;80,"D","E"))))</f>
        <v/>
      </c>
      <c r="O290" s="2">
        <f>IF(OR(N290="D",N290="E"),"Enhanced Review",IF(N290="C","Conditional","Approve"))</f>
        <v/>
      </c>
      <c r="P290" s="8">
        <f>H290*M290*45%</f>
        <v/>
      </c>
      <c r="Q290" s="9">
        <f>H290/B290</f>
        <v/>
      </c>
    </row>
    <row r="291">
      <c r="A291" s="11" t="inlineStr">
        <is>
          <t>B0287</t>
        </is>
      </c>
      <c r="B291" s="12" t="n">
        <v>57883</v>
      </c>
      <c r="C291" s="13" t="n">
        <v>0.2762786701192218</v>
      </c>
      <c r="D291" s="11" t="n">
        <v>703</v>
      </c>
      <c r="E291" s="13" t="n">
        <v>0.31457966119094</v>
      </c>
      <c r="F291" s="11" t="n">
        <v>1</v>
      </c>
      <c r="G291" s="11" t="n">
        <v>2.6</v>
      </c>
      <c r="H291" s="12" t="n">
        <v>19929</v>
      </c>
      <c r="I291" s="11" t="n">
        <v>60</v>
      </c>
      <c r="J291" s="11" t="n">
        <v>0</v>
      </c>
      <c r="K291" s="2">
        <f>IF(D291&gt;=740,0,IF(D291&gt;=670,15,30))+IF(C291&lt;=25%,0,IF(C291&lt;=40%,15,30))+IF(E291&lt;=30%,0,IF(E291&lt;=60%,10,20))+IF(F291=0,0,IF(F291=1,10,25))+IF(G291&gt;=5,0,IF(G291&gt;=2,5,10))+IF(H291/B291&lt;=25%,0,IF(H291/B291&lt;=50%,10,20))+IF(I291=36,0,IF(I291=48,3,6))</f>
        <v/>
      </c>
      <c r="L291" s="2">
        <f>850-K291*3.5</f>
        <v/>
      </c>
      <c r="M291" s="9">
        <f>1/(1+EXP(-(-4.2+0.055*K291)))</f>
        <v/>
      </c>
      <c r="N291" s="2">
        <f>IF(K291&lt;20,"A",IF(K291&lt;40,"B",IF(K291&lt;60,"C",IF(K291&lt;80,"D","E"))))</f>
        <v/>
      </c>
      <c r="O291" s="2">
        <f>IF(OR(N291="D",N291="E"),"Enhanced Review",IF(N291="C","Conditional","Approve"))</f>
        <v/>
      </c>
      <c r="P291" s="8">
        <f>H291*M291*45%</f>
        <v/>
      </c>
      <c r="Q291" s="9">
        <f>H291/B291</f>
        <v/>
      </c>
    </row>
    <row r="292">
      <c r="A292" s="11" t="inlineStr">
        <is>
          <t>B0288</t>
        </is>
      </c>
      <c r="B292" s="12" t="n">
        <v>46027</v>
      </c>
      <c r="C292" s="13" t="n">
        <v>0.07719029911079209</v>
      </c>
      <c r="D292" s="11" t="n">
        <v>770</v>
      </c>
      <c r="E292" s="13" t="n">
        <v>0.2722305774568541</v>
      </c>
      <c r="F292" s="11" t="n">
        <v>0</v>
      </c>
      <c r="G292" s="11" t="n">
        <v>4.6</v>
      </c>
      <c r="H292" s="12" t="n">
        <v>24514</v>
      </c>
      <c r="I292" s="11" t="n">
        <v>36</v>
      </c>
      <c r="J292" s="11" t="n">
        <v>0</v>
      </c>
      <c r="K292" s="2">
        <f>IF(D292&gt;=740,0,IF(D292&gt;=670,15,30))+IF(C292&lt;=25%,0,IF(C292&lt;=40%,15,30))+IF(E292&lt;=30%,0,IF(E292&lt;=60%,10,20))+IF(F292=0,0,IF(F292=1,10,25))+IF(G292&gt;=5,0,IF(G292&gt;=2,5,10))+IF(H292/B292&lt;=25%,0,IF(H292/B292&lt;=50%,10,20))+IF(I292=36,0,IF(I292=48,3,6))</f>
        <v/>
      </c>
      <c r="L292" s="2">
        <f>850-K292*3.5</f>
        <v/>
      </c>
      <c r="M292" s="9">
        <f>1/(1+EXP(-(-4.2+0.055*K292)))</f>
        <v/>
      </c>
      <c r="N292" s="2">
        <f>IF(K292&lt;20,"A",IF(K292&lt;40,"B",IF(K292&lt;60,"C",IF(K292&lt;80,"D","E"))))</f>
        <v/>
      </c>
      <c r="O292" s="2">
        <f>IF(OR(N292="D",N292="E"),"Enhanced Review",IF(N292="C","Conditional","Approve"))</f>
        <v/>
      </c>
      <c r="P292" s="8">
        <f>H292*M292*45%</f>
        <v/>
      </c>
      <c r="Q292" s="9">
        <f>H292/B292</f>
        <v/>
      </c>
    </row>
    <row r="293">
      <c r="A293" s="11" t="inlineStr">
        <is>
          <t>B0289</t>
        </is>
      </c>
      <c r="B293" s="12" t="n">
        <v>49392</v>
      </c>
      <c r="C293" s="13" t="n">
        <v>0.3458186253035557</v>
      </c>
      <c r="D293" s="11" t="n">
        <v>719</v>
      </c>
      <c r="E293" s="13" t="n">
        <v>0.6338993334682717</v>
      </c>
      <c r="F293" s="11" t="n">
        <v>1</v>
      </c>
      <c r="G293" s="11" t="n">
        <v>11.4</v>
      </c>
      <c r="H293" s="12" t="n">
        <v>15772</v>
      </c>
      <c r="I293" s="11" t="n">
        <v>36</v>
      </c>
      <c r="J293" s="11" t="n">
        <v>0</v>
      </c>
      <c r="K293" s="2">
        <f>IF(D293&gt;=740,0,IF(D293&gt;=670,15,30))+IF(C293&lt;=25%,0,IF(C293&lt;=40%,15,30))+IF(E293&lt;=30%,0,IF(E293&lt;=60%,10,20))+IF(F293=0,0,IF(F293=1,10,25))+IF(G293&gt;=5,0,IF(G293&gt;=2,5,10))+IF(H293/B293&lt;=25%,0,IF(H293/B293&lt;=50%,10,20))+IF(I293=36,0,IF(I293=48,3,6))</f>
        <v/>
      </c>
      <c r="L293" s="2">
        <f>850-K293*3.5</f>
        <v/>
      </c>
      <c r="M293" s="9">
        <f>1/(1+EXP(-(-4.2+0.055*K293)))</f>
        <v/>
      </c>
      <c r="N293" s="2">
        <f>IF(K293&lt;20,"A",IF(K293&lt;40,"B",IF(K293&lt;60,"C",IF(K293&lt;80,"D","E"))))</f>
        <v/>
      </c>
      <c r="O293" s="2">
        <f>IF(OR(N293="D",N293="E"),"Enhanced Review",IF(N293="C","Conditional","Approve"))</f>
        <v/>
      </c>
      <c r="P293" s="8">
        <f>H293*M293*45%</f>
        <v/>
      </c>
      <c r="Q293" s="9">
        <f>H293/B293</f>
        <v/>
      </c>
    </row>
    <row r="294">
      <c r="A294" s="11" t="inlineStr">
        <is>
          <t>B0290</t>
        </is>
      </c>
      <c r="B294" s="12" t="n">
        <v>65117</v>
      </c>
      <c r="C294" s="13" t="n">
        <v>0.5301782639107028</v>
      </c>
      <c r="D294" s="11" t="n">
        <v>650</v>
      </c>
      <c r="E294" s="13" t="n">
        <v>0.1382900937232671</v>
      </c>
      <c r="F294" s="11" t="n">
        <v>1</v>
      </c>
      <c r="G294" s="11" t="n">
        <v>4.4</v>
      </c>
      <c r="H294" s="12" t="n">
        <v>14908</v>
      </c>
      <c r="I294" s="11" t="n">
        <v>36</v>
      </c>
      <c r="J294" s="11" t="n">
        <v>0</v>
      </c>
      <c r="K294" s="2">
        <f>IF(D294&gt;=740,0,IF(D294&gt;=670,15,30))+IF(C294&lt;=25%,0,IF(C294&lt;=40%,15,30))+IF(E294&lt;=30%,0,IF(E294&lt;=60%,10,20))+IF(F294=0,0,IF(F294=1,10,25))+IF(G294&gt;=5,0,IF(G294&gt;=2,5,10))+IF(H294/B294&lt;=25%,0,IF(H294/B294&lt;=50%,10,20))+IF(I294=36,0,IF(I294=48,3,6))</f>
        <v/>
      </c>
      <c r="L294" s="2">
        <f>850-K294*3.5</f>
        <v/>
      </c>
      <c r="M294" s="9">
        <f>1/(1+EXP(-(-4.2+0.055*K294)))</f>
        <v/>
      </c>
      <c r="N294" s="2">
        <f>IF(K294&lt;20,"A",IF(K294&lt;40,"B",IF(K294&lt;60,"C",IF(K294&lt;80,"D","E"))))</f>
        <v/>
      </c>
      <c r="O294" s="2">
        <f>IF(OR(N294="D",N294="E"),"Enhanced Review",IF(N294="C","Conditional","Approve"))</f>
        <v/>
      </c>
      <c r="P294" s="8">
        <f>H294*M294*45%</f>
        <v/>
      </c>
      <c r="Q294" s="9">
        <f>H294/B294</f>
        <v/>
      </c>
    </row>
    <row r="295">
      <c r="A295" s="11" t="inlineStr">
        <is>
          <t>B0291</t>
        </is>
      </c>
      <c r="B295" s="12" t="n">
        <v>95568</v>
      </c>
      <c r="C295" s="13" t="n">
        <v>0.1267774679428765</v>
      </c>
      <c r="D295" s="11" t="n">
        <v>762</v>
      </c>
      <c r="E295" s="13" t="n">
        <v>0.6770658448882138</v>
      </c>
      <c r="F295" s="11" t="n">
        <v>0</v>
      </c>
      <c r="G295" s="11" t="n">
        <v>4.2</v>
      </c>
      <c r="H295" s="12" t="n">
        <v>9070</v>
      </c>
      <c r="I295" s="11" t="n">
        <v>36</v>
      </c>
      <c r="J295" s="11" t="n">
        <v>0</v>
      </c>
      <c r="K295" s="2">
        <f>IF(D295&gt;=740,0,IF(D295&gt;=670,15,30))+IF(C295&lt;=25%,0,IF(C295&lt;=40%,15,30))+IF(E295&lt;=30%,0,IF(E295&lt;=60%,10,20))+IF(F295=0,0,IF(F295=1,10,25))+IF(G295&gt;=5,0,IF(G295&gt;=2,5,10))+IF(H295/B295&lt;=25%,0,IF(H295/B295&lt;=50%,10,20))+IF(I295=36,0,IF(I295=48,3,6))</f>
        <v/>
      </c>
      <c r="L295" s="2">
        <f>850-K295*3.5</f>
        <v/>
      </c>
      <c r="M295" s="9">
        <f>1/(1+EXP(-(-4.2+0.055*K295)))</f>
        <v/>
      </c>
      <c r="N295" s="2">
        <f>IF(K295&lt;20,"A",IF(K295&lt;40,"B",IF(K295&lt;60,"C",IF(K295&lt;80,"D","E"))))</f>
        <v/>
      </c>
      <c r="O295" s="2">
        <f>IF(OR(N295="D",N295="E"),"Enhanced Review",IF(N295="C","Conditional","Approve"))</f>
        <v/>
      </c>
      <c r="P295" s="8">
        <f>H295*M295*45%</f>
        <v/>
      </c>
      <c r="Q295" s="9">
        <f>H295/B295</f>
        <v/>
      </c>
    </row>
    <row r="296">
      <c r="A296" s="11" t="inlineStr">
        <is>
          <t>B0292</t>
        </is>
      </c>
      <c r="B296" s="12" t="n">
        <v>66304</v>
      </c>
      <c r="C296" s="13" t="n">
        <v>0.1997271186936788</v>
      </c>
      <c r="D296" s="11" t="n">
        <v>733</v>
      </c>
      <c r="E296" s="13" t="n">
        <v>0.4499131840448577</v>
      </c>
      <c r="F296" s="11" t="n">
        <v>0</v>
      </c>
      <c r="G296" s="11" t="n">
        <v>7.9</v>
      </c>
      <c r="H296" s="12" t="n">
        <v>30046</v>
      </c>
      <c r="I296" s="11" t="n">
        <v>60</v>
      </c>
      <c r="J296" s="11" t="n">
        <v>0</v>
      </c>
      <c r="K296" s="2">
        <f>IF(D296&gt;=740,0,IF(D296&gt;=670,15,30))+IF(C296&lt;=25%,0,IF(C296&lt;=40%,15,30))+IF(E296&lt;=30%,0,IF(E296&lt;=60%,10,20))+IF(F296=0,0,IF(F296=1,10,25))+IF(G296&gt;=5,0,IF(G296&gt;=2,5,10))+IF(H296/B296&lt;=25%,0,IF(H296/B296&lt;=50%,10,20))+IF(I296=36,0,IF(I296=48,3,6))</f>
        <v/>
      </c>
      <c r="L296" s="2">
        <f>850-K296*3.5</f>
        <v/>
      </c>
      <c r="M296" s="9">
        <f>1/(1+EXP(-(-4.2+0.055*K296)))</f>
        <v/>
      </c>
      <c r="N296" s="2">
        <f>IF(K296&lt;20,"A",IF(K296&lt;40,"B",IF(K296&lt;60,"C",IF(K296&lt;80,"D","E"))))</f>
        <v/>
      </c>
      <c r="O296" s="2">
        <f>IF(OR(N296="D",N296="E"),"Enhanced Review",IF(N296="C","Conditional","Approve"))</f>
        <v/>
      </c>
      <c r="P296" s="8">
        <f>H296*M296*45%</f>
        <v/>
      </c>
      <c r="Q296" s="9">
        <f>H296/B296</f>
        <v/>
      </c>
    </row>
    <row r="297">
      <c r="A297" s="11" t="inlineStr">
        <is>
          <t>B0293</t>
        </is>
      </c>
      <c r="B297" s="12" t="n">
        <v>116417</v>
      </c>
      <c r="C297" s="13" t="n">
        <v>0.5347645333830232</v>
      </c>
      <c r="D297" s="11" t="n">
        <v>727</v>
      </c>
      <c r="E297" s="13" t="n">
        <v>0.1939493739382496</v>
      </c>
      <c r="F297" s="11" t="n">
        <v>1</v>
      </c>
      <c r="G297" s="11" t="n">
        <v>21.5</v>
      </c>
      <c r="H297" s="12" t="n">
        <v>24979</v>
      </c>
      <c r="I297" s="11" t="n">
        <v>36</v>
      </c>
      <c r="J297" s="11" t="n">
        <v>0</v>
      </c>
      <c r="K297" s="2">
        <f>IF(D297&gt;=740,0,IF(D297&gt;=670,15,30))+IF(C297&lt;=25%,0,IF(C297&lt;=40%,15,30))+IF(E297&lt;=30%,0,IF(E297&lt;=60%,10,20))+IF(F297=0,0,IF(F297=1,10,25))+IF(G297&gt;=5,0,IF(G297&gt;=2,5,10))+IF(H297/B297&lt;=25%,0,IF(H297/B297&lt;=50%,10,20))+IF(I297=36,0,IF(I297=48,3,6))</f>
        <v/>
      </c>
      <c r="L297" s="2">
        <f>850-K297*3.5</f>
        <v/>
      </c>
      <c r="M297" s="9">
        <f>1/(1+EXP(-(-4.2+0.055*K297)))</f>
        <v/>
      </c>
      <c r="N297" s="2">
        <f>IF(K297&lt;20,"A",IF(K297&lt;40,"B",IF(K297&lt;60,"C",IF(K297&lt;80,"D","E"))))</f>
        <v/>
      </c>
      <c r="O297" s="2">
        <f>IF(OR(N297="D",N297="E"),"Enhanced Review",IF(N297="C","Conditional","Approve"))</f>
        <v/>
      </c>
      <c r="P297" s="8">
        <f>H297*M297*45%</f>
        <v/>
      </c>
      <c r="Q297" s="9">
        <f>H297/B297</f>
        <v/>
      </c>
    </row>
    <row r="298">
      <c r="A298" s="11" t="inlineStr">
        <is>
          <t>B0294</t>
        </is>
      </c>
      <c r="B298" s="12" t="n">
        <v>32423</v>
      </c>
      <c r="C298" s="13" t="n">
        <v>0.3087387439383691</v>
      </c>
      <c r="D298" s="11" t="n">
        <v>639</v>
      </c>
      <c r="E298" s="13" t="n">
        <v>0.3801757027214784</v>
      </c>
      <c r="F298" s="11" t="n">
        <v>0</v>
      </c>
      <c r="G298" s="11" t="n">
        <v>5.2</v>
      </c>
      <c r="H298" s="12" t="n">
        <v>18163</v>
      </c>
      <c r="I298" s="11" t="n">
        <v>60</v>
      </c>
      <c r="J298" s="11" t="n">
        <v>0</v>
      </c>
      <c r="K298" s="2">
        <f>IF(D298&gt;=740,0,IF(D298&gt;=670,15,30))+IF(C298&lt;=25%,0,IF(C298&lt;=40%,15,30))+IF(E298&lt;=30%,0,IF(E298&lt;=60%,10,20))+IF(F298=0,0,IF(F298=1,10,25))+IF(G298&gt;=5,0,IF(G298&gt;=2,5,10))+IF(H298/B298&lt;=25%,0,IF(H298/B298&lt;=50%,10,20))+IF(I298=36,0,IF(I298=48,3,6))</f>
        <v/>
      </c>
      <c r="L298" s="2">
        <f>850-K298*3.5</f>
        <v/>
      </c>
      <c r="M298" s="9">
        <f>1/(1+EXP(-(-4.2+0.055*K298)))</f>
        <v/>
      </c>
      <c r="N298" s="2">
        <f>IF(K298&lt;20,"A",IF(K298&lt;40,"B",IF(K298&lt;60,"C",IF(K298&lt;80,"D","E"))))</f>
        <v/>
      </c>
      <c r="O298" s="2">
        <f>IF(OR(N298="D",N298="E"),"Enhanced Review",IF(N298="C","Conditional","Approve"))</f>
        <v/>
      </c>
      <c r="P298" s="8">
        <f>H298*M298*45%</f>
        <v/>
      </c>
      <c r="Q298" s="9">
        <f>H298/B298</f>
        <v/>
      </c>
    </row>
    <row r="299">
      <c r="A299" s="11" t="inlineStr">
        <is>
          <t>B0295</t>
        </is>
      </c>
      <c r="B299" s="12" t="n">
        <v>43050</v>
      </c>
      <c r="C299" s="13" t="n">
        <v>0.3283343136790214</v>
      </c>
      <c r="D299" s="11" t="n">
        <v>830</v>
      </c>
      <c r="E299" s="13" t="n">
        <v>0.1918776622623611</v>
      </c>
      <c r="F299" s="11" t="n">
        <v>2</v>
      </c>
      <c r="G299" s="11" t="n">
        <v>6.5</v>
      </c>
      <c r="H299" s="12" t="n">
        <v>21001</v>
      </c>
      <c r="I299" s="11" t="n">
        <v>36</v>
      </c>
      <c r="J299" s="11" t="n">
        <v>0</v>
      </c>
      <c r="K299" s="2">
        <f>IF(D299&gt;=740,0,IF(D299&gt;=670,15,30))+IF(C299&lt;=25%,0,IF(C299&lt;=40%,15,30))+IF(E299&lt;=30%,0,IF(E299&lt;=60%,10,20))+IF(F299=0,0,IF(F299=1,10,25))+IF(G299&gt;=5,0,IF(G299&gt;=2,5,10))+IF(H299/B299&lt;=25%,0,IF(H299/B299&lt;=50%,10,20))+IF(I299=36,0,IF(I299=48,3,6))</f>
        <v/>
      </c>
      <c r="L299" s="2">
        <f>850-K299*3.5</f>
        <v/>
      </c>
      <c r="M299" s="9">
        <f>1/(1+EXP(-(-4.2+0.055*K299)))</f>
        <v/>
      </c>
      <c r="N299" s="2">
        <f>IF(K299&lt;20,"A",IF(K299&lt;40,"B",IF(K299&lt;60,"C",IF(K299&lt;80,"D","E"))))</f>
        <v/>
      </c>
      <c r="O299" s="2">
        <f>IF(OR(N299="D",N299="E"),"Enhanced Review",IF(N299="C","Conditional","Approve"))</f>
        <v/>
      </c>
      <c r="P299" s="8">
        <f>H299*M299*45%</f>
        <v/>
      </c>
      <c r="Q299" s="9">
        <f>H299/B299</f>
        <v/>
      </c>
    </row>
    <row r="300">
      <c r="A300" s="11" t="inlineStr">
        <is>
          <t>B0296</t>
        </is>
      </c>
      <c r="B300" s="12" t="n">
        <v>36982</v>
      </c>
      <c r="C300" s="13" t="n">
        <v>0.2369666214039785</v>
      </c>
      <c r="D300" s="11" t="n">
        <v>674</v>
      </c>
      <c r="E300" s="13" t="n">
        <v>0.3441403375688286</v>
      </c>
      <c r="F300" s="11" t="n">
        <v>0</v>
      </c>
      <c r="G300" s="11" t="n">
        <v>19.6</v>
      </c>
      <c r="H300" s="12" t="n">
        <v>29283</v>
      </c>
      <c r="I300" s="11" t="n">
        <v>48</v>
      </c>
      <c r="J300" s="11" t="n">
        <v>1</v>
      </c>
      <c r="K300" s="2">
        <f>IF(D300&gt;=740,0,IF(D300&gt;=670,15,30))+IF(C300&lt;=25%,0,IF(C300&lt;=40%,15,30))+IF(E300&lt;=30%,0,IF(E300&lt;=60%,10,20))+IF(F300=0,0,IF(F300=1,10,25))+IF(G300&gt;=5,0,IF(G300&gt;=2,5,10))+IF(H300/B300&lt;=25%,0,IF(H300/B300&lt;=50%,10,20))+IF(I300=36,0,IF(I300=48,3,6))</f>
        <v/>
      </c>
      <c r="L300" s="2">
        <f>850-K300*3.5</f>
        <v/>
      </c>
      <c r="M300" s="9">
        <f>1/(1+EXP(-(-4.2+0.055*K300)))</f>
        <v/>
      </c>
      <c r="N300" s="2">
        <f>IF(K300&lt;20,"A",IF(K300&lt;40,"B",IF(K300&lt;60,"C",IF(K300&lt;80,"D","E"))))</f>
        <v/>
      </c>
      <c r="O300" s="2">
        <f>IF(OR(N300="D",N300="E"),"Enhanced Review",IF(N300="C","Conditional","Approve"))</f>
        <v/>
      </c>
      <c r="P300" s="8">
        <f>H300*M300*45%</f>
        <v/>
      </c>
      <c r="Q300" s="9">
        <f>H300/B300</f>
        <v/>
      </c>
    </row>
    <row r="301">
      <c r="A301" s="11" t="inlineStr">
        <is>
          <t>B0297</t>
        </is>
      </c>
      <c r="B301" s="12" t="n">
        <v>77863</v>
      </c>
      <c r="C301" s="13" t="n">
        <v>0.2415339207956904</v>
      </c>
      <c r="D301" s="11" t="n">
        <v>685</v>
      </c>
      <c r="E301" s="13" t="n">
        <v>0.4162467371399373</v>
      </c>
      <c r="F301" s="11" t="n">
        <v>0</v>
      </c>
      <c r="G301" s="11" t="n">
        <v>4.4</v>
      </c>
      <c r="H301" s="12" t="n">
        <v>65240</v>
      </c>
      <c r="I301" s="11" t="n">
        <v>36</v>
      </c>
      <c r="J301" s="11" t="n">
        <v>1</v>
      </c>
      <c r="K301" s="2">
        <f>IF(D301&gt;=740,0,IF(D301&gt;=670,15,30))+IF(C301&lt;=25%,0,IF(C301&lt;=40%,15,30))+IF(E301&lt;=30%,0,IF(E301&lt;=60%,10,20))+IF(F301=0,0,IF(F301=1,10,25))+IF(G301&gt;=5,0,IF(G301&gt;=2,5,10))+IF(H301/B301&lt;=25%,0,IF(H301/B301&lt;=50%,10,20))+IF(I301=36,0,IF(I301=48,3,6))</f>
        <v/>
      </c>
      <c r="L301" s="2">
        <f>850-K301*3.5</f>
        <v/>
      </c>
      <c r="M301" s="9">
        <f>1/(1+EXP(-(-4.2+0.055*K301)))</f>
        <v/>
      </c>
      <c r="N301" s="2">
        <f>IF(K301&lt;20,"A",IF(K301&lt;40,"B",IF(K301&lt;60,"C",IF(K301&lt;80,"D","E"))))</f>
        <v/>
      </c>
      <c r="O301" s="2">
        <f>IF(OR(N301="D",N301="E"),"Enhanced Review",IF(N301="C","Conditional","Approve"))</f>
        <v/>
      </c>
      <c r="P301" s="8">
        <f>H301*M301*45%</f>
        <v/>
      </c>
      <c r="Q301" s="9">
        <f>H301/B301</f>
        <v/>
      </c>
    </row>
    <row r="302">
      <c r="A302" s="11" t="inlineStr">
        <is>
          <t>B0298</t>
        </is>
      </c>
      <c r="B302" s="12" t="n">
        <v>123895</v>
      </c>
      <c r="C302" s="13" t="n">
        <v>0.118323361047172</v>
      </c>
      <c r="D302" s="11" t="n">
        <v>727</v>
      </c>
      <c r="E302" s="13" t="n">
        <v>0.6533259586811815</v>
      </c>
      <c r="F302" s="11" t="n">
        <v>0</v>
      </c>
      <c r="G302" s="11" t="n">
        <v>6.3</v>
      </c>
      <c r="H302" s="12" t="n">
        <v>37351</v>
      </c>
      <c r="I302" s="11" t="n">
        <v>36</v>
      </c>
      <c r="J302" s="11" t="n">
        <v>0</v>
      </c>
      <c r="K302" s="2">
        <f>IF(D302&gt;=740,0,IF(D302&gt;=670,15,30))+IF(C302&lt;=25%,0,IF(C302&lt;=40%,15,30))+IF(E302&lt;=30%,0,IF(E302&lt;=60%,10,20))+IF(F302=0,0,IF(F302=1,10,25))+IF(G302&gt;=5,0,IF(G302&gt;=2,5,10))+IF(H302/B302&lt;=25%,0,IF(H302/B302&lt;=50%,10,20))+IF(I302=36,0,IF(I302=48,3,6))</f>
        <v/>
      </c>
      <c r="L302" s="2">
        <f>850-K302*3.5</f>
        <v/>
      </c>
      <c r="M302" s="9">
        <f>1/(1+EXP(-(-4.2+0.055*K302)))</f>
        <v/>
      </c>
      <c r="N302" s="2">
        <f>IF(K302&lt;20,"A",IF(K302&lt;40,"B",IF(K302&lt;60,"C",IF(K302&lt;80,"D","E"))))</f>
        <v/>
      </c>
      <c r="O302" s="2">
        <f>IF(OR(N302="D",N302="E"),"Enhanced Review",IF(N302="C","Conditional","Approve"))</f>
        <v/>
      </c>
      <c r="P302" s="8">
        <f>H302*M302*45%</f>
        <v/>
      </c>
      <c r="Q302" s="9">
        <f>H302/B302</f>
        <v/>
      </c>
    </row>
    <row r="303">
      <c r="A303" s="11" t="inlineStr">
        <is>
          <t>B0299</t>
        </is>
      </c>
      <c r="B303" s="12" t="n">
        <v>96260</v>
      </c>
      <c r="C303" s="13" t="n">
        <v>0.04971268524940349</v>
      </c>
      <c r="D303" s="11" t="n">
        <v>667</v>
      </c>
      <c r="E303" s="13" t="n">
        <v>0.6812975561581091</v>
      </c>
      <c r="F303" s="11" t="n">
        <v>0</v>
      </c>
      <c r="G303" s="11" t="n">
        <v>7</v>
      </c>
      <c r="H303" s="12" t="n">
        <v>20308</v>
      </c>
      <c r="I303" s="11" t="n">
        <v>60</v>
      </c>
      <c r="J303" s="11" t="n">
        <v>0</v>
      </c>
      <c r="K303" s="2">
        <f>IF(D303&gt;=740,0,IF(D303&gt;=670,15,30))+IF(C303&lt;=25%,0,IF(C303&lt;=40%,15,30))+IF(E303&lt;=30%,0,IF(E303&lt;=60%,10,20))+IF(F303=0,0,IF(F303=1,10,25))+IF(G303&gt;=5,0,IF(G303&gt;=2,5,10))+IF(H303/B303&lt;=25%,0,IF(H303/B303&lt;=50%,10,20))+IF(I303=36,0,IF(I303=48,3,6))</f>
        <v/>
      </c>
      <c r="L303" s="2">
        <f>850-K303*3.5</f>
        <v/>
      </c>
      <c r="M303" s="9">
        <f>1/(1+EXP(-(-4.2+0.055*K303)))</f>
        <v/>
      </c>
      <c r="N303" s="2">
        <f>IF(K303&lt;20,"A",IF(K303&lt;40,"B",IF(K303&lt;60,"C",IF(K303&lt;80,"D","E"))))</f>
        <v/>
      </c>
      <c r="O303" s="2">
        <f>IF(OR(N303="D",N303="E"),"Enhanced Review",IF(N303="C","Conditional","Approve"))</f>
        <v/>
      </c>
      <c r="P303" s="8">
        <f>H303*M303*45%</f>
        <v/>
      </c>
      <c r="Q303" s="9">
        <f>H303/B303</f>
        <v/>
      </c>
    </row>
    <row r="304">
      <c r="A304" s="11" t="inlineStr">
        <is>
          <t>B0300</t>
        </is>
      </c>
      <c r="B304" s="12" t="n">
        <v>36799</v>
      </c>
      <c r="C304" s="13" t="n">
        <v>0.2199744849220473</v>
      </c>
      <c r="D304" s="11" t="n">
        <v>759</v>
      </c>
      <c r="E304" s="13" t="n">
        <v>0.1341079391619424</v>
      </c>
      <c r="F304" s="11" t="n">
        <v>1</v>
      </c>
      <c r="G304" s="11" t="n">
        <v>3.6</v>
      </c>
      <c r="H304" s="12" t="n">
        <v>20881</v>
      </c>
      <c r="I304" s="11" t="n">
        <v>60</v>
      </c>
      <c r="J304" s="11" t="n">
        <v>0</v>
      </c>
      <c r="K304" s="2">
        <f>IF(D304&gt;=740,0,IF(D304&gt;=670,15,30))+IF(C304&lt;=25%,0,IF(C304&lt;=40%,15,30))+IF(E304&lt;=30%,0,IF(E304&lt;=60%,10,20))+IF(F304=0,0,IF(F304=1,10,25))+IF(G304&gt;=5,0,IF(G304&gt;=2,5,10))+IF(H304/B304&lt;=25%,0,IF(H304/B304&lt;=50%,10,20))+IF(I304=36,0,IF(I304=48,3,6))</f>
        <v/>
      </c>
      <c r="L304" s="2">
        <f>850-K304*3.5</f>
        <v/>
      </c>
      <c r="M304" s="9">
        <f>1/(1+EXP(-(-4.2+0.055*K304)))</f>
        <v/>
      </c>
      <c r="N304" s="2">
        <f>IF(K304&lt;20,"A",IF(K304&lt;40,"B",IF(K304&lt;60,"C",IF(K304&lt;80,"D","E"))))</f>
        <v/>
      </c>
      <c r="O304" s="2">
        <f>IF(OR(N304="D",N304="E"),"Enhanced Review",IF(N304="C","Conditional","Approve"))</f>
        <v/>
      </c>
      <c r="P304" s="8">
        <f>H304*M304*45%</f>
        <v/>
      </c>
      <c r="Q304" s="9">
        <f>H304/B304</f>
        <v/>
      </c>
    </row>
    <row r="305">
      <c r="A305" s="11" t="inlineStr">
        <is>
          <t>B0301</t>
        </is>
      </c>
      <c r="B305" s="12" t="n">
        <v>205762</v>
      </c>
      <c r="C305" s="13" t="n">
        <v>0.2491191633475292</v>
      </c>
      <c r="D305" s="11" t="n">
        <v>709</v>
      </c>
      <c r="E305" s="13" t="n">
        <v>0.2998587668183484</v>
      </c>
      <c r="F305" s="11" t="n">
        <v>0</v>
      </c>
      <c r="G305" s="11" t="n">
        <v>11.6</v>
      </c>
      <c r="H305" s="12" t="n">
        <v>90000</v>
      </c>
      <c r="I305" s="11" t="n">
        <v>36</v>
      </c>
      <c r="J305" s="11" t="n">
        <v>0</v>
      </c>
      <c r="K305" s="2">
        <f>IF(D305&gt;=740,0,IF(D305&gt;=670,15,30))+IF(C305&lt;=25%,0,IF(C305&lt;=40%,15,30))+IF(E305&lt;=30%,0,IF(E305&lt;=60%,10,20))+IF(F305=0,0,IF(F305=1,10,25))+IF(G305&gt;=5,0,IF(G305&gt;=2,5,10))+IF(H305/B305&lt;=25%,0,IF(H305/B305&lt;=50%,10,20))+IF(I305=36,0,IF(I305=48,3,6))</f>
        <v/>
      </c>
      <c r="L305" s="2">
        <f>850-K305*3.5</f>
        <v/>
      </c>
      <c r="M305" s="9">
        <f>1/(1+EXP(-(-4.2+0.055*K305)))</f>
        <v/>
      </c>
      <c r="N305" s="2">
        <f>IF(K305&lt;20,"A",IF(K305&lt;40,"B",IF(K305&lt;60,"C",IF(K305&lt;80,"D","E"))))</f>
        <v/>
      </c>
      <c r="O305" s="2">
        <f>IF(OR(N305="D",N305="E"),"Enhanced Review",IF(N305="C","Conditional","Approve"))</f>
        <v/>
      </c>
      <c r="P305" s="8">
        <f>H305*M305*45%</f>
        <v/>
      </c>
      <c r="Q305" s="9">
        <f>H305/B305</f>
        <v/>
      </c>
    </row>
    <row r="306">
      <c r="A306" s="11" t="inlineStr">
        <is>
          <t>B0302</t>
        </is>
      </c>
      <c r="B306" s="12" t="n">
        <v>57322</v>
      </c>
      <c r="C306" s="13" t="n">
        <v>0.1906220708196217</v>
      </c>
      <c r="D306" s="11" t="n">
        <v>683</v>
      </c>
      <c r="E306" s="13" t="n">
        <v>0.3095132332037489</v>
      </c>
      <c r="F306" s="11" t="n">
        <v>1</v>
      </c>
      <c r="G306" s="11" t="n">
        <v>1.1</v>
      </c>
      <c r="H306" s="12" t="n">
        <v>34447</v>
      </c>
      <c r="I306" s="11" t="n">
        <v>60</v>
      </c>
      <c r="J306" s="11" t="n">
        <v>0</v>
      </c>
      <c r="K306" s="2">
        <f>IF(D306&gt;=740,0,IF(D306&gt;=670,15,30))+IF(C306&lt;=25%,0,IF(C306&lt;=40%,15,30))+IF(E306&lt;=30%,0,IF(E306&lt;=60%,10,20))+IF(F306=0,0,IF(F306=1,10,25))+IF(G306&gt;=5,0,IF(G306&gt;=2,5,10))+IF(H306/B306&lt;=25%,0,IF(H306/B306&lt;=50%,10,20))+IF(I306=36,0,IF(I306=48,3,6))</f>
        <v/>
      </c>
      <c r="L306" s="2">
        <f>850-K306*3.5</f>
        <v/>
      </c>
      <c r="M306" s="9">
        <f>1/(1+EXP(-(-4.2+0.055*K306)))</f>
        <v/>
      </c>
      <c r="N306" s="2">
        <f>IF(K306&lt;20,"A",IF(K306&lt;40,"B",IF(K306&lt;60,"C",IF(K306&lt;80,"D","E"))))</f>
        <v/>
      </c>
      <c r="O306" s="2">
        <f>IF(OR(N306="D",N306="E"),"Enhanced Review",IF(N306="C","Conditional","Approve"))</f>
        <v/>
      </c>
      <c r="P306" s="8">
        <f>H306*M306*45%</f>
        <v/>
      </c>
      <c r="Q306" s="9">
        <f>H306/B306</f>
        <v/>
      </c>
    </row>
    <row r="307">
      <c r="A307" s="11" t="inlineStr">
        <is>
          <t>B0303</t>
        </is>
      </c>
      <c r="B307" s="12" t="n">
        <v>64672</v>
      </c>
      <c r="C307" s="13" t="n">
        <v>0.5613976953035129</v>
      </c>
      <c r="D307" s="11" t="n">
        <v>694</v>
      </c>
      <c r="E307" s="13" t="n">
        <v>0.06228462653792301</v>
      </c>
      <c r="F307" s="11" t="n">
        <v>1</v>
      </c>
      <c r="G307" s="11" t="n">
        <v>12</v>
      </c>
      <c r="H307" s="12" t="n">
        <v>7511</v>
      </c>
      <c r="I307" s="11" t="n">
        <v>60</v>
      </c>
      <c r="J307" s="11" t="n">
        <v>0</v>
      </c>
      <c r="K307" s="2">
        <f>IF(D307&gt;=740,0,IF(D307&gt;=670,15,30))+IF(C307&lt;=25%,0,IF(C307&lt;=40%,15,30))+IF(E307&lt;=30%,0,IF(E307&lt;=60%,10,20))+IF(F307=0,0,IF(F307=1,10,25))+IF(G307&gt;=5,0,IF(G307&gt;=2,5,10))+IF(H307/B307&lt;=25%,0,IF(H307/B307&lt;=50%,10,20))+IF(I307=36,0,IF(I307=48,3,6))</f>
        <v/>
      </c>
      <c r="L307" s="2">
        <f>850-K307*3.5</f>
        <v/>
      </c>
      <c r="M307" s="9">
        <f>1/(1+EXP(-(-4.2+0.055*K307)))</f>
        <v/>
      </c>
      <c r="N307" s="2">
        <f>IF(K307&lt;20,"A",IF(K307&lt;40,"B",IF(K307&lt;60,"C",IF(K307&lt;80,"D","E"))))</f>
        <v/>
      </c>
      <c r="O307" s="2">
        <f>IF(OR(N307="D",N307="E"),"Enhanced Review",IF(N307="C","Conditional","Approve"))</f>
        <v/>
      </c>
      <c r="P307" s="8">
        <f>H307*M307*45%</f>
        <v/>
      </c>
      <c r="Q307" s="9">
        <f>H307/B307</f>
        <v/>
      </c>
    </row>
    <row r="308">
      <c r="A308" s="11" t="inlineStr">
        <is>
          <t>B0304</t>
        </is>
      </c>
      <c r="B308" s="12" t="n">
        <v>31079</v>
      </c>
      <c r="C308" s="13" t="n">
        <v>0.1658400100467637</v>
      </c>
      <c r="D308" s="11" t="n">
        <v>605</v>
      </c>
      <c r="E308" s="13" t="n">
        <v>0.2425342242032496</v>
      </c>
      <c r="F308" s="11" t="n">
        <v>2</v>
      </c>
      <c r="G308" s="11" t="n">
        <v>7.3</v>
      </c>
      <c r="H308" s="12" t="n">
        <v>6132</v>
      </c>
      <c r="I308" s="11" t="n">
        <v>36</v>
      </c>
      <c r="J308" s="11" t="n">
        <v>0</v>
      </c>
      <c r="K308" s="2">
        <f>IF(D308&gt;=740,0,IF(D308&gt;=670,15,30))+IF(C308&lt;=25%,0,IF(C308&lt;=40%,15,30))+IF(E308&lt;=30%,0,IF(E308&lt;=60%,10,20))+IF(F308=0,0,IF(F308=1,10,25))+IF(G308&gt;=5,0,IF(G308&gt;=2,5,10))+IF(H308/B308&lt;=25%,0,IF(H308/B308&lt;=50%,10,20))+IF(I308=36,0,IF(I308=48,3,6))</f>
        <v/>
      </c>
      <c r="L308" s="2">
        <f>850-K308*3.5</f>
        <v/>
      </c>
      <c r="M308" s="9">
        <f>1/(1+EXP(-(-4.2+0.055*K308)))</f>
        <v/>
      </c>
      <c r="N308" s="2">
        <f>IF(K308&lt;20,"A",IF(K308&lt;40,"B",IF(K308&lt;60,"C",IF(K308&lt;80,"D","E"))))</f>
        <v/>
      </c>
      <c r="O308" s="2">
        <f>IF(OR(N308="D",N308="E"),"Enhanced Review",IF(N308="C","Conditional","Approve"))</f>
        <v/>
      </c>
      <c r="P308" s="8">
        <f>H308*M308*45%</f>
        <v/>
      </c>
      <c r="Q308" s="9">
        <f>H308/B308</f>
        <v/>
      </c>
    </row>
    <row r="309">
      <c r="A309" s="11" t="inlineStr">
        <is>
          <t>B0305</t>
        </is>
      </c>
      <c r="B309" s="12" t="n">
        <v>275957</v>
      </c>
      <c r="C309" s="13" t="n">
        <v>0.165602224854286</v>
      </c>
      <c r="D309" s="11" t="n">
        <v>688</v>
      </c>
      <c r="E309" s="13" t="n">
        <v>0.1674520218239622</v>
      </c>
      <c r="F309" s="11" t="n">
        <v>0</v>
      </c>
      <c r="G309" s="11" t="n">
        <v>10.3</v>
      </c>
      <c r="H309" s="12" t="n">
        <v>39141</v>
      </c>
      <c r="I309" s="11" t="n">
        <v>60</v>
      </c>
      <c r="J309" s="11" t="n">
        <v>0</v>
      </c>
      <c r="K309" s="2">
        <f>IF(D309&gt;=740,0,IF(D309&gt;=670,15,30))+IF(C309&lt;=25%,0,IF(C309&lt;=40%,15,30))+IF(E309&lt;=30%,0,IF(E309&lt;=60%,10,20))+IF(F309=0,0,IF(F309=1,10,25))+IF(G309&gt;=5,0,IF(G309&gt;=2,5,10))+IF(H309/B309&lt;=25%,0,IF(H309/B309&lt;=50%,10,20))+IF(I309=36,0,IF(I309=48,3,6))</f>
        <v/>
      </c>
      <c r="L309" s="2">
        <f>850-K309*3.5</f>
        <v/>
      </c>
      <c r="M309" s="9">
        <f>1/(1+EXP(-(-4.2+0.055*K309)))</f>
        <v/>
      </c>
      <c r="N309" s="2">
        <f>IF(K309&lt;20,"A",IF(K309&lt;40,"B",IF(K309&lt;60,"C",IF(K309&lt;80,"D","E"))))</f>
        <v/>
      </c>
      <c r="O309" s="2">
        <f>IF(OR(N309="D",N309="E"),"Enhanced Review",IF(N309="C","Conditional","Approve"))</f>
        <v/>
      </c>
      <c r="P309" s="8">
        <f>H309*M309*45%</f>
        <v/>
      </c>
      <c r="Q309" s="9">
        <f>H309/B309</f>
        <v/>
      </c>
    </row>
    <row r="310">
      <c r="A310" s="11" t="inlineStr">
        <is>
          <t>B0306</t>
        </is>
      </c>
      <c r="B310" s="12" t="n">
        <v>77461</v>
      </c>
      <c r="C310" s="13" t="n">
        <v>0.0841950893695342</v>
      </c>
      <c r="D310" s="11" t="n">
        <v>722</v>
      </c>
      <c r="E310" s="13" t="n">
        <v>0.2493644465388389</v>
      </c>
      <c r="F310" s="11" t="n">
        <v>0</v>
      </c>
      <c r="G310" s="11" t="n">
        <v>18.4</v>
      </c>
      <c r="H310" s="12" t="n">
        <v>9176</v>
      </c>
      <c r="I310" s="11" t="n">
        <v>48</v>
      </c>
      <c r="J310" s="11" t="n">
        <v>0</v>
      </c>
      <c r="K310" s="2">
        <f>IF(D310&gt;=740,0,IF(D310&gt;=670,15,30))+IF(C310&lt;=25%,0,IF(C310&lt;=40%,15,30))+IF(E310&lt;=30%,0,IF(E310&lt;=60%,10,20))+IF(F310=0,0,IF(F310=1,10,25))+IF(G310&gt;=5,0,IF(G310&gt;=2,5,10))+IF(H310/B310&lt;=25%,0,IF(H310/B310&lt;=50%,10,20))+IF(I310=36,0,IF(I310=48,3,6))</f>
        <v/>
      </c>
      <c r="L310" s="2">
        <f>850-K310*3.5</f>
        <v/>
      </c>
      <c r="M310" s="9">
        <f>1/(1+EXP(-(-4.2+0.055*K310)))</f>
        <v/>
      </c>
      <c r="N310" s="2">
        <f>IF(K310&lt;20,"A",IF(K310&lt;40,"B",IF(K310&lt;60,"C",IF(K310&lt;80,"D","E"))))</f>
        <v/>
      </c>
      <c r="O310" s="2">
        <f>IF(OR(N310="D",N310="E"),"Enhanced Review",IF(N310="C","Conditional","Approve"))</f>
        <v/>
      </c>
      <c r="P310" s="8">
        <f>H310*M310*45%</f>
        <v/>
      </c>
      <c r="Q310" s="9">
        <f>H310/B310</f>
        <v/>
      </c>
    </row>
    <row r="311">
      <c r="A311" s="11" t="inlineStr">
        <is>
          <t>B0307</t>
        </is>
      </c>
      <c r="B311" s="12" t="n">
        <v>123919</v>
      </c>
      <c r="C311" s="13" t="n">
        <v>0.1878686388026284</v>
      </c>
      <c r="D311" s="11" t="n">
        <v>695</v>
      </c>
      <c r="E311" s="13" t="n">
        <v>0.4103447900714638</v>
      </c>
      <c r="F311" s="11" t="n">
        <v>0</v>
      </c>
      <c r="G311" s="11" t="n">
        <v>5.8</v>
      </c>
      <c r="H311" s="12" t="n">
        <v>10922</v>
      </c>
      <c r="I311" s="11" t="n">
        <v>48</v>
      </c>
      <c r="J311" s="11" t="n">
        <v>1</v>
      </c>
      <c r="K311" s="2">
        <f>IF(D311&gt;=740,0,IF(D311&gt;=670,15,30))+IF(C311&lt;=25%,0,IF(C311&lt;=40%,15,30))+IF(E311&lt;=30%,0,IF(E311&lt;=60%,10,20))+IF(F311=0,0,IF(F311=1,10,25))+IF(G311&gt;=5,0,IF(G311&gt;=2,5,10))+IF(H311/B311&lt;=25%,0,IF(H311/B311&lt;=50%,10,20))+IF(I311=36,0,IF(I311=48,3,6))</f>
        <v/>
      </c>
      <c r="L311" s="2">
        <f>850-K311*3.5</f>
        <v/>
      </c>
      <c r="M311" s="9">
        <f>1/(1+EXP(-(-4.2+0.055*K311)))</f>
        <v/>
      </c>
      <c r="N311" s="2">
        <f>IF(K311&lt;20,"A",IF(K311&lt;40,"B",IF(K311&lt;60,"C",IF(K311&lt;80,"D","E"))))</f>
        <v/>
      </c>
      <c r="O311" s="2">
        <f>IF(OR(N311="D",N311="E"),"Enhanced Review",IF(N311="C","Conditional","Approve"))</f>
        <v/>
      </c>
      <c r="P311" s="8">
        <f>H311*M311*45%</f>
        <v/>
      </c>
      <c r="Q311" s="9">
        <f>H311/B311</f>
        <v/>
      </c>
    </row>
    <row r="312">
      <c r="A312" s="11" t="inlineStr">
        <is>
          <t>B0308</t>
        </is>
      </c>
      <c r="B312" s="12" t="n">
        <v>71505</v>
      </c>
      <c r="C312" s="13" t="n">
        <v>0.08238741027131093</v>
      </c>
      <c r="D312" s="11" t="n">
        <v>729</v>
      </c>
      <c r="E312" s="13" t="n">
        <v>0.3737503637200668</v>
      </c>
      <c r="F312" s="11" t="n">
        <v>0</v>
      </c>
      <c r="G312" s="11" t="n">
        <v>8.9</v>
      </c>
      <c r="H312" s="12" t="n">
        <v>21389</v>
      </c>
      <c r="I312" s="11" t="n">
        <v>60</v>
      </c>
      <c r="J312" s="11" t="n">
        <v>0</v>
      </c>
      <c r="K312" s="2">
        <f>IF(D312&gt;=740,0,IF(D312&gt;=670,15,30))+IF(C312&lt;=25%,0,IF(C312&lt;=40%,15,30))+IF(E312&lt;=30%,0,IF(E312&lt;=60%,10,20))+IF(F312=0,0,IF(F312=1,10,25))+IF(G312&gt;=5,0,IF(G312&gt;=2,5,10))+IF(H312/B312&lt;=25%,0,IF(H312/B312&lt;=50%,10,20))+IF(I312=36,0,IF(I312=48,3,6))</f>
        <v/>
      </c>
      <c r="L312" s="2">
        <f>850-K312*3.5</f>
        <v/>
      </c>
      <c r="M312" s="9">
        <f>1/(1+EXP(-(-4.2+0.055*K312)))</f>
        <v/>
      </c>
      <c r="N312" s="2">
        <f>IF(K312&lt;20,"A",IF(K312&lt;40,"B",IF(K312&lt;60,"C",IF(K312&lt;80,"D","E"))))</f>
        <v/>
      </c>
      <c r="O312" s="2">
        <f>IF(OR(N312="D",N312="E"),"Enhanced Review",IF(N312="C","Conditional","Approve"))</f>
        <v/>
      </c>
      <c r="P312" s="8">
        <f>H312*M312*45%</f>
        <v/>
      </c>
      <c r="Q312" s="9">
        <f>H312/B312</f>
        <v/>
      </c>
    </row>
    <row r="313">
      <c r="A313" s="11" t="inlineStr">
        <is>
          <t>B0309</t>
        </is>
      </c>
      <c r="B313" s="12" t="n">
        <v>66546</v>
      </c>
      <c r="C313" s="13" t="n">
        <v>0.179306137945553</v>
      </c>
      <c r="D313" s="11" t="n">
        <v>677</v>
      </c>
      <c r="E313" s="13" t="n">
        <v>0.2105959011897664</v>
      </c>
      <c r="F313" s="11" t="n">
        <v>0</v>
      </c>
      <c r="G313" s="11" t="n">
        <v>8.4</v>
      </c>
      <c r="H313" s="12" t="n">
        <v>15488</v>
      </c>
      <c r="I313" s="11" t="n">
        <v>36</v>
      </c>
      <c r="J313" s="11" t="n">
        <v>0</v>
      </c>
      <c r="K313" s="2">
        <f>IF(D313&gt;=740,0,IF(D313&gt;=670,15,30))+IF(C313&lt;=25%,0,IF(C313&lt;=40%,15,30))+IF(E313&lt;=30%,0,IF(E313&lt;=60%,10,20))+IF(F313=0,0,IF(F313=1,10,25))+IF(G313&gt;=5,0,IF(G313&gt;=2,5,10))+IF(H313/B313&lt;=25%,0,IF(H313/B313&lt;=50%,10,20))+IF(I313=36,0,IF(I313=48,3,6))</f>
        <v/>
      </c>
      <c r="L313" s="2">
        <f>850-K313*3.5</f>
        <v/>
      </c>
      <c r="M313" s="9">
        <f>1/(1+EXP(-(-4.2+0.055*K313)))</f>
        <v/>
      </c>
      <c r="N313" s="2">
        <f>IF(K313&lt;20,"A",IF(K313&lt;40,"B",IF(K313&lt;60,"C",IF(K313&lt;80,"D","E"))))</f>
        <v/>
      </c>
      <c r="O313" s="2">
        <f>IF(OR(N313="D",N313="E"),"Enhanced Review",IF(N313="C","Conditional","Approve"))</f>
        <v/>
      </c>
      <c r="P313" s="8">
        <f>H313*M313*45%</f>
        <v/>
      </c>
      <c r="Q313" s="9">
        <f>H313/B313</f>
        <v/>
      </c>
    </row>
    <row r="314">
      <c r="A314" s="11" t="inlineStr">
        <is>
          <t>B0310</t>
        </is>
      </c>
      <c r="B314" s="12" t="n">
        <v>58838</v>
      </c>
      <c r="C314" s="13" t="n">
        <v>0.194288061681011</v>
      </c>
      <c r="D314" s="11" t="n">
        <v>691</v>
      </c>
      <c r="E314" s="13" t="n">
        <v>0.3213658585188144</v>
      </c>
      <c r="F314" s="11" t="n">
        <v>3</v>
      </c>
      <c r="G314" s="11" t="n">
        <v>7.6</v>
      </c>
      <c r="H314" s="12" t="n">
        <v>15938</v>
      </c>
      <c r="I314" s="11" t="n">
        <v>36</v>
      </c>
      <c r="J314" s="11" t="n">
        <v>0</v>
      </c>
      <c r="K314" s="2">
        <f>IF(D314&gt;=740,0,IF(D314&gt;=670,15,30))+IF(C314&lt;=25%,0,IF(C314&lt;=40%,15,30))+IF(E314&lt;=30%,0,IF(E314&lt;=60%,10,20))+IF(F314=0,0,IF(F314=1,10,25))+IF(G314&gt;=5,0,IF(G314&gt;=2,5,10))+IF(H314/B314&lt;=25%,0,IF(H314/B314&lt;=50%,10,20))+IF(I314=36,0,IF(I314=48,3,6))</f>
        <v/>
      </c>
      <c r="L314" s="2">
        <f>850-K314*3.5</f>
        <v/>
      </c>
      <c r="M314" s="9">
        <f>1/(1+EXP(-(-4.2+0.055*K314)))</f>
        <v/>
      </c>
      <c r="N314" s="2">
        <f>IF(K314&lt;20,"A",IF(K314&lt;40,"B",IF(K314&lt;60,"C",IF(K314&lt;80,"D","E"))))</f>
        <v/>
      </c>
      <c r="O314" s="2">
        <f>IF(OR(N314="D",N314="E"),"Enhanced Review",IF(N314="C","Conditional","Approve"))</f>
        <v/>
      </c>
      <c r="P314" s="8">
        <f>H314*M314*45%</f>
        <v/>
      </c>
      <c r="Q314" s="9">
        <f>H314/B314</f>
        <v/>
      </c>
    </row>
    <row r="315">
      <c r="A315" s="11" t="inlineStr">
        <is>
          <t>B0311</t>
        </is>
      </c>
      <c r="B315" s="12" t="n">
        <v>77309</v>
      </c>
      <c r="C315" s="13" t="n">
        <v>0.07057040988290385</v>
      </c>
      <c r="D315" s="11" t="n">
        <v>685</v>
      </c>
      <c r="E315" s="13" t="n">
        <v>0.2044183654697513</v>
      </c>
      <c r="F315" s="11" t="n">
        <v>2</v>
      </c>
      <c r="G315" s="11" t="n">
        <v>10.3</v>
      </c>
      <c r="H315" s="12" t="n">
        <v>18281</v>
      </c>
      <c r="I315" s="11" t="n">
        <v>36</v>
      </c>
      <c r="J315" s="11" t="n">
        <v>1</v>
      </c>
      <c r="K315" s="2">
        <f>IF(D315&gt;=740,0,IF(D315&gt;=670,15,30))+IF(C315&lt;=25%,0,IF(C315&lt;=40%,15,30))+IF(E315&lt;=30%,0,IF(E315&lt;=60%,10,20))+IF(F315=0,0,IF(F315=1,10,25))+IF(G315&gt;=5,0,IF(G315&gt;=2,5,10))+IF(H315/B315&lt;=25%,0,IF(H315/B315&lt;=50%,10,20))+IF(I315=36,0,IF(I315=48,3,6))</f>
        <v/>
      </c>
      <c r="L315" s="2">
        <f>850-K315*3.5</f>
        <v/>
      </c>
      <c r="M315" s="9">
        <f>1/(1+EXP(-(-4.2+0.055*K315)))</f>
        <v/>
      </c>
      <c r="N315" s="2">
        <f>IF(K315&lt;20,"A",IF(K315&lt;40,"B",IF(K315&lt;60,"C",IF(K315&lt;80,"D","E"))))</f>
        <v/>
      </c>
      <c r="O315" s="2">
        <f>IF(OR(N315="D",N315="E"),"Enhanced Review",IF(N315="C","Conditional","Approve"))</f>
        <v/>
      </c>
      <c r="P315" s="8">
        <f>H315*M315*45%</f>
        <v/>
      </c>
      <c r="Q315" s="9">
        <f>H315/B315</f>
        <v/>
      </c>
    </row>
    <row r="316">
      <c r="A316" s="11" t="inlineStr">
        <is>
          <t>B0312</t>
        </is>
      </c>
      <c r="B316" s="12" t="n">
        <v>110517</v>
      </c>
      <c r="C316" s="13" t="n">
        <v>0.1859527327679619</v>
      </c>
      <c r="D316" s="11" t="n">
        <v>747</v>
      </c>
      <c r="E316" s="13" t="n">
        <v>0.4012795633665003</v>
      </c>
      <c r="F316" s="11" t="n">
        <v>0</v>
      </c>
      <c r="G316" s="11" t="n">
        <v>15.3</v>
      </c>
      <c r="H316" s="12" t="n">
        <v>16573</v>
      </c>
      <c r="I316" s="11" t="n">
        <v>48</v>
      </c>
      <c r="J316" s="11" t="n">
        <v>0</v>
      </c>
      <c r="K316" s="2">
        <f>IF(D316&gt;=740,0,IF(D316&gt;=670,15,30))+IF(C316&lt;=25%,0,IF(C316&lt;=40%,15,30))+IF(E316&lt;=30%,0,IF(E316&lt;=60%,10,20))+IF(F316=0,0,IF(F316=1,10,25))+IF(G316&gt;=5,0,IF(G316&gt;=2,5,10))+IF(H316/B316&lt;=25%,0,IF(H316/B316&lt;=50%,10,20))+IF(I316=36,0,IF(I316=48,3,6))</f>
        <v/>
      </c>
      <c r="L316" s="2">
        <f>850-K316*3.5</f>
        <v/>
      </c>
      <c r="M316" s="9">
        <f>1/(1+EXP(-(-4.2+0.055*K316)))</f>
        <v/>
      </c>
      <c r="N316" s="2">
        <f>IF(K316&lt;20,"A",IF(K316&lt;40,"B",IF(K316&lt;60,"C",IF(K316&lt;80,"D","E"))))</f>
        <v/>
      </c>
      <c r="O316" s="2">
        <f>IF(OR(N316="D",N316="E"),"Enhanced Review",IF(N316="C","Conditional","Approve"))</f>
        <v/>
      </c>
      <c r="P316" s="8">
        <f>H316*M316*45%</f>
        <v/>
      </c>
      <c r="Q316" s="9">
        <f>H316/B316</f>
        <v/>
      </c>
    </row>
    <row r="317">
      <c r="A317" s="11" t="inlineStr">
        <is>
          <t>B0313</t>
        </is>
      </c>
      <c r="B317" s="12" t="n">
        <v>133452</v>
      </c>
      <c r="C317" s="13" t="n">
        <v>0.2212773462059514</v>
      </c>
      <c r="D317" s="11" t="n">
        <v>650</v>
      </c>
      <c r="E317" s="13" t="n">
        <v>0.2496736098919145</v>
      </c>
      <c r="F317" s="11" t="n">
        <v>1</v>
      </c>
      <c r="G317" s="11" t="n">
        <v>10.3</v>
      </c>
      <c r="H317" s="12" t="n">
        <v>49825</v>
      </c>
      <c r="I317" s="11" t="n">
        <v>36</v>
      </c>
      <c r="J317" s="11" t="n">
        <v>0</v>
      </c>
      <c r="K317" s="2">
        <f>IF(D317&gt;=740,0,IF(D317&gt;=670,15,30))+IF(C317&lt;=25%,0,IF(C317&lt;=40%,15,30))+IF(E317&lt;=30%,0,IF(E317&lt;=60%,10,20))+IF(F317=0,0,IF(F317=1,10,25))+IF(G317&gt;=5,0,IF(G317&gt;=2,5,10))+IF(H317/B317&lt;=25%,0,IF(H317/B317&lt;=50%,10,20))+IF(I317=36,0,IF(I317=48,3,6))</f>
        <v/>
      </c>
      <c r="L317" s="2">
        <f>850-K317*3.5</f>
        <v/>
      </c>
      <c r="M317" s="9">
        <f>1/(1+EXP(-(-4.2+0.055*K317)))</f>
        <v/>
      </c>
      <c r="N317" s="2">
        <f>IF(K317&lt;20,"A",IF(K317&lt;40,"B",IF(K317&lt;60,"C",IF(K317&lt;80,"D","E"))))</f>
        <v/>
      </c>
      <c r="O317" s="2">
        <f>IF(OR(N317="D",N317="E"),"Enhanced Review",IF(N317="C","Conditional","Approve"))</f>
        <v/>
      </c>
      <c r="P317" s="8">
        <f>H317*M317*45%</f>
        <v/>
      </c>
      <c r="Q317" s="9">
        <f>H317/B317</f>
        <v/>
      </c>
    </row>
    <row r="318">
      <c r="A318" s="11" t="inlineStr">
        <is>
          <t>B0314</t>
        </is>
      </c>
      <c r="B318" s="12" t="n">
        <v>300000</v>
      </c>
      <c r="C318" s="13" t="n">
        <v>0.1310669396711552</v>
      </c>
      <c r="D318" s="11" t="n">
        <v>720</v>
      </c>
      <c r="E318" s="13" t="n">
        <v>0.2897305211212945</v>
      </c>
      <c r="F318" s="11" t="n">
        <v>0</v>
      </c>
      <c r="G318" s="11" t="n">
        <v>5.9</v>
      </c>
      <c r="H318" s="12" t="n">
        <v>26477</v>
      </c>
      <c r="I318" s="11" t="n">
        <v>60</v>
      </c>
      <c r="J318" s="11" t="n">
        <v>0</v>
      </c>
      <c r="K318" s="2">
        <f>IF(D318&gt;=740,0,IF(D318&gt;=670,15,30))+IF(C318&lt;=25%,0,IF(C318&lt;=40%,15,30))+IF(E318&lt;=30%,0,IF(E318&lt;=60%,10,20))+IF(F318=0,0,IF(F318=1,10,25))+IF(G318&gt;=5,0,IF(G318&gt;=2,5,10))+IF(H318/B318&lt;=25%,0,IF(H318/B318&lt;=50%,10,20))+IF(I318=36,0,IF(I318=48,3,6))</f>
        <v/>
      </c>
      <c r="L318" s="2">
        <f>850-K318*3.5</f>
        <v/>
      </c>
      <c r="M318" s="9">
        <f>1/(1+EXP(-(-4.2+0.055*K318)))</f>
        <v/>
      </c>
      <c r="N318" s="2">
        <f>IF(K318&lt;20,"A",IF(K318&lt;40,"B",IF(K318&lt;60,"C",IF(K318&lt;80,"D","E"))))</f>
        <v/>
      </c>
      <c r="O318" s="2">
        <f>IF(OR(N318="D",N318="E"),"Enhanced Review",IF(N318="C","Conditional","Approve"))</f>
        <v/>
      </c>
      <c r="P318" s="8">
        <f>H318*M318*45%</f>
        <v/>
      </c>
      <c r="Q318" s="9">
        <f>H318/B318</f>
        <v/>
      </c>
    </row>
    <row r="319">
      <c r="A319" s="11" t="inlineStr">
        <is>
          <t>B0315</t>
        </is>
      </c>
      <c r="B319" s="12" t="n">
        <v>94954</v>
      </c>
      <c r="C319" s="13" t="n">
        <v>0.2986912925738739</v>
      </c>
      <c r="D319" s="11" t="n">
        <v>806</v>
      </c>
      <c r="E319" s="13" t="n">
        <v>0.578577954780487</v>
      </c>
      <c r="F319" s="11" t="n">
        <v>1</v>
      </c>
      <c r="G319" s="11" t="n">
        <v>12.8</v>
      </c>
      <c r="H319" s="12" t="n">
        <v>8604</v>
      </c>
      <c r="I319" s="11" t="n">
        <v>36</v>
      </c>
      <c r="J319" s="11" t="n">
        <v>0</v>
      </c>
      <c r="K319" s="2">
        <f>IF(D319&gt;=740,0,IF(D319&gt;=670,15,30))+IF(C319&lt;=25%,0,IF(C319&lt;=40%,15,30))+IF(E319&lt;=30%,0,IF(E319&lt;=60%,10,20))+IF(F319=0,0,IF(F319=1,10,25))+IF(G319&gt;=5,0,IF(G319&gt;=2,5,10))+IF(H319/B319&lt;=25%,0,IF(H319/B319&lt;=50%,10,20))+IF(I319=36,0,IF(I319=48,3,6))</f>
        <v/>
      </c>
      <c r="L319" s="2">
        <f>850-K319*3.5</f>
        <v/>
      </c>
      <c r="M319" s="9">
        <f>1/(1+EXP(-(-4.2+0.055*K319)))</f>
        <v/>
      </c>
      <c r="N319" s="2">
        <f>IF(K319&lt;20,"A",IF(K319&lt;40,"B",IF(K319&lt;60,"C",IF(K319&lt;80,"D","E"))))</f>
        <v/>
      </c>
      <c r="O319" s="2">
        <f>IF(OR(N319="D",N319="E"),"Enhanced Review",IF(N319="C","Conditional","Approve"))</f>
        <v/>
      </c>
      <c r="P319" s="8">
        <f>H319*M319*45%</f>
        <v/>
      </c>
      <c r="Q319" s="9">
        <f>H319/B319</f>
        <v/>
      </c>
    </row>
    <row r="320">
      <c r="A320" s="11" t="inlineStr">
        <is>
          <t>B0316</t>
        </is>
      </c>
      <c r="B320" s="12" t="n">
        <v>42635</v>
      </c>
      <c r="C320" s="13" t="n">
        <v>0.4332723866858548</v>
      </c>
      <c r="D320" s="11" t="n">
        <v>653</v>
      </c>
      <c r="E320" s="13" t="n">
        <v>0.7551491856106971</v>
      </c>
      <c r="F320" s="11" t="n">
        <v>1</v>
      </c>
      <c r="G320" s="11" t="n">
        <v>4.7</v>
      </c>
      <c r="H320" s="12" t="n">
        <v>10852</v>
      </c>
      <c r="I320" s="11" t="n">
        <v>48</v>
      </c>
      <c r="J320" s="11" t="n">
        <v>0</v>
      </c>
      <c r="K320" s="2">
        <f>IF(D320&gt;=740,0,IF(D320&gt;=670,15,30))+IF(C320&lt;=25%,0,IF(C320&lt;=40%,15,30))+IF(E320&lt;=30%,0,IF(E320&lt;=60%,10,20))+IF(F320=0,0,IF(F320=1,10,25))+IF(G320&gt;=5,0,IF(G320&gt;=2,5,10))+IF(H320/B320&lt;=25%,0,IF(H320/B320&lt;=50%,10,20))+IF(I320=36,0,IF(I320=48,3,6))</f>
        <v/>
      </c>
      <c r="L320" s="2">
        <f>850-K320*3.5</f>
        <v/>
      </c>
      <c r="M320" s="9">
        <f>1/(1+EXP(-(-4.2+0.055*K320)))</f>
        <v/>
      </c>
      <c r="N320" s="2">
        <f>IF(K320&lt;20,"A",IF(K320&lt;40,"B",IF(K320&lt;60,"C",IF(K320&lt;80,"D","E"))))</f>
        <v/>
      </c>
      <c r="O320" s="2">
        <f>IF(OR(N320="D",N320="E"),"Enhanced Review",IF(N320="C","Conditional","Approve"))</f>
        <v/>
      </c>
      <c r="P320" s="8">
        <f>H320*M320*45%</f>
        <v/>
      </c>
      <c r="Q320" s="9">
        <f>H320/B320</f>
        <v/>
      </c>
    </row>
    <row r="321">
      <c r="A321" s="11" t="inlineStr">
        <is>
          <t>B0317</t>
        </is>
      </c>
      <c r="B321" s="12" t="n">
        <v>40141</v>
      </c>
      <c r="C321" s="13" t="n">
        <v>0.2450287905898213</v>
      </c>
      <c r="D321" s="11" t="n">
        <v>671</v>
      </c>
      <c r="E321" s="13" t="n">
        <v>0.2818394180078309</v>
      </c>
      <c r="F321" s="11" t="n">
        <v>0</v>
      </c>
      <c r="G321" s="11" t="n">
        <v>1.6</v>
      </c>
      <c r="H321" s="12" t="n">
        <v>16600</v>
      </c>
      <c r="I321" s="11" t="n">
        <v>36</v>
      </c>
      <c r="J321" s="11" t="n">
        <v>0</v>
      </c>
      <c r="K321" s="2">
        <f>IF(D321&gt;=740,0,IF(D321&gt;=670,15,30))+IF(C321&lt;=25%,0,IF(C321&lt;=40%,15,30))+IF(E321&lt;=30%,0,IF(E321&lt;=60%,10,20))+IF(F321=0,0,IF(F321=1,10,25))+IF(G321&gt;=5,0,IF(G321&gt;=2,5,10))+IF(H321/B321&lt;=25%,0,IF(H321/B321&lt;=50%,10,20))+IF(I321=36,0,IF(I321=48,3,6))</f>
        <v/>
      </c>
      <c r="L321" s="2">
        <f>850-K321*3.5</f>
        <v/>
      </c>
      <c r="M321" s="9">
        <f>1/(1+EXP(-(-4.2+0.055*K321)))</f>
        <v/>
      </c>
      <c r="N321" s="2">
        <f>IF(K321&lt;20,"A",IF(K321&lt;40,"B",IF(K321&lt;60,"C",IF(K321&lt;80,"D","E"))))</f>
        <v/>
      </c>
      <c r="O321" s="2">
        <f>IF(OR(N321="D",N321="E"),"Enhanced Review",IF(N321="C","Conditional","Approve"))</f>
        <v/>
      </c>
      <c r="P321" s="8">
        <f>H321*M321*45%</f>
        <v/>
      </c>
      <c r="Q321" s="9">
        <f>H321/B321</f>
        <v/>
      </c>
    </row>
    <row r="322">
      <c r="A322" s="11" t="inlineStr">
        <is>
          <t>B0318</t>
        </is>
      </c>
      <c r="B322" s="12" t="n">
        <v>50843</v>
      </c>
      <c r="C322" s="13" t="n">
        <v>0.1080687188709886</v>
      </c>
      <c r="D322" s="11" t="n">
        <v>752</v>
      </c>
      <c r="E322" s="13" t="n">
        <v>0.4895248675039661</v>
      </c>
      <c r="F322" s="11" t="n">
        <v>0</v>
      </c>
      <c r="G322" s="11" t="n">
        <v>8</v>
      </c>
      <c r="H322" s="12" t="n">
        <v>51162</v>
      </c>
      <c r="I322" s="11" t="n">
        <v>60</v>
      </c>
      <c r="J322" s="11" t="n">
        <v>0</v>
      </c>
      <c r="K322" s="2">
        <f>IF(D322&gt;=740,0,IF(D322&gt;=670,15,30))+IF(C322&lt;=25%,0,IF(C322&lt;=40%,15,30))+IF(E322&lt;=30%,0,IF(E322&lt;=60%,10,20))+IF(F322=0,0,IF(F322=1,10,25))+IF(G322&gt;=5,0,IF(G322&gt;=2,5,10))+IF(H322/B322&lt;=25%,0,IF(H322/B322&lt;=50%,10,20))+IF(I322=36,0,IF(I322=48,3,6))</f>
        <v/>
      </c>
      <c r="L322" s="2">
        <f>850-K322*3.5</f>
        <v/>
      </c>
      <c r="M322" s="9">
        <f>1/(1+EXP(-(-4.2+0.055*K322)))</f>
        <v/>
      </c>
      <c r="N322" s="2">
        <f>IF(K322&lt;20,"A",IF(K322&lt;40,"B",IF(K322&lt;60,"C",IF(K322&lt;80,"D","E"))))</f>
        <v/>
      </c>
      <c r="O322" s="2">
        <f>IF(OR(N322="D",N322="E"),"Enhanced Review",IF(N322="C","Conditional","Approve"))</f>
        <v/>
      </c>
      <c r="P322" s="8">
        <f>H322*M322*45%</f>
        <v/>
      </c>
      <c r="Q322" s="9">
        <f>H322/B322</f>
        <v/>
      </c>
    </row>
    <row r="323">
      <c r="A323" s="11" t="inlineStr">
        <is>
          <t>B0319</t>
        </is>
      </c>
      <c r="B323" s="12" t="n">
        <v>38649</v>
      </c>
      <c r="C323" s="13" t="n">
        <v>0.2072369126712225</v>
      </c>
      <c r="D323" s="11" t="n">
        <v>724</v>
      </c>
      <c r="E323" s="13" t="n">
        <v>0.276091398575266</v>
      </c>
      <c r="F323" s="11" t="n">
        <v>0</v>
      </c>
      <c r="G323" s="11" t="n">
        <v>5.9</v>
      </c>
      <c r="H323" s="12" t="n">
        <v>25743</v>
      </c>
      <c r="I323" s="11" t="n">
        <v>36</v>
      </c>
      <c r="J323" s="11" t="n">
        <v>0</v>
      </c>
      <c r="K323" s="2">
        <f>IF(D323&gt;=740,0,IF(D323&gt;=670,15,30))+IF(C323&lt;=25%,0,IF(C323&lt;=40%,15,30))+IF(E323&lt;=30%,0,IF(E323&lt;=60%,10,20))+IF(F323=0,0,IF(F323=1,10,25))+IF(G323&gt;=5,0,IF(G323&gt;=2,5,10))+IF(H323/B323&lt;=25%,0,IF(H323/B323&lt;=50%,10,20))+IF(I323=36,0,IF(I323=48,3,6))</f>
        <v/>
      </c>
      <c r="L323" s="2">
        <f>850-K323*3.5</f>
        <v/>
      </c>
      <c r="M323" s="9">
        <f>1/(1+EXP(-(-4.2+0.055*K323)))</f>
        <v/>
      </c>
      <c r="N323" s="2">
        <f>IF(K323&lt;20,"A",IF(K323&lt;40,"B",IF(K323&lt;60,"C",IF(K323&lt;80,"D","E"))))</f>
        <v/>
      </c>
      <c r="O323" s="2">
        <f>IF(OR(N323="D",N323="E"),"Enhanced Review",IF(N323="C","Conditional","Approve"))</f>
        <v/>
      </c>
      <c r="P323" s="8">
        <f>H323*M323*45%</f>
        <v/>
      </c>
      <c r="Q323" s="9">
        <f>H323/B323</f>
        <v/>
      </c>
    </row>
    <row r="324">
      <c r="A324" s="11" t="inlineStr">
        <is>
          <t>B0320</t>
        </is>
      </c>
      <c r="B324" s="12" t="n">
        <v>148242</v>
      </c>
      <c r="C324" s="13" t="n">
        <v>0.188512336459846</v>
      </c>
      <c r="D324" s="11" t="n">
        <v>646</v>
      </c>
      <c r="E324" s="13" t="n">
        <v>0.7153500685192783</v>
      </c>
      <c r="F324" s="11" t="n">
        <v>0</v>
      </c>
      <c r="G324" s="11" t="n">
        <v>11.7</v>
      </c>
      <c r="H324" s="12" t="n">
        <v>56236</v>
      </c>
      <c r="I324" s="11" t="n">
        <v>60</v>
      </c>
      <c r="J324" s="11" t="n">
        <v>0</v>
      </c>
      <c r="K324" s="2">
        <f>IF(D324&gt;=740,0,IF(D324&gt;=670,15,30))+IF(C324&lt;=25%,0,IF(C324&lt;=40%,15,30))+IF(E324&lt;=30%,0,IF(E324&lt;=60%,10,20))+IF(F324=0,0,IF(F324=1,10,25))+IF(G324&gt;=5,0,IF(G324&gt;=2,5,10))+IF(H324/B324&lt;=25%,0,IF(H324/B324&lt;=50%,10,20))+IF(I324=36,0,IF(I324=48,3,6))</f>
        <v/>
      </c>
      <c r="L324" s="2">
        <f>850-K324*3.5</f>
        <v/>
      </c>
      <c r="M324" s="9">
        <f>1/(1+EXP(-(-4.2+0.055*K324)))</f>
        <v/>
      </c>
      <c r="N324" s="2">
        <f>IF(K324&lt;20,"A",IF(K324&lt;40,"B",IF(K324&lt;60,"C",IF(K324&lt;80,"D","E"))))</f>
        <v/>
      </c>
      <c r="O324" s="2">
        <f>IF(OR(N324="D",N324="E"),"Enhanced Review",IF(N324="C","Conditional","Approve"))</f>
        <v/>
      </c>
      <c r="P324" s="8">
        <f>H324*M324*45%</f>
        <v/>
      </c>
      <c r="Q324" s="9">
        <f>H324/B324</f>
        <v/>
      </c>
    </row>
    <row r="325">
      <c r="A325" s="11" t="inlineStr">
        <is>
          <t>B0321</t>
        </is>
      </c>
      <c r="B325" s="12" t="n">
        <v>48395</v>
      </c>
      <c r="C325" s="13" t="n">
        <v>0.2886211225365155</v>
      </c>
      <c r="D325" s="11" t="n">
        <v>657</v>
      </c>
      <c r="E325" s="13" t="n">
        <v>0.5030545572388139</v>
      </c>
      <c r="F325" s="11" t="n">
        <v>0</v>
      </c>
      <c r="G325" s="11" t="n">
        <v>9.6</v>
      </c>
      <c r="H325" s="12" t="n">
        <v>20498</v>
      </c>
      <c r="I325" s="11" t="n">
        <v>36</v>
      </c>
      <c r="J325" s="11" t="n">
        <v>0</v>
      </c>
      <c r="K325" s="2">
        <f>IF(D325&gt;=740,0,IF(D325&gt;=670,15,30))+IF(C325&lt;=25%,0,IF(C325&lt;=40%,15,30))+IF(E325&lt;=30%,0,IF(E325&lt;=60%,10,20))+IF(F325=0,0,IF(F325=1,10,25))+IF(G325&gt;=5,0,IF(G325&gt;=2,5,10))+IF(H325/B325&lt;=25%,0,IF(H325/B325&lt;=50%,10,20))+IF(I325=36,0,IF(I325=48,3,6))</f>
        <v/>
      </c>
      <c r="L325" s="2">
        <f>850-K325*3.5</f>
        <v/>
      </c>
      <c r="M325" s="9">
        <f>1/(1+EXP(-(-4.2+0.055*K325)))</f>
        <v/>
      </c>
      <c r="N325" s="2">
        <f>IF(K325&lt;20,"A",IF(K325&lt;40,"B",IF(K325&lt;60,"C",IF(K325&lt;80,"D","E"))))</f>
        <v/>
      </c>
      <c r="O325" s="2">
        <f>IF(OR(N325="D",N325="E"),"Enhanced Review",IF(N325="C","Conditional","Approve"))</f>
        <v/>
      </c>
      <c r="P325" s="8">
        <f>H325*M325*45%</f>
        <v/>
      </c>
      <c r="Q325" s="9">
        <f>H325/B325</f>
        <v/>
      </c>
    </row>
    <row r="326">
      <c r="A326" s="11" t="inlineStr">
        <is>
          <t>B0322</t>
        </is>
      </c>
      <c r="B326" s="12" t="n">
        <v>69850</v>
      </c>
      <c r="C326" s="13" t="n">
        <v>0.2626198744330301</v>
      </c>
      <c r="D326" s="11" t="n">
        <v>777</v>
      </c>
      <c r="E326" s="13" t="n">
        <v>0.543770315642721</v>
      </c>
      <c r="F326" s="11" t="n">
        <v>0</v>
      </c>
      <c r="G326" s="11" t="n">
        <v>10</v>
      </c>
      <c r="H326" s="12" t="n">
        <v>19843</v>
      </c>
      <c r="I326" s="11" t="n">
        <v>36</v>
      </c>
      <c r="J326" s="11" t="n">
        <v>0</v>
      </c>
      <c r="K326" s="2">
        <f>IF(D326&gt;=740,0,IF(D326&gt;=670,15,30))+IF(C326&lt;=25%,0,IF(C326&lt;=40%,15,30))+IF(E326&lt;=30%,0,IF(E326&lt;=60%,10,20))+IF(F326=0,0,IF(F326=1,10,25))+IF(G326&gt;=5,0,IF(G326&gt;=2,5,10))+IF(H326/B326&lt;=25%,0,IF(H326/B326&lt;=50%,10,20))+IF(I326=36,0,IF(I326=48,3,6))</f>
        <v/>
      </c>
      <c r="L326" s="2">
        <f>850-K326*3.5</f>
        <v/>
      </c>
      <c r="M326" s="9">
        <f>1/(1+EXP(-(-4.2+0.055*K326)))</f>
        <v/>
      </c>
      <c r="N326" s="2">
        <f>IF(K326&lt;20,"A",IF(K326&lt;40,"B",IF(K326&lt;60,"C",IF(K326&lt;80,"D","E"))))</f>
        <v/>
      </c>
      <c r="O326" s="2">
        <f>IF(OR(N326="D",N326="E"),"Enhanced Review",IF(N326="C","Conditional","Approve"))</f>
        <v/>
      </c>
      <c r="P326" s="8">
        <f>H326*M326*45%</f>
        <v/>
      </c>
      <c r="Q326" s="9">
        <f>H326/B326</f>
        <v/>
      </c>
    </row>
    <row r="327">
      <c r="A327" s="11" t="inlineStr">
        <is>
          <t>B0323</t>
        </is>
      </c>
      <c r="B327" s="12" t="n">
        <v>48497</v>
      </c>
      <c r="C327" s="13" t="n">
        <v>0.3039058776319286</v>
      </c>
      <c r="D327" s="11" t="n">
        <v>658</v>
      </c>
      <c r="E327" s="13" t="n">
        <v>0.2510011316629897</v>
      </c>
      <c r="F327" s="11" t="n">
        <v>0</v>
      </c>
      <c r="G327" s="11" t="n">
        <v>10.4</v>
      </c>
      <c r="H327" s="12" t="n">
        <v>5496</v>
      </c>
      <c r="I327" s="11" t="n">
        <v>36</v>
      </c>
      <c r="J327" s="11" t="n">
        <v>0</v>
      </c>
      <c r="K327" s="2">
        <f>IF(D327&gt;=740,0,IF(D327&gt;=670,15,30))+IF(C327&lt;=25%,0,IF(C327&lt;=40%,15,30))+IF(E327&lt;=30%,0,IF(E327&lt;=60%,10,20))+IF(F327=0,0,IF(F327=1,10,25))+IF(G327&gt;=5,0,IF(G327&gt;=2,5,10))+IF(H327/B327&lt;=25%,0,IF(H327/B327&lt;=50%,10,20))+IF(I327=36,0,IF(I327=48,3,6))</f>
        <v/>
      </c>
      <c r="L327" s="2">
        <f>850-K327*3.5</f>
        <v/>
      </c>
      <c r="M327" s="9">
        <f>1/(1+EXP(-(-4.2+0.055*K327)))</f>
        <v/>
      </c>
      <c r="N327" s="2">
        <f>IF(K327&lt;20,"A",IF(K327&lt;40,"B",IF(K327&lt;60,"C",IF(K327&lt;80,"D","E"))))</f>
        <v/>
      </c>
      <c r="O327" s="2">
        <f>IF(OR(N327="D",N327="E"),"Enhanced Review",IF(N327="C","Conditional","Approve"))</f>
        <v/>
      </c>
      <c r="P327" s="8">
        <f>H327*M327*45%</f>
        <v/>
      </c>
      <c r="Q327" s="9">
        <f>H327/B327</f>
        <v/>
      </c>
    </row>
    <row r="328">
      <c r="A328" s="11" t="inlineStr">
        <is>
          <t>B0324</t>
        </is>
      </c>
      <c r="B328" s="12" t="n">
        <v>52220</v>
      </c>
      <c r="C328" s="13" t="n">
        <v>0.2427206260018482</v>
      </c>
      <c r="D328" s="11" t="n">
        <v>574</v>
      </c>
      <c r="E328" s="13" t="n">
        <v>0.1086877768073513</v>
      </c>
      <c r="F328" s="11" t="n">
        <v>0</v>
      </c>
      <c r="G328" s="11" t="n">
        <v>5.2</v>
      </c>
      <c r="H328" s="12" t="n">
        <v>47604</v>
      </c>
      <c r="I328" s="11" t="n">
        <v>36</v>
      </c>
      <c r="J328" s="11" t="n">
        <v>0</v>
      </c>
      <c r="K328" s="2">
        <f>IF(D328&gt;=740,0,IF(D328&gt;=670,15,30))+IF(C328&lt;=25%,0,IF(C328&lt;=40%,15,30))+IF(E328&lt;=30%,0,IF(E328&lt;=60%,10,20))+IF(F328=0,0,IF(F328=1,10,25))+IF(G328&gt;=5,0,IF(G328&gt;=2,5,10))+IF(H328/B328&lt;=25%,0,IF(H328/B328&lt;=50%,10,20))+IF(I328=36,0,IF(I328=48,3,6))</f>
        <v/>
      </c>
      <c r="L328" s="2">
        <f>850-K328*3.5</f>
        <v/>
      </c>
      <c r="M328" s="9">
        <f>1/(1+EXP(-(-4.2+0.055*K328)))</f>
        <v/>
      </c>
      <c r="N328" s="2">
        <f>IF(K328&lt;20,"A",IF(K328&lt;40,"B",IF(K328&lt;60,"C",IF(K328&lt;80,"D","E"))))</f>
        <v/>
      </c>
      <c r="O328" s="2">
        <f>IF(OR(N328="D",N328="E"),"Enhanced Review",IF(N328="C","Conditional","Approve"))</f>
        <v/>
      </c>
      <c r="P328" s="8">
        <f>H328*M328*45%</f>
        <v/>
      </c>
      <c r="Q328" s="9">
        <f>H328/B328</f>
        <v/>
      </c>
    </row>
    <row r="329">
      <c r="A329" s="11" t="inlineStr">
        <is>
          <t>B0325</t>
        </is>
      </c>
      <c r="B329" s="12" t="n">
        <v>40258</v>
      </c>
      <c r="C329" s="13" t="n">
        <v>0.2745937695569288</v>
      </c>
      <c r="D329" s="11" t="n">
        <v>701</v>
      </c>
      <c r="E329" s="13" t="n">
        <v>0.417542026974849</v>
      </c>
      <c r="F329" s="11" t="n">
        <v>0</v>
      </c>
      <c r="G329" s="11" t="n">
        <v>11.5</v>
      </c>
      <c r="H329" s="12" t="n">
        <v>15114</v>
      </c>
      <c r="I329" s="11" t="n">
        <v>36</v>
      </c>
      <c r="J329" s="11" t="n">
        <v>1</v>
      </c>
      <c r="K329" s="2">
        <f>IF(D329&gt;=740,0,IF(D329&gt;=670,15,30))+IF(C329&lt;=25%,0,IF(C329&lt;=40%,15,30))+IF(E329&lt;=30%,0,IF(E329&lt;=60%,10,20))+IF(F329=0,0,IF(F329=1,10,25))+IF(G329&gt;=5,0,IF(G329&gt;=2,5,10))+IF(H329/B329&lt;=25%,0,IF(H329/B329&lt;=50%,10,20))+IF(I329=36,0,IF(I329=48,3,6))</f>
        <v/>
      </c>
      <c r="L329" s="2">
        <f>850-K329*3.5</f>
        <v/>
      </c>
      <c r="M329" s="9">
        <f>1/(1+EXP(-(-4.2+0.055*K329)))</f>
        <v/>
      </c>
      <c r="N329" s="2">
        <f>IF(K329&lt;20,"A",IF(K329&lt;40,"B",IF(K329&lt;60,"C",IF(K329&lt;80,"D","E"))))</f>
        <v/>
      </c>
      <c r="O329" s="2">
        <f>IF(OR(N329="D",N329="E"),"Enhanced Review",IF(N329="C","Conditional","Approve"))</f>
        <v/>
      </c>
      <c r="P329" s="8">
        <f>H329*M329*45%</f>
        <v/>
      </c>
      <c r="Q329" s="9">
        <f>H329/B329</f>
        <v/>
      </c>
    </row>
    <row r="330">
      <c r="A330" s="11" t="inlineStr">
        <is>
          <t>B0326</t>
        </is>
      </c>
      <c r="B330" s="12" t="n">
        <v>32113</v>
      </c>
      <c r="C330" s="13" t="n">
        <v>0.2172083183244359</v>
      </c>
      <c r="D330" s="11" t="n">
        <v>669</v>
      </c>
      <c r="E330" s="13" t="n">
        <v>0.3628957661703141</v>
      </c>
      <c r="F330" s="11" t="n">
        <v>0</v>
      </c>
      <c r="G330" s="11" t="n">
        <v>9</v>
      </c>
      <c r="H330" s="12" t="n">
        <v>35130</v>
      </c>
      <c r="I330" s="11" t="n">
        <v>36</v>
      </c>
      <c r="J330" s="11" t="n">
        <v>0</v>
      </c>
      <c r="K330" s="2">
        <f>IF(D330&gt;=740,0,IF(D330&gt;=670,15,30))+IF(C330&lt;=25%,0,IF(C330&lt;=40%,15,30))+IF(E330&lt;=30%,0,IF(E330&lt;=60%,10,20))+IF(F330=0,0,IF(F330=1,10,25))+IF(G330&gt;=5,0,IF(G330&gt;=2,5,10))+IF(H330/B330&lt;=25%,0,IF(H330/B330&lt;=50%,10,20))+IF(I330=36,0,IF(I330=48,3,6))</f>
        <v/>
      </c>
      <c r="L330" s="2">
        <f>850-K330*3.5</f>
        <v/>
      </c>
      <c r="M330" s="9">
        <f>1/(1+EXP(-(-4.2+0.055*K330)))</f>
        <v/>
      </c>
      <c r="N330" s="2">
        <f>IF(K330&lt;20,"A",IF(K330&lt;40,"B",IF(K330&lt;60,"C",IF(K330&lt;80,"D","E"))))</f>
        <v/>
      </c>
      <c r="O330" s="2">
        <f>IF(OR(N330="D",N330="E"),"Enhanced Review",IF(N330="C","Conditional","Approve"))</f>
        <v/>
      </c>
      <c r="P330" s="8">
        <f>H330*M330*45%</f>
        <v/>
      </c>
      <c r="Q330" s="9">
        <f>H330/B330</f>
        <v/>
      </c>
    </row>
    <row r="331">
      <c r="A331" s="11" t="inlineStr">
        <is>
          <t>B0327</t>
        </is>
      </c>
      <c r="B331" s="12" t="n">
        <v>43827</v>
      </c>
      <c r="C331" s="13" t="n">
        <v>0.2219966456730914</v>
      </c>
      <c r="D331" s="11" t="n">
        <v>682</v>
      </c>
      <c r="E331" s="13" t="n">
        <v>0.3561092575823306</v>
      </c>
      <c r="F331" s="11" t="n">
        <v>0</v>
      </c>
      <c r="G331" s="11" t="n">
        <v>7</v>
      </c>
      <c r="H331" s="12" t="n">
        <v>67667</v>
      </c>
      <c r="I331" s="11" t="n">
        <v>36</v>
      </c>
      <c r="J331" s="11" t="n">
        <v>0</v>
      </c>
      <c r="K331" s="2">
        <f>IF(D331&gt;=740,0,IF(D331&gt;=670,15,30))+IF(C331&lt;=25%,0,IF(C331&lt;=40%,15,30))+IF(E331&lt;=30%,0,IF(E331&lt;=60%,10,20))+IF(F331=0,0,IF(F331=1,10,25))+IF(G331&gt;=5,0,IF(G331&gt;=2,5,10))+IF(H331/B331&lt;=25%,0,IF(H331/B331&lt;=50%,10,20))+IF(I331=36,0,IF(I331=48,3,6))</f>
        <v/>
      </c>
      <c r="L331" s="2">
        <f>850-K331*3.5</f>
        <v/>
      </c>
      <c r="M331" s="9">
        <f>1/(1+EXP(-(-4.2+0.055*K331)))</f>
        <v/>
      </c>
      <c r="N331" s="2">
        <f>IF(K331&lt;20,"A",IF(K331&lt;40,"B",IF(K331&lt;60,"C",IF(K331&lt;80,"D","E"))))</f>
        <v/>
      </c>
      <c r="O331" s="2">
        <f>IF(OR(N331="D",N331="E"),"Enhanced Review",IF(N331="C","Conditional","Approve"))</f>
        <v/>
      </c>
      <c r="P331" s="8">
        <f>H331*M331*45%</f>
        <v/>
      </c>
      <c r="Q331" s="9">
        <f>H331/B331</f>
        <v/>
      </c>
    </row>
    <row r="332">
      <c r="A332" s="11" t="inlineStr">
        <is>
          <t>B0328</t>
        </is>
      </c>
      <c r="B332" s="12" t="n">
        <v>67999</v>
      </c>
      <c r="C332" s="13" t="n">
        <v>0.07940842022219854</v>
      </c>
      <c r="D332" s="11" t="n">
        <v>671</v>
      </c>
      <c r="E332" s="13" t="n">
        <v>0.6102290451420213</v>
      </c>
      <c r="F332" s="11" t="n">
        <v>0</v>
      </c>
      <c r="G332" s="11" t="n">
        <v>15.1</v>
      </c>
      <c r="H332" s="12" t="n">
        <v>3559</v>
      </c>
      <c r="I332" s="11" t="n">
        <v>36</v>
      </c>
      <c r="J332" s="11" t="n">
        <v>1</v>
      </c>
      <c r="K332" s="2">
        <f>IF(D332&gt;=740,0,IF(D332&gt;=670,15,30))+IF(C332&lt;=25%,0,IF(C332&lt;=40%,15,30))+IF(E332&lt;=30%,0,IF(E332&lt;=60%,10,20))+IF(F332=0,0,IF(F332=1,10,25))+IF(G332&gt;=5,0,IF(G332&gt;=2,5,10))+IF(H332/B332&lt;=25%,0,IF(H332/B332&lt;=50%,10,20))+IF(I332=36,0,IF(I332=48,3,6))</f>
        <v/>
      </c>
      <c r="L332" s="2">
        <f>850-K332*3.5</f>
        <v/>
      </c>
      <c r="M332" s="9">
        <f>1/(1+EXP(-(-4.2+0.055*K332)))</f>
        <v/>
      </c>
      <c r="N332" s="2">
        <f>IF(K332&lt;20,"A",IF(K332&lt;40,"B",IF(K332&lt;60,"C",IF(K332&lt;80,"D","E"))))</f>
        <v/>
      </c>
      <c r="O332" s="2">
        <f>IF(OR(N332="D",N332="E"),"Enhanced Review",IF(N332="C","Conditional","Approve"))</f>
        <v/>
      </c>
      <c r="P332" s="8">
        <f>H332*M332*45%</f>
        <v/>
      </c>
      <c r="Q332" s="9">
        <f>H332/B332</f>
        <v/>
      </c>
    </row>
    <row r="333">
      <c r="A333" s="11" t="inlineStr">
        <is>
          <t>B0329</t>
        </is>
      </c>
      <c r="B333" s="12" t="n">
        <v>95197</v>
      </c>
      <c r="C333" s="13" t="n">
        <v>0.06430605147839641</v>
      </c>
      <c r="D333" s="11" t="n">
        <v>682</v>
      </c>
      <c r="E333" s="13" t="n">
        <v>0.5297057891559346</v>
      </c>
      <c r="F333" s="11" t="n">
        <v>2</v>
      </c>
      <c r="G333" s="11" t="n">
        <v>1.6</v>
      </c>
      <c r="H333" s="12" t="n">
        <v>25113</v>
      </c>
      <c r="I333" s="11" t="n">
        <v>60</v>
      </c>
      <c r="J333" s="11" t="n">
        <v>0</v>
      </c>
      <c r="K333" s="2">
        <f>IF(D333&gt;=740,0,IF(D333&gt;=670,15,30))+IF(C333&lt;=25%,0,IF(C333&lt;=40%,15,30))+IF(E333&lt;=30%,0,IF(E333&lt;=60%,10,20))+IF(F333=0,0,IF(F333=1,10,25))+IF(G333&gt;=5,0,IF(G333&gt;=2,5,10))+IF(H333/B333&lt;=25%,0,IF(H333/B333&lt;=50%,10,20))+IF(I333=36,0,IF(I333=48,3,6))</f>
        <v/>
      </c>
      <c r="L333" s="2">
        <f>850-K333*3.5</f>
        <v/>
      </c>
      <c r="M333" s="9">
        <f>1/(1+EXP(-(-4.2+0.055*K333)))</f>
        <v/>
      </c>
      <c r="N333" s="2">
        <f>IF(K333&lt;20,"A",IF(K333&lt;40,"B",IF(K333&lt;60,"C",IF(K333&lt;80,"D","E"))))</f>
        <v/>
      </c>
      <c r="O333" s="2">
        <f>IF(OR(N333="D",N333="E"),"Enhanced Review",IF(N333="C","Conditional","Approve"))</f>
        <v/>
      </c>
      <c r="P333" s="8">
        <f>H333*M333*45%</f>
        <v/>
      </c>
      <c r="Q333" s="9">
        <f>H333/B333</f>
        <v/>
      </c>
    </row>
    <row r="334">
      <c r="A334" s="11" t="inlineStr">
        <is>
          <t>B0330</t>
        </is>
      </c>
      <c r="B334" s="12" t="n">
        <v>52888</v>
      </c>
      <c r="C334" s="13" t="n">
        <v>0.1262308753184515</v>
      </c>
      <c r="D334" s="11" t="n">
        <v>691</v>
      </c>
      <c r="E334" s="13" t="n">
        <v>0.6019163168749359</v>
      </c>
      <c r="F334" s="11" t="n">
        <v>0</v>
      </c>
      <c r="G334" s="11" t="n">
        <v>6.5</v>
      </c>
      <c r="H334" s="12" t="n">
        <v>5779</v>
      </c>
      <c r="I334" s="11" t="n">
        <v>60</v>
      </c>
      <c r="J334" s="11" t="n">
        <v>0</v>
      </c>
      <c r="K334" s="2">
        <f>IF(D334&gt;=740,0,IF(D334&gt;=670,15,30))+IF(C334&lt;=25%,0,IF(C334&lt;=40%,15,30))+IF(E334&lt;=30%,0,IF(E334&lt;=60%,10,20))+IF(F334=0,0,IF(F334=1,10,25))+IF(G334&gt;=5,0,IF(G334&gt;=2,5,10))+IF(H334/B334&lt;=25%,0,IF(H334/B334&lt;=50%,10,20))+IF(I334=36,0,IF(I334=48,3,6))</f>
        <v/>
      </c>
      <c r="L334" s="2">
        <f>850-K334*3.5</f>
        <v/>
      </c>
      <c r="M334" s="9">
        <f>1/(1+EXP(-(-4.2+0.055*K334)))</f>
        <v/>
      </c>
      <c r="N334" s="2">
        <f>IF(K334&lt;20,"A",IF(K334&lt;40,"B",IF(K334&lt;60,"C",IF(K334&lt;80,"D","E"))))</f>
        <v/>
      </c>
      <c r="O334" s="2">
        <f>IF(OR(N334="D",N334="E"),"Enhanced Review",IF(N334="C","Conditional","Approve"))</f>
        <v/>
      </c>
      <c r="P334" s="8">
        <f>H334*M334*45%</f>
        <v/>
      </c>
      <c r="Q334" s="9">
        <f>H334/B334</f>
        <v/>
      </c>
    </row>
    <row r="335">
      <c r="A335" s="11" t="inlineStr">
        <is>
          <t>B0331</t>
        </is>
      </c>
      <c r="B335" s="12" t="n">
        <v>110431</v>
      </c>
      <c r="C335" s="13" t="n">
        <v>0.2102513880209672</v>
      </c>
      <c r="D335" s="11" t="n">
        <v>695</v>
      </c>
      <c r="E335" s="13" t="n">
        <v>0.6046681165027084</v>
      </c>
      <c r="F335" s="11" t="n">
        <v>0</v>
      </c>
      <c r="G335" s="11" t="n">
        <v>6.8</v>
      </c>
      <c r="H335" s="12" t="n">
        <v>25433</v>
      </c>
      <c r="I335" s="11" t="n">
        <v>60</v>
      </c>
      <c r="J335" s="11" t="n">
        <v>0</v>
      </c>
      <c r="K335" s="2">
        <f>IF(D335&gt;=740,0,IF(D335&gt;=670,15,30))+IF(C335&lt;=25%,0,IF(C335&lt;=40%,15,30))+IF(E335&lt;=30%,0,IF(E335&lt;=60%,10,20))+IF(F335=0,0,IF(F335=1,10,25))+IF(G335&gt;=5,0,IF(G335&gt;=2,5,10))+IF(H335/B335&lt;=25%,0,IF(H335/B335&lt;=50%,10,20))+IF(I335=36,0,IF(I335=48,3,6))</f>
        <v/>
      </c>
      <c r="L335" s="2">
        <f>850-K335*3.5</f>
        <v/>
      </c>
      <c r="M335" s="9">
        <f>1/(1+EXP(-(-4.2+0.055*K335)))</f>
        <v/>
      </c>
      <c r="N335" s="2">
        <f>IF(K335&lt;20,"A",IF(K335&lt;40,"B",IF(K335&lt;60,"C",IF(K335&lt;80,"D","E"))))</f>
        <v/>
      </c>
      <c r="O335" s="2">
        <f>IF(OR(N335="D",N335="E"),"Enhanced Review",IF(N335="C","Conditional","Approve"))</f>
        <v/>
      </c>
      <c r="P335" s="8">
        <f>H335*M335*45%</f>
        <v/>
      </c>
      <c r="Q335" s="9">
        <f>H335/B335</f>
        <v/>
      </c>
    </row>
    <row r="336">
      <c r="A336" s="11" t="inlineStr">
        <is>
          <t>B0332</t>
        </is>
      </c>
      <c r="B336" s="12" t="n">
        <v>97188</v>
      </c>
      <c r="C336" s="13" t="n">
        <v>0.4147586597547662</v>
      </c>
      <c r="D336" s="11" t="n">
        <v>773</v>
      </c>
      <c r="E336" s="13" t="n">
        <v>0.4781820430859732</v>
      </c>
      <c r="F336" s="11" t="n">
        <v>1</v>
      </c>
      <c r="G336" s="11" t="n">
        <v>5.7</v>
      </c>
      <c r="H336" s="12" t="n">
        <v>44172</v>
      </c>
      <c r="I336" s="11" t="n">
        <v>36</v>
      </c>
      <c r="J336" s="11" t="n">
        <v>0</v>
      </c>
      <c r="K336" s="2">
        <f>IF(D336&gt;=740,0,IF(D336&gt;=670,15,30))+IF(C336&lt;=25%,0,IF(C336&lt;=40%,15,30))+IF(E336&lt;=30%,0,IF(E336&lt;=60%,10,20))+IF(F336=0,0,IF(F336=1,10,25))+IF(G336&gt;=5,0,IF(G336&gt;=2,5,10))+IF(H336/B336&lt;=25%,0,IF(H336/B336&lt;=50%,10,20))+IF(I336=36,0,IF(I336=48,3,6))</f>
        <v/>
      </c>
      <c r="L336" s="2">
        <f>850-K336*3.5</f>
        <v/>
      </c>
      <c r="M336" s="9">
        <f>1/(1+EXP(-(-4.2+0.055*K336)))</f>
        <v/>
      </c>
      <c r="N336" s="2">
        <f>IF(K336&lt;20,"A",IF(K336&lt;40,"B",IF(K336&lt;60,"C",IF(K336&lt;80,"D","E"))))</f>
        <v/>
      </c>
      <c r="O336" s="2">
        <f>IF(OR(N336="D",N336="E"),"Enhanced Review",IF(N336="C","Conditional","Approve"))</f>
        <v/>
      </c>
      <c r="P336" s="8">
        <f>H336*M336*45%</f>
        <v/>
      </c>
      <c r="Q336" s="9">
        <f>H336/B336</f>
        <v/>
      </c>
    </row>
    <row r="337">
      <c r="A337" s="11" t="inlineStr">
        <is>
          <t>B0333</t>
        </is>
      </c>
      <c r="B337" s="12" t="n">
        <v>49950</v>
      </c>
      <c r="C337" s="13" t="n">
        <v>0.1399395942420016</v>
      </c>
      <c r="D337" s="11" t="n">
        <v>687</v>
      </c>
      <c r="E337" s="13" t="n">
        <v>0.1340358391121111</v>
      </c>
      <c r="F337" s="11" t="n">
        <v>0</v>
      </c>
      <c r="G337" s="11" t="n">
        <v>9</v>
      </c>
      <c r="H337" s="12" t="n">
        <v>14135</v>
      </c>
      <c r="I337" s="11" t="n">
        <v>36</v>
      </c>
      <c r="J337" s="11" t="n">
        <v>0</v>
      </c>
      <c r="K337" s="2">
        <f>IF(D337&gt;=740,0,IF(D337&gt;=670,15,30))+IF(C337&lt;=25%,0,IF(C337&lt;=40%,15,30))+IF(E337&lt;=30%,0,IF(E337&lt;=60%,10,20))+IF(F337=0,0,IF(F337=1,10,25))+IF(G337&gt;=5,0,IF(G337&gt;=2,5,10))+IF(H337/B337&lt;=25%,0,IF(H337/B337&lt;=50%,10,20))+IF(I337=36,0,IF(I337=48,3,6))</f>
        <v/>
      </c>
      <c r="L337" s="2">
        <f>850-K337*3.5</f>
        <v/>
      </c>
      <c r="M337" s="9">
        <f>1/(1+EXP(-(-4.2+0.055*K337)))</f>
        <v/>
      </c>
      <c r="N337" s="2">
        <f>IF(K337&lt;20,"A",IF(K337&lt;40,"B",IF(K337&lt;60,"C",IF(K337&lt;80,"D","E"))))</f>
        <v/>
      </c>
      <c r="O337" s="2">
        <f>IF(OR(N337="D",N337="E"),"Enhanced Review",IF(N337="C","Conditional","Approve"))</f>
        <v/>
      </c>
      <c r="P337" s="8">
        <f>H337*M337*45%</f>
        <v/>
      </c>
      <c r="Q337" s="9">
        <f>H337/B337</f>
        <v/>
      </c>
    </row>
    <row r="338">
      <c r="A338" s="11" t="inlineStr">
        <is>
          <t>B0334</t>
        </is>
      </c>
      <c r="B338" s="12" t="n">
        <v>216788</v>
      </c>
      <c r="C338" s="13" t="n">
        <v>0.1894359069573953</v>
      </c>
      <c r="D338" s="11" t="n">
        <v>596</v>
      </c>
      <c r="E338" s="13" t="n">
        <v>0.30032759625344</v>
      </c>
      <c r="F338" s="11" t="n">
        <v>2</v>
      </c>
      <c r="G338" s="11" t="n">
        <v>1.9</v>
      </c>
      <c r="H338" s="12" t="n">
        <v>85098</v>
      </c>
      <c r="I338" s="11" t="n">
        <v>36</v>
      </c>
      <c r="J338" s="11" t="n">
        <v>1</v>
      </c>
      <c r="K338" s="2">
        <f>IF(D338&gt;=740,0,IF(D338&gt;=670,15,30))+IF(C338&lt;=25%,0,IF(C338&lt;=40%,15,30))+IF(E338&lt;=30%,0,IF(E338&lt;=60%,10,20))+IF(F338=0,0,IF(F338=1,10,25))+IF(G338&gt;=5,0,IF(G338&gt;=2,5,10))+IF(H338/B338&lt;=25%,0,IF(H338/B338&lt;=50%,10,20))+IF(I338=36,0,IF(I338=48,3,6))</f>
        <v/>
      </c>
      <c r="L338" s="2">
        <f>850-K338*3.5</f>
        <v/>
      </c>
      <c r="M338" s="9">
        <f>1/(1+EXP(-(-4.2+0.055*K338)))</f>
        <v/>
      </c>
      <c r="N338" s="2">
        <f>IF(K338&lt;20,"A",IF(K338&lt;40,"B",IF(K338&lt;60,"C",IF(K338&lt;80,"D","E"))))</f>
        <v/>
      </c>
      <c r="O338" s="2">
        <f>IF(OR(N338="D",N338="E"),"Enhanced Review",IF(N338="C","Conditional","Approve"))</f>
        <v/>
      </c>
      <c r="P338" s="8">
        <f>H338*M338*45%</f>
        <v/>
      </c>
      <c r="Q338" s="9">
        <f>H338/B338</f>
        <v/>
      </c>
    </row>
    <row r="339">
      <c r="A339" s="11" t="inlineStr">
        <is>
          <t>B0335</t>
        </is>
      </c>
      <c r="B339" s="12" t="n">
        <v>125159</v>
      </c>
      <c r="C339" s="13" t="n">
        <v>0.174217242250852</v>
      </c>
      <c r="D339" s="11" t="n">
        <v>716</v>
      </c>
      <c r="E339" s="13" t="n">
        <v>0.04476147044890383</v>
      </c>
      <c r="F339" s="11" t="n">
        <v>1</v>
      </c>
      <c r="G339" s="11" t="n">
        <v>6.4</v>
      </c>
      <c r="H339" s="12" t="n">
        <v>14871</v>
      </c>
      <c r="I339" s="11" t="n">
        <v>36</v>
      </c>
      <c r="J339" s="11" t="n">
        <v>0</v>
      </c>
      <c r="K339" s="2">
        <f>IF(D339&gt;=740,0,IF(D339&gt;=670,15,30))+IF(C339&lt;=25%,0,IF(C339&lt;=40%,15,30))+IF(E339&lt;=30%,0,IF(E339&lt;=60%,10,20))+IF(F339=0,0,IF(F339=1,10,25))+IF(G339&gt;=5,0,IF(G339&gt;=2,5,10))+IF(H339/B339&lt;=25%,0,IF(H339/B339&lt;=50%,10,20))+IF(I339=36,0,IF(I339=48,3,6))</f>
        <v/>
      </c>
      <c r="L339" s="2">
        <f>850-K339*3.5</f>
        <v/>
      </c>
      <c r="M339" s="9">
        <f>1/(1+EXP(-(-4.2+0.055*K339)))</f>
        <v/>
      </c>
      <c r="N339" s="2">
        <f>IF(K339&lt;20,"A",IF(K339&lt;40,"B",IF(K339&lt;60,"C",IF(K339&lt;80,"D","E"))))</f>
        <v/>
      </c>
      <c r="O339" s="2">
        <f>IF(OR(N339="D",N339="E"),"Enhanced Review",IF(N339="C","Conditional","Approve"))</f>
        <v/>
      </c>
      <c r="P339" s="8">
        <f>H339*M339*45%</f>
        <v/>
      </c>
      <c r="Q339" s="9">
        <f>H339/B339</f>
        <v/>
      </c>
    </row>
    <row r="340">
      <c r="A340" s="11" t="inlineStr">
        <is>
          <t>B0336</t>
        </is>
      </c>
      <c r="B340" s="12" t="n">
        <v>32167</v>
      </c>
      <c r="C340" s="13" t="n">
        <v>0.1376559260339013</v>
      </c>
      <c r="D340" s="11" t="n">
        <v>568</v>
      </c>
      <c r="E340" s="13" t="n">
        <v>0.5005707626648702</v>
      </c>
      <c r="F340" s="11" t="n">
        <v>0</v>
      </c>
      <c r="G340" s="11" t="n">
        <v>3.9</v>
      </c>
      <c r="H340" s="12" t="n">
        <v>27407</v>
      </c>
      <c r="I340" s="11" t="n">
        <v>36</v>
      </c>
      <c r="J340" s="11" t="n">
        <v>1</v>
      </c>
      <c r="K340" s="2">
        <f>IF(D340&gt;=740,0,IF(D340&gt;=670,15,30))+IF(C340&lt;=25%,0,IF(C340&lt;=40%,15,30))+IF(E340&lt;=30%,0,IF(E340&lt;=60%,10,20))+IF(F340=0,0,IF(F340=1,10,25))+IF(G340&gt;=5,0,IF(G340&gt;=2,5,10))+IF(H340/B340&lt;=25%,0,IF(H340/B340&lt;=50%,10,20))+IF(I340=36,0,IF(I340=48,3,6))</f>
        <v/>
      </c>
      <c r="L340" s="2">
        <f>850-K340*3.5</f>
        <v/>
      </c>
      <c r="M340" s="9">
        <f>1/(1+EXP(-(-4.2+0.055*K340)))</f>
        <v/>
      </c>
      <c r="N340" s="2">
        <f>IF(K340&lt;20,"A",IF(K340&lt;40,"B",IF(K340&lt;60,"C",IF(K340&lt;80,"D","E"))))</f>
        <v/>
      </c>
      <c r="O340" s="2">
        <f>IF(OR(N340="D",N340="E"),"Enhanced Review",IF(N340="C","Conditional","Approve"))</f>
        <v/>
      </c>
      <c r="P340" s="8">
        <f>H340*M340*45%</f>
        <v/>
      </c>
      <c r="Q340" s="9">
        <f>H340/B340</f>
        <v/>
      </c>
    </row>
    <row r="341">
      <c r="A341" s="11" t="inlineStr">
        <is>
          <t>B0337</t>
        </is>
      </c>
      <c r="B341" s="12" t="n">
        <v>55304</v>
      </c>
      <c r="C341" s="13" t="n">
        <v>0.2605007451219724</v>
      </c>
      <c r="D341" s="11" t="n">
        <v>712</v>
      </c>
      <c r="E341" s="13" t="n">
        <v>0.6039052545734441</v>
      </c>
      <c r="F341" s="11" t="n">
        <v>0</v>
      </c>
      <c r="G341" s="11" t="n">
        <v>6.4</v>
      </c>
      <c r="H341" s="12" t="n">
        <v>17757</v>
      </c>
      <c r="I341" s="11" t="n">
        <v>60</v>
      </c>
      <c r="J341" s="11" t="n">
        <v>0</v>
      </c>
      <c r="K341" s="2">
        <f>IF(D341&gt;=740,0,IF(D341&gt;=670,15,30))+IF(C341&lt;=25%,0,IF(C341&lt;=40%,15,30))+IF(E341&lt;=30%,0,IF(E341&lt;=60%,10,20))+IF(F341=0,0,IF(F341=1,10,25))+IF(G341&gt;=5,0,IF(G341&gt;=2,5,10))+IF(H341/B341&lt;=25%,0,IF(H341/B341&lt;=50%,10,20))+IF(I341=36,0,IF(I341=48,3,6))</f>
        <v/>
      </c>
      <c r="L341" s="2">
        <f>850-K341*3.5</f>
        <v/>
      </c>
      <c r="M341" s="9">
        <f>1/(1+EXP(-(-4.2+0.055*K341)))</f>
        <v/>
      </c>
      <c r="N341" s="2">
        <f>IF(K341&lt;20,"A",IF(K341&lt;40,"B",IF(K341&lt;60,"C",IF(K341&lt;80,"D","E"))))</f>
        <v/>
      </c>
      <c r="O341" s="2">
        <f>IF(OR(N341="D",N341="E"),"Enhanced Review",IF(N341="C","Conditional","Approve"))</f>
        <v/>
      </c>
      <c r="P341" s="8">
        <f>H341*M341*45%</f>
        <v/>
      </c>
      <c r="Q341" s="9">
        <f>H341/B341</f>
        <v/>
      </c>
    </row>
    <row r="342">
      <c r="A342" s="11" t="inlineStr">
        <is>
          <t>B0338</t>
        </is>
      </c>
      <c r="B342" s="12" t="n">
        <v>98847</v>
      </c>
      <c r="C342" s="13" t="n">
        <v>0.06485825890723748</v>
      </c>
      <c r="D342" s="11" t="n">
        <v>743</v>
      </c>
      <c r="E342" s="13" t="n">
        <v>0.06778141719422559</v>
      </c>
      <c r="F342" s="11" t="n">
        <v>0</v>
      </c>
      <c r="G342" s="11" t="n">
        <v>6.6</v>
      </c>
      <c r="H342" s="12" t="n">
        <v>10394</v>
      </c>
      <c r="I342" s="11" t="n">
        <v>60</v>
      </c>
      <c r="J342" s="11" t="n">
        <v>0</v>
      </c>
      <c r="K342" s="2">
        <f>IF(D342&gt;=740,0,IF(D342&gt;=670,15,30))+IF(C342&lt;=25%,0,IF(C342&lt;=40%,15,30))+IF(E342&lt;=30%,0,IF(E342&lt;=60%,10,20))+IF(F342=0,0,IF(F342=1,10,25))+IF(G342&gt;=5,0,IF(G342&gt;=2,5,10))+IF(H342/B342&lt;=25%,0,IF(H342/B342&lt;=50%,10,20))+IF(I342=36,0,IF(I342=48,3,6))</f>
        <v/>
      </c>
      <c r="L342" s="2">
        <f>850-K342*3.5</f>
        <v/>
      </c>
      <c r="M342" s="9">
        <f>1/(1+EXP(-(-4.2+0.055*K342)))</f>
        <v/>
      </c>
      <c r="N342" s="2">
        <f>IF(K342&lt;20,"A",IF(K342&lt;40,"B",IF(K342&lt;60,"C",IF(K342&lt;80,"D","E"))))</f>
        <v/>
      </c>
      <c r="O342" s="2">
        <f>IF(OR(N342="D",N342="E"),"Enhanced Review",IF(N342="C","Conditional","Approve"))</f>
        <v/>
      </c>
      <c r="P342" s="8">
        <f>H342*M342*45%</f>
        <v/>
      </c>
      <c r="Q342" s="9">
        <f>H342/B342</f>
        <v/>
      </c>
    </row>
    <row r="343">
      <c r="A343" s="11" t="inlineStr">
        <is>
          <t>B0339</t>
        </is>
      </c>
      <c r="B343" s="12" t="n">
        <v>75725</v>
      </c>
      <c r="C343" s="13" t="n">
        <v>0.2972478703412779</v>
      </c>
      <c r="D343" s="11" t="n">
        <v>692</v>
      </c>
      <c r="E343" s="13" t="n">
        <v>0.1935808138081709</v>
      </c>
      <c r="F343" s="11" t="n">
        <v>0</v>
      </c>
      <c r="G343" s="11" t="n">
        <v>2.7</v>
      </c>
      <c r="H343" s="12" t="n">
        <v>40914</v>
      </c>
      <c r="I343" s="11" t="n">
        <v>36</v>
      </c>
      <c r="J343" s="11" t="n">
        <v>0</v>
      </c>
      <c r="K343" s="2">
        <f>IF(D343&gt;=740,0,IF(D343&gt;=670,15,30))+IF(C343&lt;=25%,0,IF(C343&lt;=40%,15,30))+IF(E343&lt;=30%,0,IF(E343&lt;=60%,10,20))+IF(F343=0,0,IF(F343=1,10,25))+IF(G343&gt;=5,0,IF(G343&gt;=2,5,10))+IF(H343/B343&lt;=25%,0,IF(H343/B343&lt;=50%,10,20))+IF(I343=36,0,IF(I343=48,3,6))</f>
        <v/>
      </c>
      <c r="L343" s="2">
        <f>850-K343*3.5</f>
        <v/>
      </c>
      <c r="M343" s="9">
        <f>1/(1+EXP(-(-4.2+0.055*K343)))</f>
        <v/>
      </c>
      <c r="N343" s="2">
        <f>IF(K343&lt;20,"A",IF(K343&lt;40,"B",IF(K343&lt;60,"C",IF(K343&lt;80,"D","E"))))</f>
        <v/>
      </c>
      <c r="O343" s="2">
        <f>IF(OR(N343="D",N343="E"),"Enhanced Review",IF(N343="C","Conditional","Approve"))</f>
        <v/>
      </c>
      <c r="P343" s="8">
        <f>H343*M343*45%</f>
        <v/>
      </c>
      <c r="Q343" s="9">
        <f>H343/B343</f>
        <v/>
      </c>
    </row>
    <row r="344">
      <c r="A344" s="11" t="inlineStr">
        <is>
          <t>B0340</t>
        </is>
      </c>
      <c r="B344" s="12" t="n">
        <v>43186</v>
      </c>
      <c r="C344" s="13" t="n">
        <v>0.1847249877667055</v>
      </c>
      <c r="D344" s="11" t="n">
        <v>785</v>
      </c>
      <c r="E344" s="13" t="n">
        <v>0.5776989576328961</v>
      </c>
      <c r="F344" s="11" t="n">
        <v>0</v>
      </c>
      <c r="G344" s="11" t="n">
        <v>4.5</v>
      </c>
      <c r="H344" s="12" t="n">
        <v>25745</v>
      </c>
      <c r="I344" s="11" t="n">
        <v>36</v>
      </c>
      <c r="J344" s="11" t="n">
        <v>0</v>
      </c>
      <c r="K344" s="2">
        <f>IF(D344&gt;=740,0,IF(D344&gt;=670,15,30))+IF(C344&lt;=25%,0,IF(C344&lt;=40%,15,30))+IF(E344&lt;=30%,0,IF(E344&lt;=60%,10,20))+IF(F344=0,0,IF(F344=1,10,25))+IF(G344&gt;=5,0,IF(G344&gt;=2,5,10))+IF(H344/B344&lt;=25%,0,IF(H344/B344&lt;=50%,10,20))+IF(I344=36,0,IF(I344=48,3,6))</f>
        <v/>
      </c>
      <c r="L344" s="2">
        <f>850-K344*3.5</f>
        <v/>
      </c>
      <c r="M344" s="9">
        <f>1/(1+EXP(-(-4.2+0.055*K344)))</f>
        <v/>
      </c>
      <c r="N344" s="2">
        <f>IF(K344&lt;20,"A",IF(K344&lt;40,"B",IF(K344&lt;60,"C",IF(K344&lt;80,"D","E"))))</f>
        <v/>
      </c>
      <c r="O344" s="2">
        <f>IF(OR(N344="D",N344="E"),"Enhanced Review",IF(N344="C","Conditional","Approve"))</f>
        <v/>
      </c>
      <c r="P344" s="8">
        <f>H344*M344*45%</f>
        <v/>
      </c>
      <c r="Q344" s="9">
        <f>H344/B344</f>
        <v/>
      </c>
    </row>
    <row r="345">
      <c r="A345" s="11" t="inlineStr">
        <is>
          <t>B0341</t>
        </is>
      </c>
      <c r="B345" s="12" t="n">
        <v>63132</v>
      </c>
      <c r="C345" s="13" t="n">
        <v>0.3045718755233701</v>
      </c>
      <c r="D345" s="11" t="n">
        <v>655</v>
      </c>
      <c r="E345" s="13" t="n">
        <v>0.3790287531858104</v>
      </c>
      <c r="F345" s="11" t="n">
        <v>0</v>
      </c>
      <c r="G345" s="11" t="n">
        <v>9.800000000000001</v>
      </c>
      <c r="H345" s="12" t="n">
        <v>24273</v>
      </c>
      <c r="I345" s="11" t="n">
        <v>36</v>
      </c>
      <c r="J345" s="11" t="n">
        <v>0</v>
      </c>
      <c r="K345" s="2">
        <f>IF(D345&gt;=740,0,IF(D345&gt;=670,15,30))+IF(C345&lt;=25%,0,IF(C345&lt;=40%,15,30))+IF(E345&lt;=30%,0,IF(E345&lt;=60%,10,20))+IF(F345=0,0,IF(F345=1,10,25))+IF(G345&gt;=5,0,IF(G345&gt;=2,5,10))+IF(H345/B345&lt;=25%,0,IF(H345/B345&lt;=50%,10,20))+IF(I345=36,0,IF(I345=48,3,6))</f>
        <v/>
      </c>
      <c r="L345" s="2">
        <f>850-K345*3.5</f>
        <v/>
      </c>
      <c r="M345" s="9">
        <f>1/(1+EXP(-(-4.2+0.055*K345)))</f>
        <v/>
      </c>
      <c r="N345" s="2">
        <f>IF(K345&lt;20,"A",IF(K345&lt;40,"B",IF(K345&lt;60,"C",IF(K345&lt;80,"D","E"))))</f>
        <v/>
      </c>
      <c r="O345" s="2">
        <f>IF(OR(N345="D",N345="E"),"Enhanced Review",IF(N345="C","Conditional","Approve"))</f>
        <v/>
      </c>
      <c r="P345" s="8">
        <f>H345*M345*45%</f>
        <v/>
      </c>
      <c r="Q345" s="9">
        <f>H345/B345</f>
        <v/>
      </c>
    </row>
    <row r="346">
      <c r="A346" s="11" t="inlineStr">
        <is>
          <t>B0342</t>
        </is>
      </c>
      <c r="B346" s="12" t="n">
        <v>61847</v>
      </c>
      <c r="C346" s="13" t="n">
        <v>0.1463681270947607</v>
      </c>
      <c r="D346" s="11" t="n">
        <v>707</v>
      </c>
      <c r="E346" s="13" t="n">
        <v>0.6652065479425354</v>
      </c>
      <c r="F346" s="11" t="n">
        <v>0</v>
      </c>
      <c r="G346" s="11" t="n">
        <v>11</v>
      </c>
      <c r="H346" s="12" t="n">
        <v>23389</v>
      </c>
      <c r="I346" s="11" t="n">
        <v>60</v>
      </c>
      <c r="J346" s="11" t="n">
        <v>1</v>
      </c>
      <c r="K346" s="2">
        <f>IF(D346&gt;=740,0,IF(D346&gt;=670,15,30))+IF(C346&lt;=25%,0,IF(C346&lt;=40%,15,30))+IF(E346&lt;=30%,0,IF(E346&lt;=60%,10,20))+IF(F346=0,0,IF(F346=1,10,25))+IF(G346&gt;=5,0,IF(G346&gt;=2,5,10))+IF(H346/B346&lt;=25%,0,IF(H346/B346&lt;=50%,10,20))+IF(I346=36,0,IF(I346=48,3,6))</f>
        <v/>
      </c>
      <c r="L346" s="2">
        <f>850-K346*3.5</f>
        <v/>
      </c>
      <c r="M346" s="9">
        <f>1/(1+EXP(-(-4.2+0.055*K346)))</f>
        <v/>
      </c>
      <c r="N346" s="2">
        <f>IF(K346&lt;20,"A",IF(K346&lt;40,"B",IF(K346&lt;60,"C",IF(K346&lt;80,"D","E"))))</f>
        <v/>
      </c>
      <c r="O346" s="2">
        <f>IF(OR(N346="D",N346="E"),"Enhanced Review",IF(N346="C","Conditional","Approve"))</f>
        <v/>
      </c>
      <c r="P346" s="8">
        <f>H346*M346*45%</f>
        <v/>
      </c>
      <c r="Q346" s="9">
        <f>H346/B346</f>
        <v/>
      </c>
    </row>
    <row r="347">
      <c r="A347" s="11" t="inlineStr">
        <is>
          <t>B0343</t>
        </is>
      </c>
      <c r="B347" s="12" t="n">
        <v>29154</v>
      </c>
      <c r="C347" s="13" t="n">
        <v>0.1003806681547005</v>
      </c>
      <c r="D347" s="11" t="n">
        <v>655</v>
      </c>
      <c r="E347" s="13" t="n">
        <v>0.4948317595076436</v>
      </c>
      <c r="F347" s="11" t="n">
        <v>0</v>
      </c>
      <c r="G347" s="11" t="n">
        <v>9.199999999999999</v>
      </c>
      <c r="H347" s="12" t="n">
        <v>10946</v>
      </c>
      <c r="I347" s="11" t="n">
        <v>60</v>
      </c>
      <c r="J347" s="11" t="n">
        <v>0</v>
      </c>
      <c r="K347" s="2">
        <f>IF(D347&gt;=740,0,IF(D347&gt;=670,15,30))+IF(C347&lt;=25%,0,IF(C347&lt;=40%,15,30))+IF(E347&lt;=30%,0,IF(E347&lt;=60%,10,20))+IF(F347=0,0,IF(F347=1,10,25))+IF(G347&gt;=5,0,IF(G347&gt;=2,5,10))+IF(H347/B347&lt;=25%,0,IF(H347/B347&lt;=50%,10,20))+IF(I347=36,0,IF(I347=48,3,6))</f>
        <v/>
      </c>
      <c r="L347" s="2">
        <f>850-K347*3.5</f>
        <v/>
      </c>
      <c r="M347" s="9">
        <f>1/(1+EXP(-(-4.2+0.055*K347)))</f>
        <v/>
      </c>
      <c r="N347" s="2">
        <f>IF(K347&lt;20,"A",IF(K347&lt;40,"B",IF(K347&lt;60,"C",IF(K347&lt;80,"D","E"))))</f>
        <v/>
      </c>
      <c r="O347" s="2">
        <f>IF(OR(N347="D",N347="E"),"Enhanced Review",IF(N347="C","Conditional","Approve"))</f>
        <v/>
      </c>
      <c r="P347" s="8">
        <f>H347*M347*45%</f>
        <v/>
      </c>
      <c r="Q347" s="9">
        <f>H347/B347</f>
        <v/>
      </c>
    </row>
    <row r="348">
      <c r="A348" s="11" t="inlineStr">
        <is>
          <t>B0344</t>
        </is>
      </c>
      <c r="B348" s="12" t="n">
        <v>38341</v>
      </c>
      <c r="C348" s="13" t="n">
        <v>0.1294292030585839</v>
      </c>
      <c r="D348" s="11" t="n">
        <v>597</v>
      </c>
      <c r="E348" s="13" t="n">
        <v>0.3064634729689609</v>
      </c>
      <c r="F348" s="11" t="n">
        <v>1</v>
      </c>
      <c r="G348" s="11" t="n">
        <v>8.5</v>
      </c>
      <c r="H348" s="12" t="n">
        <v>30610</v>
      </c>
      <c r="I348" s="11" t="n">
        <v>60</v>
      </c>
      <c r="J348" s="11" t="n">
        <v>1</v>
      </c>
      <c r="K348" s="2">
        <f>IF(D348&gt;=740,0,IF(D348&gt;=670,15,30))+IF(C348&lt;=25%,0,IF(C348&lt;=40%,15,30))+IF(E348&lt;=30%,0,IF(E348&lt;=60%,10,20))+IF(F348=0,0,IF(F348=1,10,25))+IF(G348&gt;=5,0,IF(G348&gt;=2,5,10))+IF(H348/B348&lt;=25%,0,IF(H348/B348&lt;=50%,10,20))+IF(I348=36,0,IF(I348=48,3,6))</f>
        <v/>
      </c>
      <c r="L348" s="2">
        <f>850-K348*3.5</f>
        <v/>
      </c>
      <c r="M348" s="9">
        <f>1/(1+EXP(-(-4.2+0.055*K348)))</f>
        <v/>
      </c>
      <c r="N348" s="2">
        <f>IF(K348&lt;20,"A",IF(K348&lt;40,"B",IF(K348&lt;60,"C",IF(K348&lt;80,"D","E"))))</f>
        <v/>
      </c>
      <c r="O348" s="2">
        <f>IF(OR(N348="D",N348="E"),"Enhanced Review",IF(N348="C","Conditional","Approve"))</f>
        <v/>
      </c>
      <c r="P348" s="8">
        <f>H348*M348*45%</f>
        <v/>
      </c>
      <c r="Q348" s="9">
        <f>H348/B348</f>
        <v/>
      </c>
    </row>
    <row r="349">
      <c r="A349" s="11" t="inlineStr">
        <is>
          <t>B0345</t>
        </is>
      </c>
      <c r="B349" s="12" t="n">
        <v>86259</v>
      </c>
      <c r="C349" s="13" t="n">
        <v>0.183360837544024</v>
      </c>
      <c r="D349" s="11" t="n">
        <v>696</v>
      </c>
      <c r="E349" s="13" t="n">
        <v>0.3678257319532617</v>
      </c>
      <c r="F349" s="11" t="n">
        <v>0</v>
      </c>
      <c r="G349" s="11" t="n">
        <v>7.3</v>
      </c>
      <c r="H349" s="12" t="n">
        <v>44048</v>
      </c>
      <c r="I349" s="11" t="n">
        <v>36</v>
      </c>
      <c r="J349" s="11" t="n">
        <v>0</v>
      </c>
      <c r="K349" s="2">
        <f>IF(D349&gt;=740,0,IF(D349&gt;=670,15,30))+IF(C349&lt;=25%,0,IF(C349&lt;=40%,15,30))+IF(E349&lt;=30%,0,IF(E349&lt;=60%,10,20))+IF(F349=0,0,IF(F349=1,10,25))+IF(G349&gt;=5,0,IF(G349&gt;=2,5,10))+IF(H349/B349&lt;=25%,0,IF(H349/B349&lt;=50%,10,20))+IF(I349=36,0,IF(I349=48,3,6))</f>
        <v/>
      </c>
      <c r="L349" s="2">
        <f>850-K349*3.5</f>
        <v/>
      </c>
      <c r="M349" s="9">
        <f>1/(1+EXP(-(-4.2+0.055*K349)))</f>
        <v/>
      </c>
      <c r="N349" s="2">
        <f>IF(K349&lt;20,"A",IF(K349&lt;40,"B",IF(K349&lt;60,"C",IF(K349&lt;80,"D","E"))))</f>
        <v/>
      </c>
      <c r="O349" s="2">
        <f>IF(OR(N349="D",N349="E"),"Enhanced Review",IF(N349="C","Conditional","Approve"))</f>
        <v/>
      </c>
      <c r="P349" s="8">
        <f>H349*M349*45%</f>
        <v/>
      </c>
      <c r="Q349" s="9">
        <f>H349/B349</f>
        <v/>
      </c>
    </row>
    <row r="350">
      <c r="A350" s="11" t="inlineStr">
        <is>
          <t>B0346</t>
        </is>
      </c>
      <c r="B350" s="12" t="n">
        <v>96436</v>
      </c>
      <c r="C350" s="13" t="n">
        <v>0.0644052880531546</v>
      </c>
      <c r="D350" s="11" t="n">
        <v>683</v>
      </c>
      <c r="E350" s="13" t="n">
        <v>0.4255020561655872</v>
      </c>
      <c r="F350" s="11" t="n">
        <v>1</v>
      </c>
      <c r="G350" s="11" t="n">
        <v>8.300000000000001</v>
      </c>
      <c r="H350" s="12" t="n">
        <v>9031</v>
      </c>
      <c r="I350" s="11" t="n">
        <v>36</v>
      </c>
      <c r="J350" s="11" t="n">
        <v>1</v>
      </c>
      <c r="K350" s="2">
        <f>IF(D350&gt;=740,0,IF(D350&gt;=670,15,30))+IF(C350&lt;=25%,0,IF(C350&lt;=40%,15,30))+IF(E350&lt;=30%,0,IF(E350&lt;=60%,10,20))+IF(F350=0,0,IF(F350=1,10,25))+IF(G350&gt;=5,0,IF(G350&gt;=2,5,10))+IF(H350/B350&lt;=25%,0,IF(H350/B350&lt;=50%,10,20))+IF(I350=36,0,IF(I350=48,3,6))</f>
        <v/>
      </c>
      <c r="L350" s="2">
        <f>850-K350*3.5</f>
        <v/>
      </c>
      <c r="M350" s="9">
        <f>1/(1+EXP(-(-4.2+0.055*K350)))</f>
        <v/>
      </c>
      <c r="N350" s="2">
        <f>IF(K350&lt;20,"A",IF(K350&lt;40,"B",IF(K350&lt;60,"C",IF(K350&lt;80,"D","E"))))</f>
        <v/>
      </c>
      <c r="O350" s="2">
        <f>IF(OR(N350="D",N350="E"),"Enhanced Review",IF(N350="C","Conditional","Approve"))</f>
        <v/>
      </c>
      <c r="P350" s="8">
        <f>H350*M350*45%</f>
        <v/>
      </c>
      <c r="Q350" s="9">
        <f>H350/B350</f>
        <v/>
      </c>
    </row>
    <row r="351">
      <c r="A351" s="11" t="inlineStr">
        <is>
          <t>B0347</t>
        </is>
      </c>
      <c r="B351" s="12" t="n">
        <v>114248</v>
      </c>
      <c r="C351" s="13" t="n">
        <v>0.2073711684545131</v>
      </c>
      <c r="D351" s="11" t="n">
        <v>593</v>
      </c>
      <c r="E351" s="13" t="n">
        <v>0.3426023323537377</v>
      </c>
      <c r="F351" s="11" t="n">
        <v>1</v>
      </c>
      <c r="G351" s="11" t="n">
        <v>6.1</v>
      </c>
      <c r="H351" s="12" t="n">
        <v>14533</v>
      </c>
      <c r="I351" s="11" t="n">
        <v>60</v>
      </c>
      <c r="J351" s="11" t="n">
        <v>1</v>
      </c>
      <c r="K351" s="2">
        <f>IF(D351&gt;=740,0,IF(D351&gt;=670,15,30))+IF(C351&lt;=25%,0,IF(C351&lt;=40%,15,30))+IF(E351&lt;=30%,0,IF(E351&lt;=60%,10,20))+IF(F351=0,0,IF(F351=1,10,25))+IF(G351&gt;=5,0,IF(G351&gt;=2,5,10))+IF(H351/B351&lt;=25%,0,IF(H351/B351&lt;=50%,10,20))+IF(I351=36,0,IF(I351=48,3,6))</f>
        <v/>
      </c>
      <c r="L351" s="2">
        <f>850-K351*3.5</f>
        <v/>
      </c>
      <c r="M351" s="9">
        <f>1/(1+EXP(-(-4.2+0.055*K351)))</f>
        <v/>
      </c>
      <c r="N351" s="2">
        <f>IF(K351&lt;20,"A",IF(K351&lt;40,"B",IF(K351&lt;60,"C",IF(K351&lt;80,"D","E"))))</f>
        <v/>
      </c>
      <c r="O351" s="2">
        <f>IF(OR(N351="D",N351="E"),"Enhanced Review",IF(N351="C","Conditional","Approve"))</f>
        <v/>
      </c>
      <c r="P351" s="8">
        <f>H351*M351*45%</f>
        <v/>
      </c>
      <c r="Q351" s="9">
        <f>H351/B351</f>
        <v/>
      </c>
    </row>
    <row r="352">
      <c r="A352" s="11" t="inlineStr">
        <is>
          <t>B0348</t>
        </is>
      </c>
      <c r="B352" s="12" t="n">
        <v>258605</v>
      </c>
      <c r="C352" s="13" t="n">
        <v>0.4271345370257432</v>
      </c>
      <c r="D352" s="11" t="n">
        <v>571</v>
      </c>
      <c r="E352" s="13" t="n">
        <v>0.4296963138331782</v>
      </c>
      <c r="F352" s="11" t="n">
        <v>0</v>
      </c>
      <c r="G352" s="11" t="n">
        <v>5.7</v>
      </c>
      <c r="H352" s="12" t="n">
        <v>25740</v>
      </c>
      <c r="I352" s="11" t="n">
        <v>60</v>
      </c>
      <c r="J352" s="11" t="n">
        <v>1</v>
      </c>
      <c r="K352" s="2">
        <f>IF(D352&gt;=740,0,IF(D352&gt;=670,15,30))+IF(C352&lt;=25%,0,IF(C352&lt;=40%,15,30))+IF(E352&lt;=30%,0,IF(E352&lt;=60%,10,20))+IF(F352=0,0,IF(F352=1,10,25))+IF(G352&gt;=5,0,IF(G352&gt;=2,5,10))+IF(H352/B352&lt;=25%,0,IF(H352/B352&lt;=50%,10,20))+IF(I352=36,0,IF(I352=48,3,6))</f>
        <v/>
      </c>
      <c r="L352" s="2">
        <f>850-K352*3.5</f>
        <v/>
      </c>
      <c r="M352" s="9">
        <f>1/(1+EXP(-(-4.2+0.055*K352)))</f>
        <v/>
      </c>
      <c r="N352" s="2">
        <f>IF(K352&lt;20,"A",IF(K352&lt;40,"B",IF(K352&lt;60,"C",IF(K352&lt;80,"D","E"))))</f>
        <v/>
      </c>
      <c r="O352" s="2">
        <f>IF(OR(N352="D",N352="E"),"Enhanced Review",IF(N352="C","Conditional","Approve"))</f>
        <v/>
      </c>
      <c r="P352" s="8">
        <f>H352*M352*45%</f>
        <v/>
      </c>
      <c r="Q352" s="9">
        <f>H352/B352</f>
        <v/>
      </c>
    </row>
    <row r="353">
      <c r="A353" s="11" t="inlineStr">
        <is>
          <t>B0349</t>
        </is>
      </c>
      <c r="B353" s="12" t="n">
        <v>114440</v>
      </c>
      <c r="C353" s="13" t="n">
        <v>0.1532387510539506</v>
      </c>
      <c r="D353" s="11" t="n">
        <v>769</v>
      </c>
      <c r="E353" s="13" t="n">
        <v>0.443587379933581</v>
      </c>
      <c r="F353" s="11" t="n">
        <v>0</v>
      </c>
      <c r="G353" s="11" t="n">
        <v>8.6</v>
      </c>
      <c r="H353" s="12" t="n">
        <v>10973</v>
      </c>
      <c r="I353" s="11" t="n">
        <v>36</v>
      </c>
      <c r="J353" s="11" t="n">
        <v>0</v>
      </c>
      <c r="K353" s="2">
        <f>IF(D353&gt;=740,0,IF(D353&gt;=670,15,30))+IF(C353&lt;=25%,0,IF(C353&lt;=40%,15,30))+IF(E353&lt;=30%,0,IF(E353&lt;=60%,10,20))+IF(F353=0,0,IF(F353=1,10,25))+IF(G353&gt;=5,0,IF(G353&gt;=2,5,10))+IF(H353/B353&lt;=25%,0,IF(H353/B353&lt;=50%,10,20))+IF(I353=36,0,IF(I353=48,3,6))</f>
        <v/>
      </c>
      <c r="L353" s="2">
        <f>850-K353*3.5</f>
        <v/>
      </c>
      <c r="M353" s="9">
        <f>1/(1+EXP(-(-4.2+0.055*K353)))</f>
        <v/>
      </c>
      <c r="N353" s="2">
        <f>IF(K353&lt;20,"A",IF(K353&lt;40,"B",IF(K353&lt;60,"C",IF(K353&lt;80,"D","E"))))</f>
        <v/>
      </c>
      <c r="O353" s="2">
        <f>IF(OR(N353="D",N353="E"),"Enhanced Review",IF(N353="C","Conditional","Approve"))</f>
        <v/>
      </c>
      <c r="P353" s="8">
        <f>H353*M353*45%</f>
        <v/>
      </c>
      <c r="Q353" s="9">
        <f>H353/B353</f>
        <v/>
      </c>
    </row>
    <row r="354">
      <c r="A354" s="11" t="inlineStr">
        <is>
          <t>B0350</t>
        </is>
      </c>
      <c r="B354" s="12" t="n">
        <v>109117</v>
      </c>
      <c r="C354" s="13" t="n">
        <v>0.1701684322580582</v>
      </c>
      <c r="D354" s="11" t="n">
        <v>623</v>
      </c>
      <c r="E354" s="13" t="n">
        <v>0.1483841885589315</v>
      </c>
      <c r="F354" s="11" t="n">
        <v>4</v>
      </c>
      <c r="G354" s="11" t="n">
        <v>12.5</v>
      </c>
      <c r="H354" s="12" t="n">
        <v>37045</v>
      </c>
      <c r="I354" s="11" t="n">
        <v>36</v>
      </c>
      <c r="J354" s="11" t="n">
        <v>1</v>
      </c>
      <c r="K354" s="2">
        <f>IF(D354&gt;=740,0,IF(D354&gt;=670,15,30))+IF(C354&lt;=25%,0,IF(C354&lt;=40%,15,30))+IF(E354&lt;=30%,0,IF(E354&lt;=60%,10,20))+IF(F354=0,0,IF(F354=1,10,25))+IF(G354&gt;=5,0,IF(G354&gt;=2,5,10))+IF(H354/B354&lt;=25%,0,IF(H354/B354&lt;=50%,10,20))+IF(I354=36,0,IF(I354=48,3,6))</f>
        <v/>
      </c>
      <c r="L354" s="2">
        <f>850-K354*3.5</f>
        <v/>
      </c>
      <c r="M354" s="9">
        <f>1/(1+EXP(-(-4.2+0.055*K354)))</f>
        <v/>
      </c>
      <c r="N354" s="2">
        <f>IF(K354&lt;20,"A",IF(K354&lt;40,"B",IF(K354&lt;60,"C",IF(K354&lt;80,"D","E"))))</f>
        <v/>
      </c>
      <c r="O354" s="2">
        <f>IF(OR(N354="D",N354="E"),"Enhanced Review",IF(N354="C","Conditional","Approve"))</f>
        <v/>
      </c>
      <c r="P354" s="8">
        <f>H354*M354*45%</f>
        <v/>
      </c>
      <c r="Q354" s="9">
        <f>H354/B354</f>
        <v/>
      </c>
    </row>
    <row r="355">
      <c r="A355" s="11" t="inlineStr">
        <is>
          <t>B0351</t>
        </is>
      </c>
      <c r="B355" s="12" t="n">
        <v>94384</v>
      </c>
      <c r="C355" s="13" t="n">
        <v>0.3247256224104934</v>
      </c>
      <c r="D355" s="11" t="n">
        <v>795</v>
      </c>
      <c r="E355" s="13" t="n">
        <v>0.5656472237363555</v>
      </c>
      <c r="F355" s="11" t="n">
        <v>2</v>
      </c>
      <c r="G355" s="11" t="n">
        <v>5.2</v>
      </c>
      <c r="H355" s="12" t="n">
        <v>10812</v>
      </c>
      <c r="I355" s="11" t="n">
        <v>36</v>
      </c>
      <c r="J355" s="11" t="n">
        <v>0</v>
      </c>
      <c r="K355" s="2">
        <f>IF(D355&gt;=740,0,IF(D355&gt;=670,15,30))+IF(C355&lt;=25%,0,IF(C355&lt;=40%,15,30))+IF(E355&lt;=30%,0,IF(E355&lt;=60%,10,20))+IF(F355=0,0,IF(F355=1,10,25))+IF(G355&gt;=5,0,IF(G355&gt;=2,5,10))+IF(H355/B355&lt;=25%,0,IF(H355/B355&lt;=50%,10,20))+IF(I355=36,0,IF(I355=48,3,6))</f>
        <v/>
      </c>
      <c r="L355" s="2">
        <f>850-K355*3.5</f>
        <v/>
      </c>
      <c r="M355" s="9">
        <f>1/(1+EXP(-(-4.2+0.055*K355)))</f>
        <v/>
      </c>
      <c r="N355" s="2">
        <f>IF(K355&lt;20,"A",IF(K355&lt;40,"B",IF(K355&lt;60,"C",IF(K355&lt;80,"D","E"))))</f>
        <v/>
      </c>
      <c r="O355" s="2">
        <f>IF(OR(N355="D",N355="E"),"Enhanced Review",IF(N355="C","Conditional","Approve"))</f>
        <v/>
      </c>
      <c r="P355" s="8">
        <f>H355*M355*45%</f>
        <v/>
      </c>
      <c r="Q355" s="9">
        <f>H355/B355</f>
        <v/>
      </c>
    </row>
    <row r="356">
      <c r="A356" s="11" t="inlineStr">
        <is>
          <t>B0352</t>
        </is>
      </c>
      <c r="B356" s="12" t="n">
        <v>70737</v>
      </c>
      <c r="C356" s="13" t="n">
        <v>0.2344232375460231</v>
      </c>
      <c r="D356" s="11" t="n">
        <v>747</v>
      </c>
      <c r="E356" s="13" t="n">
        <v>0.408315115532007</v>
      </c>
      <c r="F356" s="11" t="n">
        <v>0</v>
      </c>
      <c r="G356" s="11" t="n">
        <v>9.199999999999999</v>
      </c>
      <c r="H356" s="12" t="n">
        <v>35476</v>
      </c>
      <c r="I356" s="11" t="n">
        <v>36</v>
      </c>
      <c r="J356" s="11" t="n">
        <v>0</v>
      </c>
      <c r="K356" s="2">
        <f>IF(D356&gt;=740,0,IF(D356&gt;=670,15,30))+IF(C356&lt;=25%,0,IF(C356&lt;=40%,15,30))+IF(E356&lt;=30%,0,IF(E356&lt;=60%,10,20))+IF(F356=0,0,IF(F356=1,10,25))+IF(G356&gt;=5,0,IF(G356&gt;=2,5,10))+IF(H356/B356&lt;=25%,0,IF(H356/B356&lt;=50%,10,20))+IF(I356=36,0,IF(I356=48,3,6))</f>
        <v/>
      </c>
      <c r="L356" s="2">
        <f>850-K356*3.5</f>
        <v/>
      </c>
      <c r="M356" s="9">
        <f>1/(1+EXP(-(-4.2+0.055*K356)))</f>
        <v/>
      </c>
      <c r="N356" s="2">
        <f>IF(K356&lt;20,"A",IF(K356&lt;40,"B",IF(K356&lt;60,"C",IF(K356&lt;80,"D","E"))))</f>
        <v/>
      </c>
      <c r="O356" s="2">
        <f>IF(OR(N356="D",N356="E"),"Enhanced Review",IF(N356="C","Conditional","Approve"))</f>
        <v/>
      </c>
      <c r="P356" s="8">
        <f>H356*M356*45%</f>
        <v/>
      </c>
      <c r="Q356" s="9">
        <f>H356/B356</f>
        <v/>
      </c>
    </row>
    <row r="357">
      <c r="A357" s="11" t="inlineStr">
        <is>
          <t>B0353</t>
        </is>
      </c>
      <c r="B357" s="12" t="n">
        <v>120953</v>
      </c>
      <c r="C357" s="13" t="n">
        <v>0.1019921131681506</v>
      </c>
      <c r="D357" s="11" t="n">
        <v>620</v>
      </c>
      <c r="E357" s="13" t="n">
        <v>0.2681864275438488</v>
      </c>
      <c r="F357" s="11" t="n">
        <v>0</v>
      </c>
      <c r="G357" s="11" t="n">
        <v>9.699999999999999</v>
      </c>
      <c r="H357" s="12" t="n">
        <v>15936</v>
      </c>
      <c r="I357" s="11" t="n">
        <v>48</v>
      </c>
      <c r="J357" s="11" t="n">
        <v>0</v>
      </c>
      <c r="K357" s="2">
        <f>IF(D357&gt;=740,0,IF(D357&gt;=670,15,30))+IF(C357&lt;=25%,0,IF(C357&lt;=40%,15,30))+IF(E357&lt;=30%,0,IF(E357&lt;=60%,10,20))+IF(F357=0,0,IF(F357=1,10,25))+IF(G357&gt;=5,0,IF(G357&gt;=2,5,10))+IF(H357/B357&lt;=25%,0,IF(H357/B357&lt;=50%,10,20))+IF(I357=36,0,IF(I357=48,3,6))</f>
        <v/>
      </c>
      <c r="L357" s="2">
        <f>850-K357*3.5</f>
        <v/>
      </c>
      <c r="M357" s="9">
        <f>1/(1+EXP(-(-4.2+0.055*K357)))</f>
        <v/>
      </c>
      <c r="N357" s="2">
        <f>IF(K357&lt;20,"A",IF(K357&lt;40,"B",IF(K357&lt;60,"C",IF(K357&lt;80,"D","E"))))</f>
        <v/>
      </c>
      <c r="O357" s="2">
        <f>IF(OR(N357="D",N357="E"),"Enhanced Review",IF(N357="C","Conditional","Approve"))</f>
        <v/>
      </c>
      <c r="P357" s="8">
        <f>H357*M357*45%</f>
        <v/>
      </c>
      <c r="Q357" s="9">
        <f>H357/B357</f>
        <v/>
      </c>
    </row>
    <row r="358">
      <c r="A358" s="11" t="inlineStr">
        <is>
          <t>B0354</t>
        </is>
      </c>
      <c r="B358" s="12" t="n">
        <v>67104</v>
      </c>
      <c r="C358" s="13" t="n">
        <v>0.03911132848566263</v>
      </c>
      <c r="D358" s="11" t="n">
        <v>722</v>
      </c>
      <c r="E358" s="13" t="n">
        <v>0.2695834401229177</v>
      </c>
      <c r="F358" s="11" t="n">
        <v>1</v>
      </c>
      <c r="G358" s="11" t="n">
        <v>5.9</v>
      </c>
      <c r="H358" s="12" t="n">
        <v>19361</v>
      </c>
      <c r="I358" s="11" t="n">
        <v>60</v>
      </c>
      <c r="J358" s="11" t="n">
        <v>0</v>
      </c>
      <c r="K358" s="2">
        <f>IF(D358&gt;=740,0,IF(D358&gt;=670,15,30))+IF(C358&lt;=25%,0,IF(C358&lt;=40%,15,30))+IF(E358&lt;=30%,0,IF(E358&lt;=60%,10,20))+IF(F358=0,0,IF(F358=1,10,25))+IF(G358&gt;=5,0,IF(G358&gt;=2,5,10))+IF(H358/B358&lt;=25%,0,IF(H358/B358&lt;=50%,10,20))+IF(I358=36,0,IF(I358=48,3,6))</f>
        <v/>
      </c>
      <c r="L358" s="2">
        <f>850-K358*3.5</f>
        <v/>
      </c>
      <c r="M358" s="9">
        <f>1/(1+EXP(-(-4.2+0.055*K358)))</f>
        <v/>
      </c>
      <c r="N358" s="2">
        <f>IF(K358&lt;20,"A",IF(K358&lt;40,"B",IF(K358&lt;60,"C",IF(K358&lt;80,"D","E"))))</f>
        <v/>
      </c>
      <c r="O358" s="2">
        <f>IF(OR(N358="D",N358="E"),"Enhanced Review",IF(N358="C","Conditional","Approve"))</f>
        <v/>
      </c>
      <c r="P358" s="8">
        <f>H358*M358*45%</f>
        <v/>
      </c>
      <c r="Q358" s="9">
        <f>H358/B358</f>
        <v/>
      </c>
    </row>
    <row r="359">
      <c r="A359" s="11" t="inlineStr">
        <is>
          <t>B0355</t>
        </is>
      </c>
      <c r="B359" s="12" t="n">
        <v>39505</v>
      </c>
      <c r="C359" s="13" t="n">
        <v>0.1335964634878557</v>
      </c>
      <c r="D359" s="11" t="n">
        <v>711</v>
      </c>
      <c r="E359" s="13" t="n">
        <v>0.7268375834027621</v>
      </c>
      <c r="F359" s="11" t="n">
        <v>0</v>
      </c>
      <c r="G359" s="11" t="n">
        <v>12.8</v>
      </c>
      <c r="H359" s="12" t="n">
        <v>20791</v>
      </c>
      <c r="I359" s="11" t="n">
        <v>60</v>
      </c>
      <c r="J359" s="11" t="n">
        <v>0</v>
      </c>
      <c r="K359" s="2">
        <f>IF(D359&gt;=740,0,IF(D359&gt;=670,15,30))+IF(C359&lt;=25%,0,IF(C359&lt;=40%,15,30))+IF(E359&lt;=30%,0,IF(E359&lt;=60%,10,20))+IF(F359=0,0,IF(F359=1,10,25))+IF(G359&gt;=5,0,IF(G359&gt;=2,5,10))+IF(H359/B359&lt;=25%,0,IF(H359/B359&lt;=50%,10,20))+IF(I359=36,0,IF(I359=48,3,6))</f>
        <v/>
      </c>
      <c r="L359" s="2">
        <f>850-K359*3.5</f>
        <v/>
      </c>
      <c r="M359" s="9">
        <f>1/(1+EXP(-(-4.2+0.055*K359)))</f>
        <v/>
      </c>
      <c r="N359" s="2">
        <f>IF(K359&lt;20,"A",IF(K359&lt;40,"B",IF(K359&lt;60,"C",IF(K359&lt;80,"D","E"))))</f>
        <v/>
      </c>
      <c r="O359" s="2">
        <f>IF(OR(N359="D",N359="E"),"Enhanced Review",IF(N359="C","Conditional","Approve"))</f>
        <v/>
      </c>
      <c r="P359" s="8">
        <f>H359*M359*45%</f>
        <v/>
      </c>
      <c r="Q359" s="9">
        <f>H359/B359</f>
        <v/>
      </c>
    </row>
    <row r="360">
      <c r="A360" s="11" t="inlineStr">
        <is>
          <t>B0356</t>
        </is>
      </c>
      <c r="B360" s="12" t="n">
        <v>117297</v>
      </c>
      <c r="C360" s="13" t="n">
        <v>0.1561585119572423</v>
      </c>
      <c r="D360" s="11" t="n">
        <v>717</v>
      </c>
      <c r="E360" s="13" t="n">
        <v>0.2016927349154533</v>
      </c>
      <c r="F360" s="11" t="n">
        <v>1</v>
      </c>
      <c r="G360" s="11" t="n">
        <v>6.1</v>
      </c>
      <c r="H360" s="12" t="n">
        <v>9642</v>
      </c>
      <c r="I360" s="11" t="n">
        <v>60</v>
      </c>
      <c r="J360" s="11" t="n">
        <v>0</v>
      </c>
      <c r="K360" s="2">
        <f>IF(D360&gt;=740,0,IF(D360&gt;=670,15,30))+IF(C360&lt;=25%,0,IF(C360&lt;=40%,15,30))+IF(E360&lt;=30%,0,IF(E360&lt;=60%,10,20))+IF(F360=0,0,IF(F360=1,10,25))+IF(G360&gt;=5,0,IF(G360&gt;=2,5,10))+IF(H360/B360&lt;=25%,0,IF(H360/B360&lt;=50%,10,20))+IF(I360=36,0,IF(I360=48,3,6))</f>
        <v/>
      </c>
      <c r="L360" s="2">
        <f>850-K360*3.5</f>
        <v/>
      </c>
      <c r="M360" s="9">
        <f>1/(1+EXP(-(-4.2+0.055*K360)))</f>
        <v/>
      </c>
      <c r="N360" s="2">
        <f>IF(K360&lt;20,"A",IF(K360&lt;40,"B",IF(K360&lt;60,"C",IF(K360&lt;80,"D","E"))))</f>
        <v/>
      </c>
      <c r="O360" s="2">
        <f>IF(OR(N360="D",N360="E"),"Enhanced Review",IF(N360="C","Conditional","Approve"))</f>
        <v/>
      </c>
      <c r="P360" s="8">
        <f>H360*M360*45%</f>
        <v/>
      </c>
      <c r="Q360" s="9">
        <f>H360/B360</f>
        <v/>
      </c>
    </row>
    <row r="361">
      <c r="A361" s="11" t="inlineStr">
        <is>
          <t>B0357</t>
        </is>
      </c>
      <c r="B361" s="12" t="n">
        <v>74585</v>
      </c>
      <c r="C361" s="13" t="n">
        <v>0.1316077596334254</v>
      </c>
      <c r="D361" s="11" t="n">
        <v>571</v>
      </c>
      <c r="E361" s="13" t="n">
        <v>0.3357088328685116</v>
      </c>
      <c r="F361" s="11" t="n">
        <v>0</v>
      </c>
      <c r="G361" s="11" t="n">
        <v>11.1</v>
      </c>
      <c r="H361" s="12" t="n">
        <v>8463</v>
      </c>
      <c r="I361" s="11" t="n">
        <v>36</v>
      </c>
      <c r="J361" s="11" t="n">
        <v>0</v>
      </c>
      <c r="K361" s="2">
        <f>IF(D361&gt;=740,0,IF(D361&gt;=670,15,30))+IF(C361&lt;=25%,0,IF(C361&lt;=40%,15,30))+IF(E361&lt;=30%,0,IF(E361&lt;=60%,10,20))+IF(F361=0,0,IF(F361=1,10,25))+IF(G361&gt;=5,0,IF(G361&gt;=2,5,10))+IF(H361/B361&lt;=25%,0,IF(H361/B361&lt;=50%,10,20))+IF(I361=36,0,IF(I361=48,3,6))</f>
        <v/>
      </c>
      <c r="L361" s="2">
        <f>850-K361*3.5</f>
        <v/>
      </c>
      <c r="M361" s="9">
        <f>1/(1+EXP(-(-4.2+0.055*K361)))</f>
        <v/>
      </c>
      <c r="N361" s="2">
        <f>IF(K361&lt;20,"A",IF(K361&lt;40,"B",IF(K361&lt;60,"C",IF(K361&lt;80,"D","E"))))</f>
        <v/>
      </c>
      <c r="O361" s="2">
        <f>IF(OR(N361="D",N361="E"),"Enhanced Review",IF(N361="C","Conditional","Approve"))</f>
        <v/>
      </c>
      <c r="P361" s="8">
        <f>H361*M361*45%</f>
        <v/>
      </c>
      <c r="Q361" s="9">
        <f>H361/B361</f>
        <v/>
      </c>
    </row>
    <row r="362">
      <c r="A362" s="11" t="inlineStr">
        <is>
          <t>B0358</t>
        </is>
      </c>
      <c r="B362" s="12" t="n">
        <v>115975</v>
      </c>
      <c r="C362" s="13" t="n">
        <v>0.3283637529226189</v>
      </c>
      <c r="D362" s="11" t="n">
        <v>675</v>
      </c>
      <c r="E362" s="13" t="n">
        <v>0.2878270621923349</v>
      </c>
      <c r="F362" s="11" t="n">
        <v>2</v>
      </c>
      <c r="G362" s="11" t="n">
        <v>1.2</v>
      </c>
      <c r="H362" s="12" t="n">
        <v>22180</v>
      </c>
      <c r="I362" s="11" t="n">
        <v>36</v>
      </c>
      <c r="J362" s="11" t="n">
        <v>1</v>
      </c>
      <c r="K362" s="2">
        <f>IF(D362&gt;=740,0,IF(D362&gt;=670,15,30))+IF(C362&lt;=25%,0,IF(C362&lt;=40%,15,30))+IF(E362&lt;=30%,0,IF(E362&lt;=60%,10,20))+IF(F362=0,0,IF(F362=1,10,25))+IF(G362&gt;=5,0,IF(G362&gt;=2,5,10))+IF(H362/B362&lt;=25%,0,IF(H362/B362&lt;=50%,10,20))+IF(I362=36,0,IF(I362=48,3,6))</f>
        <v/>
      </c>
      <c r="L362" s="2">
        <f>850-K362*3.5</f>
        <v/>
      </c>
      <c r="M362" s="9">
        <f>1/(1+EXP(-(-4.2+0.055*K362)))</f>
        <v/>
      </c>
      <c r="N362" s="2">
        <f>IF(K362&lt;20,"A",IF(K362&lt;40,"B",IF(K362&lt;60,"C",IF(K362&lt;80,"D","E"))))</f>
        <v/>
      </c>
      <c r="O362" s="2">
        <f>IF(OR(N362="D",N362="E"),"Enhanced Review",IF(N362="C","Conditional","Approve"))</f>
        <v/>
      </c>
      <c r="P362" s="8">
        <f>H362*M362*45%</f>
        <v/>
      </c>
      <c r="Q362" s="9">
        <f>H362/B362</f>
        <v/>
      </c>
    </row>
    <row r="363">
      <c r="A363" s="11" t="inlineStr">
        <is>
          <t>B0359</t>
        </is>
      </c>
      <c r="B363" s="12" t="n">
        <v>57745</v>
      </c>
      <c r="C363" s="13" t="n">
        <v>0.4751674224641957</v>
      </c>
      <c r="D363" s="11" t="n">
        <v>749</v>
      </c>
      <c r="E363" s="13" t="n">
        <v>0.4231109307134734</v>
      </c>
      <c r="F363" s="11" t="n">
        <v>0</v>
      </c>
      <c r="G363" s="11" t="n">
        <v>2</v>
      </c>
      <c r="H363" s="12" t="n">
        <v>17627</v>
      </c>
      <c r="I363" s="11" t="n">
        <v>36</v>
      </c>
      <c r="J363" s="11" t="n">
        <v>0</v>
      </c>
      <c r="K363" s="2">
        <f>IF(D363&gt;=740,0,IF(D363&gt;=670,15,30))+IF(C363&lt;=25%,0,IF(C363&lt;=40%,15,30))+IF(E363&lt;=30%,0,IF(E363&lt;=60%,10,20))+IF(F363=0,0,IF(F363=1,10,25))+IF(G363&gt;=5,0,IF(G363&gt;=2,5,10))+IF(H363/B363&lt;=25%,0,IF(H363/B363&lt;=50%,10,20))+IF(I363=36,0,IF(I363=48,3,6))</f>
        <v/>
      </c>
      <c r="L363" s="2">
        <f>850-K363*3.5</f>
        <v/>
      </c>
      <c r="M363" s="9">
        <f>1/(1+EXP(-(-4.2+0.055*K363)))</f>
        <v/>
      </c>
      <c r="N363" s="2">
        <f>IF(K363&lt;20,"A",IF(K363&lt;40,"B",IF(K363&lt;60,"C",IF(K363&lt;80,"D","E"))))</f>
        <v/>
      </c>
      <c r="O363" s="2">
        <f>IF(OR(N363="D",N363="E"),"Enhanced Review",IF(N363="C","Conditional","Approve"))</f>
        <v/>
      </c>
      <c r="P363" s="8">
        <f>H363*M363*45%</f>
        <v/>
      </c>
      <c r="Q363" s="9">
        <f>H363/B363</f>
        <v/>
      </c>
    </row>
    <row r="364">
      <c r="A364" s="11" t="inlineStr">
        <is>
          <t>B0360</t>
        </is>
      </c>
      <c r="B364" s="12" t="n">
        <v>66781</v>
      </c>
      <c r="C364" s="13" t="n">
        <v>0.3554362508738753</v>
      </c>
      <c r="D364" s="11" t="n">
        <v>751</v>
      </c>
      <c r="E364" s="13" t="n">
        <v>0.2576805857502732</v>
      </c>
      <c r="F364" s="11" t="n">
        <v>0</v>
      </c>
      <c r="G364" s="11" t="n">
        <v>3.4</v>
      </c>
      <c r="H364" s="12" t="n">
        <v>7398</v>
      </c>
      <c r="I364" s="11" t="n">
        <v>36</v>
      </c>
      <c r="J364" s="11" t="n">
        <v>0</v>
      </c>
      <c r="K364" s="2">
        <f>IF(D364&gt;=740,0,IF(D364&gt;=670,15,30))+IF(C364&lt;=25%,0,IF(C364&lt;=40%,15,30))+IF(E364&lt;=30%,0,IF(E364&lt;=60%,10,20))+IF(F364=0,0,IF(F364=1,10,25))+IF(G364&gt;=5,0,IF(G364&gt;=2,5,10))+IF(H364/B364&lt;=25%,0,IF(H364/B364&lt;=50%,10,20))+IF(I364=36,0,IF(I364=48,3,6))</f>
        <v/>
      </c>
      <c r="L364" s="2">
        <f>850-K364*3.5</f>
        <v/>
      </c>
      <c r="M364" s="9">
        <f>1/(1+EXP(-(-4.2+0.055*K364)))</f>
        <v/>
      </c>
      <c r="N364" s="2">
        <f>IF(K364&lt;20,"A",IF(K364&lt;40,"B",IF(K364&lt;60,"C",IF(K364&lt;80,"D","E"))))</f>
        <v/>
      </c>
      <c r="O364" s="2">
        <f>IF(OR(N364="D",N364="E"),"Enhanced Review",IF(N364="C","Conditional","Approve"))</f>
        <v/>
      </c>
      <c r="P364" s="8">
        <f>H364*M364*45%</f>
        <v/>
      </c>
      <c r="Q364" s="9">
        <f>H364/B364</f>
        <v/>
      </c>
    </row>
    <row r="365">
      <c r="A365" s="11" t="inlineStr">
        <is>
          <t>B0361</t>
        </is>
      </c>
      <c r="B365" s="12" t="n">
        <v>75867</v>
      </c>
      <c r="C365" s="13" t="n">
        <v>0.04675382146825404</v>
      </c>
      <c r="D365" s="11" t="n">
        <v>610</v>
      </c>
      <c r="E365" s="13" t="n">
        <v>0.383263343028752</v>
      </c>
      <c r="F365" s="11" t="n">
        <v>0</v>
      </c>
      <c r="G365" s="11" t="n">
        <v>4.4</v>
      </c>
      <c r="H365" s="12" t="n">
        <v>90000</v>
      </c>
      <c r="I365" s="11" t="n">
        <v>36</v>
      </c>
      <c r="J365" s="11" t="n">
        <v>0</v>
      </c>
      <c r="K365" s="2">
        <f>IF(D365&gt;=740,0,IF(D365&gt;=670,15,30))+IF(C365&lt;=25%,0,IF(C365&lt;=40%,15,30))+IF(E365&lt;=30%,0,IF(E365&lt;=60%,10,20))+IF(F365=0,0,IF(F365=1,10,25))+IF(G365&gt;=5,0,IF(G365&gt;=2,5,10))+IF(H365/B365&lt;=25%,0,IF(H365/B365&lt;=50%,10,20))+IF(I365=36,0,IF(I365=48,3,6))</f>
        <v/>
      </c>
      <c r="L365" s="2">
        <f>850-K365*3.5</f>
        <v/>
      </c>
      <c r="M365" s="9">
        <f>1/(1+EXP(-(-4.2+0.055*K365)))</f>
        <v/>
      </c>
      <c r="N365" s="2">
        <f>IF(K365&lt;20,"A",IF(K365&lt;40,"B",IF(K365&lt;60,"C",IF(K365&lt;80,"D","E"))))</f>
        <v/>
      </c>
      <c r="O365" s="2">
        <f>IF(OR(N365="D",N365="E"),"Enhanced Review",IF(N365="C","Conditional","Approve"))</f>
        <v/>
      </c>
      <c r="P365" s="8">
        <f>H365*M365*45%</f>
        <v/>
      </c>
      <c r="Q365" s="9">
        <f>H365/B365</f>
        <v/>
      </c>
    </row>
    <row r="366">
      <c r="A366" s="11" t="inlineStr">
        <is>
          <t>B0362</t>
        </is>
      </c>
      <c r="B366" s="12" t="n">
        <v>48778</v>
      </c>
      <c r="C366" s="13" t="n">
        <v>0.2839792712025918</v>
      </c>
      <c r="D366" s="11" t="n">
        <v>787</v>
      </c>
      <c r="E366" s="13" t="n">
        <v>0.3620480506177421</v>
      </c>
      <c r="F366" s="11" t="n">
        <v>1</v>
      </c>
      <c r="G366" s="11" t="n">
        <v>15.8</v>
      </c>
      <c r="H366" s="12" t="n">
        <v>28659</v>
      </c>
      <c r="I366" s="11" t="n">
        <v>60</v>
      </c>
      <c r="J366" s="11" t="n">
        <v>0</v>
      </c>
      <c r="K366" s="2">
        <f>IF(D366&gt;=740,0,IF(D366&gt;=670,15,30))+IF(C366&lt;=25%,0,IF(C366&lt;=40%,15,30))+IF(E366&lt;=30%,0,IF(E366&lt;=60%,10,20))+IF(F366=0,0,IF(F366=1,10,25))+IF(G366&gt;=5,0,IF(G366&gt;=2,5,10))+IF(H366/B366&lt;=25%,0,IF(H366/B366&lt;=50%,10,20))+IF(I366=36,0,IF(I366=48,3,6))</f>
        <v/>
      </c>
      <c r="L366" s="2">
        <f>850-K366*3.5</f>
        <v/>
      </c>
      <c r="M366" s="9">
        <f>1/(1+EXP(-(-4.2+0.055*K366)))</f>
        <v/>
      </c>
      <c r="N366" s="2">
        <f>IF(K366&lt;20,"A",IF(K366&lt;40,"B",IF(K366&lt;60,"C",IF(K366&lt;80,"D","E"))))</f>
        <v/>
      </c>
      <c r="O366" s="2">
        <f>IF(OR(N366="D",N366="E"),"Enhanced Review",IF(N366="C","Conditional","Approve"))</f>
        <v/>
      </c>
      <c r="P366" s="8">
        <f>H366*M366*45%</f>
        <v/>
      </c>
      <c r="Q366" s="9">
        <f>H366/B366</f>
        <v/>
      </c>
    </row>
    <row r="367">
      <c r="A367" s="11" t="inlineStr">
        <is>
          <t>B0363</t>
        </is>
      </c>
      <c r="B367" s="12" t="n">
        <v>80991</v>
      </c>
      <c r="C367" s="13" t="n">
        <v>0.3058353427847064</v>
      </c>
      <c r="D367" s="11" t="n">
        <v>680</v>
      </c>
      <c r="E367" s="13" t="n">
        <v>0.6666708760461455</v>
      </c>
      <c r="F367" s="11" t="n">
        <v>0</v>
      </c>
      <c r="G367" s="11" t="n">
        <v>24.5</v>
      </c>
      <c r="H367" s="12" t="n">
        <v>11922</v>
      </c>
      <c r="I367" s="11" t="n">
        <v>60</v>
      </c>
      <c r="J367" s="11" t="n">
        <v>0</v>
      </c>
      <c r="K367" s="2">
        <f>IF(D367&gt;=740,0,IF(D367&gt;=670,15,30))+IF(C367&lt;=25%,0,IF(C367&lt;=40%,15,30))+IF(E367&lt;=30%,0,IF(E367&lt;=60%,10,20))+IF(F367=0,0,IF(F367=1,10,25))+IF(G367&gt;=5,0,IF(G367&gt;=2,5,10))+IF(H367/B367&lt;=25%,0,IF(H367/B367&lt;=50%,10,20))+IF(I367=36,0,IF(I367=48,3,6))</f>
        <v/>
      </c>
      <c r="L367" s="2">
        <f>850-K367*3.5</f>
        <v/>
      </c>
      <c r="M367" s="9">
        <f>1/(1+EXP(-(-4.2+0.055*K367)))</f>
        <v/>
      </c>
      <c r="N367" s="2">
        <f>IF(K367&lt;20,"A",IF(K367&lt;40,"B",IF(K367&lt;60,"C",IF(K367&lt;80,"D","E"))))</f>
        <v/>
      </c>
      <c r="O367" s="2">
        <f>IF(OR(N367="D",N367="E"),"Enhanced Review",IF(N367="C","Conditional","Approve"))</f>
        <v/>
      </c>
      <c r="P367" s="8">
        <f>H367*M367*45%</f>
        <v/>
      </c>
      <c r="Q367" s="9">
        <f>H367/B367</f>
        <v/>
      </c>
    </row>
    <row r="368">
      <c r="A368" s="11" t="inlineStr">
        <is>
          <t>B0364</t>
        </is>
      </c>
      <c r="B368" s="12" t="n">
        <v>57894</v>
      </c>
      <c r="C368" s="13" t="n">
        <v>0.6391429068234709</v>
      </c>
      <c r="D368" s="11" t="n">
        <v>753</v>
      </c>
      <c r="E368" s="13" t="n">
        <v>0.8696869805159079</v>
      </c>
      <c r="F368" s="11" t="n">
        <v>0</v>
      </c>
      <c r="G368" s="11" t="n">
        <v>10.5</v>
      </c>
      <c r="H368" s="12" t="n">
        <v>62720</v>
      </c>
      <c r="I368" s="11" t="n">
        <v>60</v>
      </c>
      <c r="J368" s="11" t="n">
        <v>1</v>
      </c>
      <c r="K368" s="2">
        <f>IF(D368&gt;=740,0,IF(D368&gt;=670,15,30))+IF(C368&lt;=25%,0,IF(C368&lt;=40%,15,30))+IF(E368&lt;=30%,0,IF(E368&lt;=60%,10,20))+IF(F368=0,0,IF(F368=1,10,25))+IF(G368&gt;=5,0,IF(G368&gt;=2,5,10))+IF(H368/B368&lt;=25%,0,IF(H368/B368&lt;=50%,10,20))+IF(I368=36,0,IF(I368=48,3,6))</f>
        <v/>
      </c>
      <c r="L368" s="2">
        <f>850-K368*3.5</f>
        <v/>
      </c>
      <c r="M368" s="9">
        <f>1/(1+EXP(-(-4.2+0.055*K368)))</f>
        <v/>
      </c>
      <c r="N368" s="2">
        <f>IF(K368&lt;20,"A",IF(K368&lt;40,"B",IF(K368&lt;60,"C",IF(K368&lt;80,"D","E"))))</f>
        <v/>
      </c>
      <c r="O368" s="2">
        <f>IF(OR(N368="D",N368="E"),"Enhanced Review",IF(N368="C","Conditional","Approve"))</f>
        <v/>
      </c>
      <c r="P368" s="8">
        <f>H368*M368*45%</f>
        <v/>
      </c>
      <c r="Q368" s="9">
        <f>H368/B368</f>
        <v/>
      </c>
    </row>
    <row r="369">
      <c r="A369" s="11" t="inlineStr">
        <is>
          <t>B0365</t>
        </is>
      </c>
      <c r="B369" s="12" t="n">
        <v>63876</v>
      </c>
      <c r="C369" s="13" t="n">
        <v>0.1992786519794709</v>
      </c>
      <c r="D369" s="11" t="n">
        <v>768</v>
      </c>
      <c r="E369" s="13" t="n">
        <v>0.6552152930379803</v>
      </c>
      <c r="F369" s="11" t="n">
        <v>1</v>
      </c>
      <c r="G369" s="11" t="n">
        <v>5.5</v>
      </c>
      <c r="H369" s="12" t="n">
        <v>35853</v>
      </c>
      <c r="I369" s="11" t="n">
        <v>36</v>
      </c>
      <c r="J369" s="11" t="n">
        <v>0</v>
      </c>
      <c r="K369" s="2">
        <f>IF(D369&gt;=740,0,IF(D369&gt;=670,15,30))+IF(C369&lt;=25%,0,IF(C369&lt;=40%,15,30))+IF(E369&lt;=30%,0,IF(E369&lt;=60%,10,20))+IF(F369=0,0,IF(F369=1,10,25))+IF(G369&gt;=5,0,IF(G369&gt;=2,5,10))+IF(H369/B369&lt;=25%,0,IF(H369/B369&lt;=50%,10,20))+IF(I369=36,0,IF(I369=48,3,6))</f>
        <v/>
      </c>
      <c r="L369" s="2">
        <f>850-K369*3.5</f>
        <v/>
      </c>
      <c r="M369" s="9">
        <f>1/(1+EXP(-(-4.2+0.055*K369)))</f>
        <v/>
      </c>
      <c r="N369" s="2">
        <f>IF(K369&lt;20,"A",IF(K369&lt;40,"B",IF(K369&lt;60,"C",IF(K369&lt;80,"D","E"))))</f>
        <v/>
      </c>
      <c r="O369" s="2">
        <f>IF(OR(N369="D",N369="E"),"Enhanced Review",IF(N369="C","Conditional","Approve"))</f>
        <v/>
      </c>
      <c r="P369" s="8">
        <f>H369*M369*45%</f>
        <v/>
      </c>
      <c r="Q369" s="9">
        <f>H369/B369</f>
        <v/>
      </c>
    </row>
    <row r="370">
      <c r="A370" s="11" t="inlineStr">
        <is>
          <t>B0366</t>
        </is>
      </c>
      <c r="B370" s="12" t="n">
        <v>126315</v>
      </c>
      <c r="C370" s="13" t="n">
        <v>0.1026397124544791</v>
      </c>
      <c r="D370" s="11" t="n">
        <v>724</v>
      </c>
      <c r="E370" s="13" t="n">
        <v>0.1465997119115233</v>
      </c>
      <c r="F370" s="11" t="n">
        <v>0</v>
      </c>
      <c r="G370" s="11" t="n">
        <v>3</v>
      </c>
      <c r="H370" s="12" t="n">
        <v>20943</v>
      </c>
      <c r="I370" s="11" t="n">
        <v>48</v>
      </c>
      <c r="J370" s="11" t="n">
        <v>0</v>
      </c>
      <c r="K370" s="2">
        <f>IF(D370&gt;=740,0,IF(D370&gt;=670,15,30))+IF(C370&lt;=25%,0,IF(C370&lt;=40%,15,30))+IF(E370&lt;=30%,0,IF(E370&lt;=60%,10,20))+IF(F370=0,0,IF(F370=1,10,25))+IF(G370&gt;=5,0,IF(G370&gt;=2,5,10))+IF(H370/B370&lt;=25%,0,IF(H370/B370&lt;=50%,10,20))+IF(I370=36,0,IF(I370=48,3,6))</f>
        <v/>
      </c>
      <c r="L370" s="2">
        <f>850-K370*3.5</f>
        <v/>
      </c>
      <c r="M370" s="9">
        <f>1/(1+EXP(-(-4.2+0.055*K370)))</f>
        <v/>
      </c>
      <c r="N370" s="2">
        <f>IF(K370&lt;20,"A",IF(K370&lt;40,"B",IF(K370&lt;60,"C",IF(K370&lt;80,"D","E"))))</f>
        <v/>
      </c>
      <c r="O370" s="2">
        <f>IF(OR(N370="D",N370="E"),"Enhanced Review",IF(N370="C","Conditional","Approve"))</f>
        <v/>
      </c>
      <c r="P370" s="8">
        <f>H370*M370*45%</f>
        <v/>
      </c>
      <c r="Q370" s="9">
        <f>H370/B370</f>
        <v/>
      </c>
    </row>
    <row r="371">
      <c r="A371" s="11" t="inlineStr">
        <is>
          <t>B0367</t>
        </is>
      </c>
      <c r="B371" s="12" t="n">
        <v>110377</v>
      </c>
      <c r="C371" s="13" t="n">
        <v>0.1443558735128136</v>
      </c>
      <c r="D371" s="11" t="n">
        <v>737</v>
      </c>
      <c r="E371" s="13" t="n">
        <v>0.1284870882251662</v>
      </c>
      <c r="F371" s="11" t="n">
        <v>1</v>
      </c>
      <c r="G371" s="11" t="n">
        <v>4</v>
      </c>
      <c r="H371" s="12" t="n">
        <v>38290</v>
      </c>
      <c r="I371" s="11" t="n">
        <v>48</v>
      </c>
      <c r="J371" s="11" t="n">
        <v>0</v>
      </c>
      <c r="K371" s="2">
        <f>IF(D371&gt;=740,0,IF(D371&gt;=670,15,30))+IF(C371&lt;=25%,0,IF(C371&lt;=40%,15,30))+IF(E371&lt;=30%,0,IF(E371&lt;=60%,10,20))+IF(F371=0,0,IF(F371=1,10,25))+IF(G371&gt;=5,0,IF(G371&gt;=2,5,10))+IF(H371/B371&lt;=25%,0,IF(H371/B371&lt;=50%,10,20))+IF(I371=36,0,IF(I371=48,3,6))</f>
        <v/>
      </c>
      <c r="L371" s="2">
        <f>850-K371*3.5</f>
        <v/>
      </c>
      <c r="M371" s="9">
        <f>1/(1+EXP(-(-4.2+0.055*K371)))</f>
        <v/>
      </c>
      <c r="N371" s="2">
        <f>IF(K371&lt;20,"A",IF(K371&lt;40,"B",IF(K371&lt;60,"C",IF(K371&lt;80,"D","E"))))</f>
        <v/>
      </c>
      <c r="O371" s="2">
        <f>IF(OR(N371="D",N371="E"),"Enhanced Review",IF(N371="C","Conditional","Approve"))</f>
        <v/>
      </c>
      <c r="P371" s="8">
        <f>H371*M371*45%</f>
        <v/>
      </c>
      <c r="Q371" s="9">
        <f>H371/B371</f>
        <v/>
      </c>
    </row>
    <row r="372">
      <c r="A372" s="11" t="inlineStr">
        <is>
          <t>B0368</t>
        </is>
      </c>
      <c r="B372" s="12" t="n">
        <v>120308</v>
      </c>
      <c r="C372" s="13" t="n">
        <v>0.401424200288979</v>
      </c>
      <c r="D372" s="11" t="n">
        <v>641</v>
      </c>
      <c r="E372" s="13" t="n">
        <v>0.3283701852920108</v>
      </c>
      <c r="F372" s="11" t="n">
        <v>0</v>
      </c>
      <c r="G372" s="11" t="n">
        <v>6.1</v>
      </c>
      <c r="H372" s="12" t="n">
        <v>42054</v>
      </c>
      <c r="I372" s="11" t="n">
        <v>36</v>
      </c>
      <c r="J372" s="11" t="n">
        <v>1</v>
      </c>
      <c r="K372" s="2">
        <f>IF(D372&gt;=740,0,IF(D372&gt;=670,15,30))+IF(C372&lt;=25%,0,IF(C372&lt;=40%,15,30))+IF(E372&lt;=30%,0,IF(E372&lt;=60%,10,20))+IF(F372=0,0,IF(F372=1,10,25))+IF(G372&gt;=5,0,IF(G372&gt;=2,5,10))+IF(H372/B372&lt;=25%,0,IF(H372/B372&lt;=50%,10,20))+IF(I372=36,0,IF(I372=48,3,6))</f>
        <v/>
      </c>
      <c r="L372" s="2">
        <f>850-K372*3.5</f>
        <v/>
      </c>
      <c r="M372" s="9">
        <f>1/(1+EXP(-(-4.2+0.055*K372)))</f>
        <v/>
      </c>
      <c r="N372" s="2">
        <f>IF(K372&lt;20,"A",IF(K372&lt;40,"B",IF(K372&lt;60,"C",IF(K372&lt;80,"D","E"))))</f>
        <v/>
      </c>
      <c r="O372" s="2">
        <f>IF(OR(N372="D",N372="E"),"Enhanced Review",IF(N372="C","Conditional","Approve"))</f>
        <v/>
      </c>
      <c r="P372" s="8">
        <f>H372*M372*45%</f>
        <v/>
      </c>
      <c r="Q372" s="9">
        <f>H372/B372</f>
        <v/>
      </c>
    </row>
    <row r="373">
      <c r="A373" s="11" t="inlineStr">
        <is>
          <t>B0369</t>
        </is>
      </c>
      <c r="B373" s="12" t="n">
        <v>165788</v>
      </c>
      <c r="C373" s="13" t="n">
        <v>0.1824018055763338</v>
      </c>
      <c r="D373" s="11" t="n">
        <v>654</v>
      </c>
      <c r="E373" s="13" t="n">
        <v>0.1589850679166293</v>
      </c>
      <c r="F373" s="11" t="n">
        <v>0</v>
      </c>
      <c r="G373" s="11" t="n">
        <v>4.4</v>
      </c>
      <c r="H373" s="12" t="n">
        <v>41671</v>
      </c>
      <c r="I373" s="11" t="n">
        <v>48</v>
      </c>
      <c r="J373" s="11" t="n">
        <v>0</v>
      </c>
      <c r="K373" s="2">
        <f>IF(D373&gt;=740,0,IF(D373&gt;=670,15,30))+IF(C373&lt;=25%,0,IF(C373&lt;=40%,15,30))+IF(E373&lt;=30%,0,IF(E373&lt;=60%,10,20))+IF(F373=0,0,IF(F373=1,10,25))+IF(G373&gt;=5,0,IF(G373&gt;=2,5,10))+IF(H373/B373&lt;=25%,0,IF(H373/B373&lt;=50%,10,20))+IF(I373=36,0,IF(I373=48,3,6))</f>
        <v/>
      </c>
      <c r="L373" s="2">
        <f>850-K373*3.5</f>
        <v/>
      </c>
      <c r="M373" s="9">
        <f>1/(1+EXP(-(-4.2+0.055*K373)))</f>
        <v/>
      </c>
      <c r="N373" s="2">
        <f>IF(K373&lt;20,"A",IF(K373&lt;40,"B",IF(K373&lt;60,"C",IF(K373&lt;80,"D","E"))))</f>
        <v/>
      </c>
      <c r="O373" s="2">
        <f>IF(OR(N373="D",N373="E"),"Enhanced Review",IF(N373="C","Conditional","Approve"))</f>
        <v/>
      </c>
      <c r="P373" s="8">
        <f>H373*M373*45%</f>
        <v/>
      </c>
      <c r="Q373" s="9">
        <f>H373/B373</f>
        <v/>
      </c>
    </row>
    <row r="374">
      <c r="A374" s="11" t="inlineStr">
        <is>
          <t>B0370</t>
        </is>
      </c>
      <c r="B374" s="12" t="n">
        <v>136145</v>
      </c>
      <c r="C374" s="13" t="n">
        <v>0.09509687348885647</v>
      </c>
      <c r="D374" s="11" t="n">
        <v>615</v>
      </c>
      <c r="E374" s="13" t="n">
        <v>0.6474462348290858</v>
      </c>
      <c r="F374" s="11" t="n">
        <v>0</v>
      </c>
      <c r="G374" s="11" t="n">
        <v>15.4</v>
      </c>
      <c r="H374" s="12" t="n">
        <v>23795</v>
      </c>
      <c r="I374" s="11" t="n">
        <v>36</v>
      </c>
      <c r="J374" s="11" t="n">
        <v>0</v>
      </c>
      <c r="K374" s="2">
        <f>IF(D374&gt;=740,0,IF(D374&gt;=670,15,30))+IF(C374&lt;=25%,0,IF(C374&lt;=40%,15,30))+IF(E374&lt;=30%,0,IF(E374&lt;=60%,10,20))+IF(F374=0,0,IF(F374=1,10,25))+IF(G374&gt;=5,0,IF(G374&gt;=2,5,10))+IF(H374/B374&lt;=25%,0,IF(H374/B374&lt;=50%,10,20))+IF(I374=36,0,IF(I374=48,3,6))</f>
        <v/>
      </c>
      <c r="L374" s="2">
        <f>850-K374*3.5</f>
        <v/>
      </c>
      <c r="M374" s="9">
        <f>1/(1+EXP(-(-4.2+0.055*K374)))</f>
        <v/>
      </c>
      <c r="N374" s="2">
        <f>IF(K374&lt;20,"A",IF(K374&lt;40,"B",IF(K374&lt;60,"C",IF(K374&lt;80,"D","E"))))</f>
        <v/>
      </c>
      <c r="O374" s="2">
        <f>IF(OR(N374="D",N374="E"),"Enhanced Review",IF(N374="C","Conditional","Approve"))</f>
        <v/>
      </c>
      <c r="P374" s="8">
        <f>H374*M374*45%</f>
        <v/>
      </c>
      <c r="Q374" s="9">
        <f>H374/B374</f>
        <v/>
      </c>
    </row>
    <row r="375">
      <c r="A375" s="11" t="inlineStr">
        <is>
          <t>B0371</t>
        </is>
      </c>
      <c r="B375" s="12" t="n">
        <v>102021</v>
      </c>
      <c r="C375" s="13" t="n">
        <v>0.1873520274958436</v>
      </c>
      <c r="D375" s="11" t="n">
        <v>680</v>
      </c>
      <c r="E375" s="13" t="n">
        <v>0.1898452373127011</v>
      </c>
      <c r="F375" s="11" t="n">
        <v>0</v>
      </c>
      <c r="G375" s="11" t="n">
        <v>8.6</v>
      </c>
      <c r="H375" s="12" t="n">
        <v>14973</v>
      </c>
      <c r="I375" s="11" t="n">
        <v>36</v>
      </c>
      <c r="J375" s="11" t="n">
        <v>0</v>
      </c>
      <c r="K375" s="2">
        <f>IF(D375&gt;=740,0,IF(D375&gt;=670,15,30))+IF(C375&lt;=25%,0,IF(C375&lt;=40%,15,30))+IF(E375&lt;=30%,0,IF(E375&lt;=60%,10,20))+IF(F375=0,0,IF(F375=1,10,25))+IF(G375&gt;=5,0,IF(G375&gt;=2,5,10))+IF(H375/B375&lt;=25%,0,IF(H375/B375&lt;=50%,10,20))+IF(I375=36,0,IF(I375=48,3,6))</f>
        <v/>
      </c>
      <c r="L375" s="2">
        <f>850-K375*3.5</f>
        <v/>
      </c>
      <c r="M375" s="9">
        <f>1/(1+EXP(-(-4.2+0.055*K375)))</f>
        <v/>
      </c>
      <c r="N375" s="2">
        <f>IF(K375&lt;20,"A",IF(K375&lt;40,"B",IF(K375&lt;60,"C",IF(K375&lt;80,"D","E"))))</f>
        <v/>
      </c>
      <c r="O375" s="2">
        <f>IF(OR(N375="D",N375="E"),"Enhanced Review",IF(N375="C","Conditional","Approve"))</f>
        <v/>
      </c>
      <c r="P375" s="8">
        <f>H375*M375*45%</f>
        <v/>
      </c>
      <c r="Q375" s="9">
        <f>H375/B375</f>
        <v/>
      </c>
    </row>
    <row r="376">
      <c r="A376" s="11" t="inlineStr">
        <is>
          <t>B0372</t>
        </is>
      </c>
      <c r="B376" s="12" t="n">
        <v>89622</v>
      </c>
      <c r="C376" s="13" t="n">
        <v>0.1360809720477585</v>
      </c>
      <c r="D376" s="11" t="n">
        <v>628</v>
      </c>
      <c r="E376" s="13" t="n">
        <v>0.3132158990056991</v>
      </c>
      <c r="F376" s="11" t="n">
        <v>0</v>
      </c>
      <c r="G376" s="11" t="n">
        <v>10.6</v>
      </c>
      <c r="H376" s="12" t="n">
        <v>20141</v>
      </c>
      <c r="I376" s="11" t="n">
        <v>60</v>
      </c>
      <c r="J376" s="11" t="n">
        <v>1</v>
      </c>
      <c r="K376" s="2">
        <f>IF(D376&gt;=740,0,IF(D376&gt;=670,15,30))+IF(C376&lt;=25%,0,IF(C376&lt;=40%,15,30))+IF(E376&lt;=30%,0,IF(E376&lt;=60%,10,20))+IF(F376=0,0,IF(F376=1,10,25))+IF(G376&gt;=5,0,IF(G376&gt;=2,5,10))+IF(H376/B376&lt;=25%,0,IF(H376/B376&lt;=50%,10,20))+IF(I376=36,0,IF(I376=48,3,6))</f>
        <v/>
      </c>
      <c r="L376" s="2">
        <f>850-K376*3.5</f>
        <v/>
      </c>
      <c r="M376" s="9">
        <f>1/(1+EXP(-(-4.2+0.055*K376)))</f>
        <v/>
      </c>
      <c r="N376" s="2">
        <f>IF(K376&lt;20,"A",IF(K376&lt;40,"B",IF(K376&lt;60,"C",IF(K376&lt;80,"D","E"))))</f>
        <v/>
      </c>
      <c r="O376" s="2">
        <f>IF(OR(N376="D",N376="E"),"Enhanced Review",IF(N376="C","Conditional","Approve"))</f>
        <v/>
      </c>
      <c r="P376" s="8">
        <f>H376*M376*45%</f>
        <v/>
      </c>
      <c r="Q376" s="9">
        <f>H376/B376</f>
        <v/>
      </c>
    </row>
    <row r="377">
      <c r="A377" s="11" t="inlineStr">
        <is>
          <t>B0373</t>
        </is>
      </c>
      <c r="B377" s="12" t="n">
        <v>140137</v>
      </c>
      <c r="C377" s="13" t="n">
        <v>0.3219417191860959</v>
      </c>
      <c r="D377" s="11" t="n">
        <v>679</v>
      </c>
      <c r="E377" s="13" t="n">
        <v>0.2421013413720205</v>
      </c>
      <c r="F377" s="11" t="n">
        <v>1</v>
      </c>
      <c r="G377" s="11" t="n">
        <v>8.1</v>
      </c>
      <c r="H377" s="12" t="n">
        <v>68131</v>
      </c>
      <c r="I377" s="11" t="n">
        <v>36</v>
      </c>
      <c r="J377" s="11" t="n">
        <v>0</v>
      </c>
      <c r="K377" s="2">
        <f>IF(D377&gt;=740,0,IF(D377&gt;=670,15,30))+IF(C377&lt;=25%,0,IF(C377&lt;=40%,15,30))+IF(E377&lt;=30%,0,IF(E377&lt;=60%,10,20))+IF(F377=0,0,IF(F377=1,10,25))+IF(G377&gt;=5,0,IF(G377&gt;=2,5,10))+IF(H377/B377&lt;=25%,0,IF(H377/B377&lt;=50%,10,20))+IF(I377=36,0,IF(I377=48,3,6))</f>
        <v/>
      </c>
      <c r="L377" s="2">
        <f>850-K377*3.5</f>
        <v/>
      </c>
      <c r="M377" s="9">
        <f>1/(1+EXP(-(-4.2+0.055*K377)))</f>
        <v/>
      </c>
      <c r="N377" s="2">
        <f>IF(K377&lt;20,"A",IF(K377&lt;40,"B",IF(K377&lt;60,"C",IF(K377&lt;80,"D","E"))))</f>
        <v/>
      </c>
      <c r="O377" s="2">
        <f>IF(OR(N377="D",N377="E"),"Enhanced Review",IF(N377="C","Conditional","Approve"))</f>
        <v/>
      </c>
      <c r="P377" s="8">
        <f>H377*M377*45%</f>
        <v/>
      </c>
      <c r="Q377" s="9">
        <f>H377/B377</f>
        <v/>
      </c>
    </row>
    <row r="378">
      <c r="A378" s="11" t="inlineStr">
        <is>
          <t>B0374</t>
        </is>
      </c>
      <c r="B378" s="12" t="n">
        <v>145720</v>
      </c>
      <c r="C378" s="13" t="n">
        <v>0.2088822453035723</v>
      </c>
      <c r="D378" s="11" t="n">
        <v>585</v>
      </c>
      <c r="E378" s="13" t="n">
        <v>0.5381380518880857</v>
      </c>
      <c r="F378" s="11" t="n">
        <v>2</v>
      </c>
      <c r="G378" s="11" t="n">
        <v>7.5</v>
      </c>
      <c r="H378" s="12" t="n">
        <v>13184</v>
      </c>
      <c r="I378" s="11" t="n">
        <v>60</v>
      </c>
      <c r="J378" s="11" t="n">
        <v>1</v>
      </c>
      <c r="K378" s="2">
        <f>IF(D378&gt;=740,0,IF(D378&gt;=670,15,30))+IF(C378&lt;=25%,0,IF(C378&lt;=40%,15,30))+IF(E378&lt;=30%,0,IF(E378&lt;=60%,10,20))+IF(F378=0,0,IF(F378=1,10,25))+IF(G378&gt;=5,0,IF(G378&gt;=2,5,10))+IF(H378/B378&lt;=25%,0,IF(H378/B378&lt;=50%,10,20))+IF(I378=36,0,IF(I378=48,3,6))</f>
        <v/>
      </c>
      <c r="L378" s="2">
        <f>850-K378*3.5</f>
        <v/>
      </c>
      <c r="M378" s="9">
        <f>1/(1+EXP(-(-4.2+0.055*K378)))</f>
        <v/>
      </c>
      <c r="N378" s="2">
        <f>IF(K378&lt;20,"A",IF(K378&lt;40,"B",IF(K378&lt;60,"C",IF(K378&lt;80,"D","E"))))</f>
        <v/>
      </c>
      <c r="O378" s="2">
        <f>IF(OR(N378="D",N378="E"),"Enhanced Review",IF(N378="C","Conditional","Approve"))</f>
        <v/>
      </c>
      <c r="P378" s="8">
        <f>H378*M378*45%</f>
        <v/>
      </c>
      <c r="Q378" s="9">
        <f>H378/B378</f>
        <v/>
      </c>
    </row>
    <row r="379">
      <c r="A379" s="11" t="inlineStr">
        <is>
          <t>B0375</t>
        </is>
      </c>
      <c r="B379" s="12" t="n">
        <v>101169</v>
      </c>
      <c r="C379" s="13" t="n">
        <v>0.2617843680774</v>
      </c>
      <c r="D379" s="11" t="n">
        <v>691</v>
      </c>
      <c r="E379" s="13" t="n">
        <v>0.8330619023089336</v>
      </c>
      <c r="F379" s="11" t="n">
        <v>0</v>
      </c>
      <c r="G379" s="11" t="n">
        <v>15.7</v>
      </c>
      <c r="H379" s="12" t="n">
        <v>37257</v>
      </c>
      <c r="I379" s="11" t="n">
        <v>36</v>
      </c>
      <c r="J379" s="11" t="n">
        <v>0</v>
      </c>
      <c r="K379" s="2">
        <f>IF(D379&gt;=740,0,IF(D379&gt;=670,15,30))+IF(C379&lt;=25%,0,IF(C379&lt;=40%,15,30))+IF(E379&lt;=30%,0,IF(E379&lt;=60%,10,20))+IF(F379=0,0,IF(F379=1,10,25))+IF(G379&gt;=5,0,IF(G379&gt;=2,5,10))+IF(H379/B379&lt;=25%,0,IF(H379/B379&lt;=50%,10,20))+IF(I379=36,0,IF(I379=48,3,6))</f>
        <v/>
      </c>
      <c r="L379" s="2">
        <f>850-K379*3.5</f>
        <v/>
      </c>
      <c r="M379" s="9">
        <f>1/(1+EXP(-(-4.2+0.055*K379)))</f>
        <v/>
      </c>
      <c r="N379" s="2">
        <f>IF(K379&lt;20,"A",IF(K379&lt;40,"B",IF(K379&lt;60,"C",IF(K379&lt;80,"D","E"))))</f>
        <v/>
      </c>
      <c r="O379" s="2">
        <f>IF(OR(N379="D",N379="E"),"Enhanced Review",IF(N379="C","Conditional","Approve"))</f>
        <v/>
      </c>
      <c r="P379" s="8">
        <f>H379*M379*45%</f>
        <v/>
      </c>
      <c r="Q379" s="9">
        <f>H379/B379</f>
        <v/>
      </c>
    </row>
    <row r="380">
      <c r="A380" s="11" t="inlineStr">
        <is>
          <t>B0376</t>
        </is>
      </c>
      <c r="B380" s="12" t="n">
        <v>86613</v>
      </c>
      <c r="C380" s="13" t="n">
        <v>0.2837408380567903</v>
      </c>
      <c r="D380" s="11" t="n">
        <v>630</v>
      </c>
      <c r="E380" s="13" t="n">
        <v>0.413250903292459</v>
      </c>
      <c r="F380" s="11" t="n">
        <v>1</v>
      </c>
      <c r="G380" s="11" t="n">
        <v>7.4</v>
      </c>
      <c r="H380" s="12" t="n">
        <v>18280</v>
      </c>
      <c r="I380" s="11" t="n">
        <v>60</v>
      </c>
      <c r="J380" s="11" t="n">
        <v>0</v>
      </c>
      <c r="K380" s="2">
        <f>IF(D380&gt;=740,0,IF(D380&gt;=670,15,30))+IF(C380&lt;=25%,0,IF(C380&lt;=40%,15,30))+IF(E380&lt;=30%,0,IF(E380&lt;=60%,10,20))+IF(F380=0,0,IF(F380=1,10,25))+IF(G380&gt;=5,0,IF(G380&gt;=2,5,10))+IF(H380/B380&lt;=25%,0,IF(H380/B380&lt;=50%,10,20))+IF(I380=36,0,IF(I380=48,3,6))</f>
        <v/>
      </c>
      <c r="L380" s="2">
        <f>850-K380*3.5</f>
        <v/>
      </c>
      <c r="M380" s="9">
        <f>1/(1+EXP(-(-4.2+0.055*K380)))</f>
        <v/>
      </c>
      <c r="N380" s="2">
        <f>IF(K380&lt;20,"A",IF(K380&lt;40,"B",IF(K380&lt;60,"C",IF(K380&lt;80,"D","E"))))</f>
        <v/>
      </c>
      <c r="O380" s="2">
        <f>IF(OR(N380="D",N380="E"),"Enhanced Review",IF(N380="C","Conditional","Approve"))</f>
        <v/>
      </c>
      <c r="P380" s="8">
        <f>H380*M380*45%</f>
        <v/>
      </c>
      <c r="Q380" s="9">
        <f>H380/B380</f>
        <v/>
      </c>
    </row>
    <row r="381">
      <c r="A381" s="11" t="inlineStr">
        <is>
          <t>B0377</t>
        </is>
      </c>
      <c r="B381" s="12" t="n">
        <v>56161</v>
      </c>
      <c r="C381" s="13" t="n">
        <v>0.3356222050648976</v>
      </c>
      <c r="D381" s="11" t="n">
        <v>653</v>
      </c>
      <c r="E381" s="13" t="n">
        <v>0.06487773563574728</v>
      </c>
      <c r="F381" s="11" t="n">
        <v>1</v>
      </c>
      <c r="G381" s="11" t="n">
        <v>9</v>
      </c>
      <c r="H381" s="12" t="n">
        <v>17818</v>
      </c>
      <c r="I381" s="11" t="n">
        <v>36</v>
      </c>
      <c r="J381" s="11" t="n">
        <v>0</v>
      </c>
      <c r="K381" s="2">
        <f>IF(D381&gt;=740,0,IF(D381&gt;=670,15,30))+IF(C381&lt;=25%,0,IF(C381&lt;=40%,15,30))+IF(E381&lt;=30%,0,IF(E381&lt;=60%,10,20))+IF(F381=0,0,IF(F381=1,10,25))+IF(G381&gt;=5,0,IF(G381&gt;=2,5,10))+IF(H381/B381&lt;=25%,0,IF(H381/B381&lt;=50%,10,20))+IF(I381=36,0,IF(I381=48,3,6))</f>
        <v/>
      </c>
      <c r="L381" s="2">
        <f>850-K381*3.5</f>
        <v/>
      </c>
      <c r="M381" s="9">
        <f>1/(1+EXP(-(-4.2+0.055*K381)))</f>
        <v/>
      </c>
      <c r="N381" s="2">
        <f>IF(K381&lt;20,"A",IF(K381&lt;40,"B",IF(K381&lt;60,"C",IF(K381&lt;80,"D","E"))))</f>
        <v/>
      </c>
      <c r="O381" s="2">
        <f>IF(OR(N381="D",N381="E"),"Enhanced Review",IF(N381="C","Conditional","Approve"))</f>
        <v/>
      </c>
      <c r="P381" s="8">
        <f>H381*M381*45%</f>
        <v/>
      </c>
      <c r="Q381" s="9">
        <f>H381/B381</f>
        <v/>
      </c>
    </row>
    <row r="382">
      <c r="A382" s="11" t="inlineStr">
        <is>
          <t>B0378</t>
        </is>
      </c>
      <c r="B382" s="12" t="n">
        <v>75073</v>
      </c>
      <c r="C382" s="13" t="n">
        <v>0.03</v>
      </c>
      <c r="D382" s="11" t="n">
        <v>722</v>
      </c>
      <c r="E382" s="13" t="n">
        <v>0.5128716663580595</v>
      </c>
      <c r="F382" s="11" t="n">
        <v>1</v>
      </c>
      <c r="G382" s="11" t="n">
        <v>7.1</v>
      </c>
      <c r="H382" s="12" t="n">
        <v>10058</v>
      </c>
      <c r="I382" s="11" t="n">
        <v>36</v>
      </c>
      <c r="J382" s="11" t="n">
        <v>1</v>
      </c>
      <c r="K382" s="2">
        <f>IF(D382&gt;=740,0,IF(D382&gt;=670,15,30))+IF(C382&lt;=25%,0,IF(C382&lt;=40%,15,30))+IF(E382&lt;=30%,0,IF(E382&lt;=60%,10,20))+IF(F382=0,0,IF(F382=1,10,25))+IF(G382&gt;=5,0,IF(G382&gt;=2,5,10))+IF(H382/B382&lt;=25%,0,IF(H382/B382&lt;=50%,10,20))+IF(I382=36,0,IF(I382=48,3,6))</f>
        <v/>
      </c>
      <c r="L382" s="2">
        <f>850-K382*3.5</f>
        <v/>
      </c>
      <c r="M382" s="9">
        <f>1/(1+EXP(-(-4.2+0.055*K382)))</f>
        <v/>
      </c>
      <c r="N382" s="2">
        <f>IF(K382&lt;20,"A",IF(K382&lt;40,"B",IF(K382&lt;60,"C",IF(K382&lt;80,"D","E"))))</f>
        <v/>
      </c>
      <c r="O382" s="2">
        <f>IF(OR(N382="D",N382="E"),"Enhanced Review",IF(N382="C","Conditional","Approve"))</f>
        <v/>
      </c>
      <c r="P382" s="8">
        <f>H382*M382*45%</f>
        <v/>
      </c>
      <c r="Q382" s="9">
        <f>H382/B382</f>
        <v/>
      </c>
    </row>
    <row r="383">
      <c r="A383" s="11" t="inlineStr">
        <is>
          <t>B0379</t>
        </is>
      </c>
      <c r="B383" s="12" t="n">
        <v>58926</v>
      </c>
      <c r="C383" s="13" t="n">
        <v>0.4583094595182468</v>
      </c>
      <c r="D383" s="11" t="n">
        <v>578</v>
      </c>
      <c r="E383" s="13" t="n">
        <v>0.4085644022491415</v>
      </c>
      <c r="F383" s="11" t="n">
        <v>0</v>
      </c>
      <c r="G383" s="11" t="n">
        <v>6.7</v>
      </c>
      <c r="H383" s="12" t="n">
        <v>21869</v>
      </c>
      <c r="I383" s="11" t="n">
        <v>60</v>
      </c>
      <c r="J383" s="11" t="n">
        <v>0</v>
      </c>
      <c r="K383" s="2">
        <f>IF(D383&gt;=740,0,IF(D383&gt;=670,15,30))+IF(C383&lt;=25%,0,IF(C383&lt;=40%,15,30))+IF(E383&lt;=30%,0,IF(E383&lt;=60%,10,20))+IF(F383=0,0,IF(F383=1,10,25))+IF(G383&gt;=5,0,IF(G383&gt;=2,5,10))+IF(H383/B383&lt;=25%,0,IF(H383/B383&lt;=50%,10,20))+IF(I383=36,0,IF(I383=48,3,6))</f>
        <v/>
      </c>
      <c r="L383" s="2">
        <f>850-K383*3.5</f>
        <v/>
      </c>
      <c r="M383" s="9">
        <f>1/(1+EXP(-(-4.2+0.055*K383)))</f>
        <v/>
      </c>
      <c r="N383" s="2">
        <f>IF(K383&lt;20,"A",IF(K383&lt;40,"B",IF(K383&lt;60,"C",IF(K383&lt;80,"D","E"))))</f>
        <v/>
      </c>
      <c r="O383" s="2">
        <f>IF(OR(N383="D",N383="E"),"Enhanced Review",IF(N383="C","Conditional","Approve"))</f>
        <v/>
      </c>
      <c r="P383" s="8">
        <f>H383*M383*45%</f>
        <v/>
      </c>
      <c r="Q383" s="9">
        <f>H383/B383</f>
        <v/>
      </c>
    </row>
    <row r="384">
      <c r="A384" s="11" t="inlineStr">
        <is>
          <t>B0380</t>
        </is>
      </c>
      <c r="B384" s="12" t="n">
        <v>48607</v>
      </c>
      <c r="C384" s="13" t="n">
        <v>0.09758451448402725</v>
      </c>
      <c r="D384" s="11" t="n">
        <v>726</v>
      </c>
      <c r="E384" s="13" t="n">
        <v>0.4758975997813485</v>
      </c>
      <c r="F384" s="11" t="n">
        <v>0</v>
      </c>
      <c r="G384" s="11" t="n">
        <v>10.6</v>
      </c>
      <c r="H384" s="12" t="n">
        <v>8019</v>
      </c>
      <c r="I384" s="11" t="n">
        <v>48</v>
      </c>
      <c r="J384" s="11" t="n">
        <v>0</v>
      </c>
      <c r="K384" s="2">
        <f>IF(D384&gt;=740,0,IF(D384&gt;=670,15,30))+IF(C384&lt;=25%,0,IF(C384&lt;=40%,15,30))+IF(E384&lt;=30%,0,IF(E384&lt;=60%,10,20))+IF(F384=0,0,IF(F384=1,10,25))+IF(G384&gt;=5,0,IF(G384&gt;=2,5,10))+IF(H384/B384&lt;=25%,0,IF(H384/B384&lt;=50%,10,20))+IF(I384=36,0,IF(I384=48,3,6))</f>
        <v/>
      </c>
      <c r="L384" s="2">
        <f>850-K384*3.5</f>
        <v/>
      </c>
      <c r="M384" s="9">
        <f>1/(1+EXP(-(-4.2+0.055*K384)))</f>
        <v/>
      </c>
      <c r="N384" s="2">
        <f>IF(K384&lt;20,"A",IF(K384&lt;40,"B",IF(K384&lt;60,"C",IF(K384&lt;80,"D","E"))))</f>
        <v/>
      </c>
      <c r="O384" s="2">
        <f>IF(OR(N384="D",N384="E"),"Enhanced Review",IF(N384="C","Conditional","Approve"))</f>
        <v/>
      </c>
      <c r="P384" s="8">
        <f>H384*M384*45%</f>
        <v/>
      </c>
      <c r="Q384" s="9">
        <f>H384/B384</f>
        <v/>
      </c>
    </row>
    <row r="385">
      <c r="A385" s="11" t="inlineStr">
        <is>
          <t>B0381</t>
        </is>
      </c>
      <c r="B385" s="12" t="n">
        <v>103357</v>
      </c>
      <c r="C385" s="13" t="n">
        <v>0.3834546592895766</v>
      </c>
      <c r="D385" s="11" t="n">
        <v>707</v>
      </c>
      <c r="E385" s="13" t="n">
        <v>0.5253648434648764</v>
      </c>
      <c r="F385" s="11" t="n">
        <v>1</v>
      </c>
      <c r="G385" s="11" t="n">
        <v>22.8</v>
      </c>
      <c r="H385" s="12" t="n">
        <v>60842</v>
      </c>
      <c r="I385" s="11" t="n">
        <v>48</v>
      </c>
      <c r="J385" s="11" t="n">
        <v>0</v>
      </c>
      <c r="K385" s="2">
        <f>IF(D385&gt;=740,0,IF(D385&gt;=670,15,30))+IF(C385&lt;=25%,0,IF(C385&lt;=40%,15,30))+IF(E385&lt;=30%,0,IF(E385&lt;=60%,10,20))+IF(F385=0,0,IF(F385=1,10,25))+IF(G385&gt;=5,0,IF(G385&gt;=2,5,10))+IF(H385/B385&lt;=25%,0,IF(H385/B385&lt;=50%,10,20))+IF(I385=36,0,IF(I385=48,3,6))</f>
        <v/>
      </c>
      <c r="L385" s="2">
        <f>850-K385*3.5</f>
        <v/>
      </c>
      <c r="M385" s="9">
        <f>1/(1+EXP(-(-4.2+0.055*K385)))</f>
        <v/>
      </c>
      <c r="N385" s="2">
        <f>IF(K385&lt;20,"A",IF(K385&lt;40,"B",IF(K385&lt;60,"C",IF(K385&lt;80,"D","E"))))</f>
        <v/>
      </c>
      <c r="O385" s="2">
        <f>IF(OR(N385="D",N385="E"),"Enhanced Review",IF(N385="C","Conditional","Approve"))</f>
        <v/>
      </c>
      <c r="P385" s="8">
        <f>H385*M385*45%</f>
        <v/>
      </c>
      <c r="Q385" s="9">
        <f>H385/B385</f>
        <v/>
      </c>
    </row>
    <row r="386">
      <c r="A386" s="11" t="inlineStr">
        <is>
          <t>B0382</t>
        </is>
      </c>
      <c r="B386" s="12" t="n">
        <v>27488</v>
      </c>
      <c r="C386" s="13" t="n">
        <v>0.1807359737598498</v>
      </c>
      <c r="D386" s="11" t="n">
        <v>621</v>
      </c>
      <c r="E386" s="13" t="n">
        <v>0.7131598666333621</v>
      </c>
      <c r="F386" s="11" t="n">
        <v>1</v>
      </c>
      <c r="G386" s="11" t="n">
        <v>11.9</v>
      </c>
      <c r="H386" s="12" t="n">
        <v>16396</v>
      </c>
      <c r="I386" s="11" t="n">
        <v>36</v>
      </c>
      <c r="J386" s="11" t="n">
        <v>0</v>
      </c>
      <c r="K386" s="2">
        <f>IF(D386&gt;=740,0,IF(D386&gt;=670,15,30))+IF(C386&lt;=25%,0,IF(C386&lt;=40%,15,30))+IF(E386&lt;=30%,0,IF(E386&lt;=60%,10,20))+IF(F386=0,0,IF(F386=1,10,25))+IF(G386&gt;=5,0,IF(G386&gt;=2,5,10))+IF(H386/B386&lt;=25%,0,IF(H386/B386&lt;=50%,10,20))+IF(I386=36,0,IF(I386=48,3,6))</f>
        <v/>
      </c>
      <c r="L386" s="2">
        <f>850-K386*3.5</f>
        <v/>
      </c>
      <c r="M386" s="9">
        <f>1/(1+EXP(-(-4.2+0.055*K386)))</f>
        <v/>
      </c>
      <c r="N386" s="2">
        <f>IF(K386&lt;20,"A",IF(K386&lt;40,"B",IF(K386&lt;60,"C",IF(K386&lt;80,"D","E"))))</f>
        <v/>
      </c>
      <c r="O386" s="2">
        <f>IF(OR(N386="D",N386="E"),"Enhanced Review",IF(N386="C","Conditional","Approve"))</f>
        <v/>
      </c>
      <c r="P386" s="8">
        <f>H386*M386*45%</f>
        <v/>
      </c>
      <c r="Q386" s="9">
        <f>H386/B386</f>
        <v/>
      </c>
    </row>
    <row r="387">
      <c r="A387" s="11" t="inlineStr">
        <is>
          <t>B0383</t>
        </is>
      </c>
      <c r="B387" s="12" t="n">
        <v>185439</v>
      </c>
      <c r="C387" s="13" t="n">
        <v>0.3413382709268142</v>
      </c>
      <c r="D387" s="11" t="n">
        <v>762</v>
      </c>
      <c r="E387" s="13" t="n">
        <v>0.7602964067300847</v>
      </c>
      <c r="F387" s="11" t="n">
        <v>0</v>
      </c>
      <c r="G387" s="11" t="n">
        <v>4.6</v>
      </c>
      <c r="H387" s="12" t="n">
        <v>11815</v>
      </c>
      <c r="I387" s="11" t="n">
        <v>48</v>
      </c>
      <c r="J387" s="11" t="n">
        <v>0</v>
      </c>
      <c r="K387" s="2">
        <f>IF(D387&gt;=740,0,IF(D387&gt;=670,15,30))+IF(C387&lt;=25%,0,IF(C387&lt;=40%,15,30))+IF(E387&lt;=30%,0,IF(E387&lt;=60%,10,20))+IF(F387=0,0,IF(F387=1,10,25))+IF(G387&gt;=5,0,IF(G387&gt;=2,5,10))+IF(H387/B387&lt;=25%,0,IF(H387/B387&lt;=50%,10,20))+IF(I387=36,0,IF(I387=48,3,6))</f>
        <v/>
      </c>
      <c r="L387" s="2">
        <f>850-K387*3.5</f>
        <v/>
      </c>
      <c r="M387" s="9">
        <f>1/(1+EXP(-(-4.2+0.055*K387)))</f>
        <v/>
      </c>
      <c r="N387" s="2">
        <f>IF(K387&lt;20,"A",IF(K387&lt;40,"B",IF(K387&lt;60,"C",IF(K387&lt;80,"D","E"))))</f>
        <v/>
      </c>
      <c r="O387" s="2">
        <f>IF(OR(N387="D",N387="E"),"Enhanced Review",IF(N387="C","Conditional","Approve"))</f>
        <v/>
      </c>
      <c r="P387" s="8">
        <f>H387*M387*45%</f>
        <v/>
      </c>
      <c r="Q387" s="9">
        <f>H387/B387</f>
        <v/>
      </c>
    </row>
    <row r="388">
      <c r="A388" s="11" t="inlineStr">
        <is>
          <t>B0384</t>
        </is>
      </c>
      <c r="B388" s="12" t="n">
        <v>187424</v>
      </c>
      <c r="C388" s="13" t="n">
        <v>0.1543037361840611</v>
      </c>
      <c r="D388" s="11" t="n">
        <v>685</v>
      </c>
      <c r="E388" s="13" t="n">
        <v>0.2734506164353868</v>
      </c>
      <c r="F388" s="11" t="n">
        <v>1</v>
      </c>
      <c r="G388" s="11" t="n">
        <v>3.9</v>
      </c>
      <c r="H388" s="12" t="n">
        <v>49241</v>
      </c>
      <c r="I388" s="11" t="n">
        <v>36</v>
      </c>
      <c r="J388" s="11" t="n">
        <v>0</v>
      </c>
      <c r="K388" s="2">
        <f>IF(D388&gt;=740,0,IF(D388&gt;=670,15,30))+IF(C388&lt;=25%,0,IF(C388&lt;=40%,15,30))+IF(E388&lt;=30%,0,IF(E388&lt;=60%,10,20))+IF(F388=0,0,IF(F388=1,10,25))+IF(G388&gt;=5,0,IF(G388&gt;=2,5,10))+IF(H388/B388&lt;=25%,0,IF(H388/B388&lt;=50%,10,20))+IF(I388=36,0,IF(I388=48,3,6))</f>
        <v/>
      </c>
      <c r="L388" s="2">
        <f>850-K388*3.5</f>
        <v/>
      </c>
      <c r="M388" s="9">
        <f>1/(1+EXP(-(-4.2+0.055*K388)))</f>
        <v/>
      </c>
      <c r="N388" s="2">
        <f>IF(K388&lt;20,"A",IF(K388&lt;40,"B",IF(K388&lt;60,"C",IF(K388&lt;80,"D","E"))))</f>
        <v/>
      </c>
      <c r="O388" s="2">
        <f>IF(OR(N388="D",N388="E"),"Enhanced Review",IF(N388="C","Conditional","Approve"))</f>
        <v/>
      </c>
      <c r="P388" s="8">
        <f>H388*M388*45%</f>
        <v/>
      </c>
      <c r="Q388" s="9">
        <f>H388/B388</f>
        <v/>
      </c>
    </row>
    <row r="389">
      <c r="A389" s="11" t="inlineStr">
        <is>
          <t>B0385</t>
        </is>
      </c>
      <c r="B389" s="12" t="n">
        <v>54822</v>
      </c>
      <c r="C389" s="13" t="n">
        <v>0.1965757645331834</v>
      </c>
      <c r="D389" s="11" t="n">
        <v>696</v>
      </c>
      <c r="E389" s="13" t="n">
        <v>0.6823757484121401</v>
      </c>
      <c r="F389" s="11" t="n">
        <v>0</v>
      </c>
      <c r="G389" s="11" t="n">
        <v>6.8</v>
      </c>
      <c r="H389" s="12" t="n">
        <v>17673</v>
      </c>
      <c r="I389" s="11" t="n">
        <v>36</v>
      </c>
      <c r="J389" s="11" t="n">
        <v>0</v>
      </c>
      <c r="K389" s="2">
        <f>IF(D389&gt;=740,0,IF(D389&gt;=670,15,30))+IF(C389&lt;=25%,0,IF(C389&lt;=40%,15,30))+IF(E389&lt;=30%,0,IF(E389&lt;=60%,10,20))+IF(F389=0,0,IF(F389=1,10,25))+IF(G389&gt;=5,0,IF(G389&gt;=2,5,10))+IF(H389/B389&lt;=25%,0,IF(H389/B389&lt;=50%,10,20))+IF(I389=36,0,IF(I389=48,3,6))</f>
        <v/>
      </c>
      <c r="L389" s="2">
        <f>850-K389*3.5</f>
        <v/>
      </c>
      <c r="M389" s="9">
        <f>1/(1+EXP(-(-4.2+0.055*K389)))</f>
        <v/>
      </c>
      <c r="N389" s="2">
        <f>IF(K389&lt;20,"A",IF(K389&lt;40,"B",IF(K389&lt;60,"C",IF(K389&lt;80,"D","E"))))</f>
        <v/>
      </c>
      <c r="O389" s="2">
        <f>IF(OR(N389="D",N389="E"),"Enhanced Review",IF(N389="C","Conditional","Approve"))</f>
        <v/>
      </c>
      <c r="P389" s="8">
        <f>H389*M389*45%</f>
        <v/>
      </c>
      <c r="Q389" s="9">
        <f>H389/B389</f>
        <v/>
      </c>
    </row>
    <row r="390">
      <c r="A390" s="11" t="inlineStr">
        <is>
          <t>B0386</t>
        </is>
      </c>
      <c r="B390" s="12" t="n">
        <v>55479</v>
      </c>
      <c r="C390" s="13" t="n">
        <v>0.4737583801506814</v>
      </c>
      <c r="D390" s="11" t="n">
        <v>684</v>
      </c>
      <c r="E390" s="13" t="n">
        <v>0.02</v>
      </c>
      <c r="F390" s="11" t="n">
        <v>1</v>
      </c>
      <c r="G390" s="11" t="n">
        <v>8</v>
      </c>
      <c r="H390" s="12" t="n">
        <v>90000</v>
      </c>
      <c r="I390" s="11" t="n">
        <v>36</v>
      </c>
      <c r="J390" s="11" t="n">
        <v>0</v>
      </c>
      <c r="K390" s="2">
        <f>IF(D390&gt;=740,0,IF(D390&gt;=670,15,30))+IF(C390&lt;=25%,0,IF(C390&lt;=40%,15,30))+IF(E390&lt;=30%,0,IF(E390&lt;=60%,10,20))+IF(F390=0,0,IF(F390=1,10,25))+IF(G390&gt;=5,0,IF(G390&gt;=2,5,10))+IF(H390/B390&lt;=25%,0,IF(H390/B390&lt;=50%,10,20))+IF(I390=36,0,IF(I390=48,3,6))</f>
        <v/>
      </c>
      <c r="L390" s="2">
        <f>850-K390*3.5</f>
        <v/>
      </c>
      <c r="M390" s="9">
        <f>1/(1+EXP(-(-4.2+0.055*K390)))</f>
        <v/>
      </c>
      <c r="N390" s="2">
        <f>IF(K390&lt;20,"A",IF(K390&lt;40,"B",IF(K390&lt;60,"C",IF(K390&lt;80,"D","E"))))</f>
        <v/>
      </c>
      <c r="O390" s="2">
        <f>IF(OR(N390="D",N390="E"),"Enhanced Review",IF(N390="C","Conditional","Approve"))</f>
        <v/>
      </c>
      <c r="P390" s="8">
        <f>H390*M390*45%</f>
        <v/>
      </c>
      <c r="Q390" s="9">
        <f>H390/B390</f>
        <v/>
      </c>
    </row>
    <row r="391">
      <c r="A391" s="11" t="inlineStr">
        <is>
          <t>B0387</t>
        </is>
      </c>
      <c r="B391" s="12" t="n">
        <v>73346</v>
      </c>
      <c r="C391" s="13" t="n">
        <v>0.2311915622878602</v>
      </c>
      <c r="D391" s="11" t="n">
        <v>698</v>
      </c>
      <c r="E391" s="13" t="n">
        <v>0.3550105943234407</v>
      </c>
      <c r="F391" s="11" t="n">
        <v>0</v>
      </c>
      <c r="G391" s="11" t="n">
        <v>20.9</v>
      </c>
      <c r="H391" s="12" t="n">
        <v>16312</v>
      </c>
      <c r="I391" s="11" t="n">
        <v>60</v>
      </c>
      <c r="J391" s="11" t="n">
        <v>0</v>
      </c>
      <c r="K391" s="2">
        <f>IF(D391&gt;=740,0,IF(D391&gt;=670,15,30))+IF(C391&lt;=25%,0,IF(C391&lt;=40%,15,30))+IF(E391&lt;=30%,0,IF(E391&lt;=60%,10,20))+IF(F391=0,0,IF(F391=1,10,25))+IF(G391&gt;=5,0,IF(G391&gt;=2,5,10))+IF(H391/B391&lt;=25%,0,IF(H391/B391&lt;=50%,10,20))+IF(I391=36,0,IF(I391=48,3,6))</f>
        <v/>
      </c>
      <c r="L391" s="2">
        <f>850-K391*3.5</f>
        <v/>
      </c>
      <c r="M391" s="9">
        <f>1/(1+EXP(-(-4.2+0.055*K391)))</f>
        <v/>
      </c>
      <c r="N391" s="2">
        <f>IF(K391&lt;20,"A",IF(K391&lt;40,"B",IF(K391&lt;60,"C",IF(K391&lt;80,"D","E"))))</f>
        <v/>
      </c>
      <c r="O391" s="2">
        <f>IF(OR(N391="D",N391="E"),"Enhanced Review",IF(N391="C","Conditional","Approve"))</f>
        <v/>
      </c>
      <c r="P391" s="8">
        <f>H391*M391*45%</f>
        <v/>
      </c>
      <c r="Q391" s="9">
        <f>H391/B391</f>
        <v/>
      </c>
    </row>
    <row r="392">
      <c r="A392" s="11" t="inlineStr">
        <is>
          <t>B0388</t>
        </is>
      </c>
      <c r="B392" s="12" t="n">
        <v>101565</v>
      </c>
      <c r="C392" s="13" t="n">
        <v>0.175573638181595</v>
      </c>
      <c r="D392" s="11" t="n">
        <v>643</v>
      </c>
      <c r="E392" s="13" t="n">
        <v>0.360889269175271</v>
      </c>
      <c r="F392" s="11" t="n">
        <v>0</v>
      </c>
      <c r="G392" s="11" t="n">
        <v>7.7</v>
      </c>
      <c r="H392" s="12" t="n">
        <v>9825</v>
      </c>
      <c r="I392" s="11" t="n">
        <v>60</v>
      </c>
      <c r="J392" s="11" t="n">
        <v>0</v>
      </c>
      <c r="K392" s="2">
        <f>IF(D392&gt;=740,0,IF(D392&gt;=670,15,30))+IF(C392&lt;=25%,0,IF(C392&lt;=40%,15,30))+IF(E392&lt;=30%,0,IF(E392&lt;=60%,10,20))+IF(F392=0,0,IF(F392=1,10,25))+IF(G392&gt;=5,0,IF(G392&gt;=2,5,10))+IF(H392/B392&lt;=25%,0,IF(H392/B392&lt;=50%,10,20))+IF(I392=36,0,IF(I392=48,3,6))</f>
        <v/>
      </c>
      <c r="L392" s="2">
        <f>850-K392*3.5</f>
        <v/>
      </c>
      <c r="M392" s="9">
        <f>1/(1+EXP(-(-4.2+0.055*K392)))</f>
        <v/>
      </c>
      <c r="N392" s="2">
        <f>IF(K392&lt;20,"A",IF(K392&lt;40,"B",IF(K392&lt;60,"C",IF(K392&lt;80,"D","E"))))</f>
        <v/>
      </c>
      <c r="O392" s="2">
        <f>IF(OR(N392="D",N392="E"),"Enhanced Review",IF(N392="C","Conditional","Approve"))</f>
        <v/>
      </c>
      <c r="P392" s="8">
        <f>H392*M392*45%</f>
        <v/>
      </c>
      <c r="Q392" s="9">
        <f>H392/B392</f>
        <v/>
      </c>
    </row>
    <row r="393">
      <c r="A393" s="11" t="inlineStr">
        <is>
          <t>B0389</t>
        </is>
      </c>
      <c r="B393" s="12" t="n">
        <v>149452</v>
      </c>
      <c r="C393" s="13" t="n">
        <v>0.2063232063141701</v>
      </c>
      <c r="D393" s="11" t="n">
        <v>644</v>
      </c>
      <c r="E393" s="13" t="n">
        <v>0.4464342829477126</v>
      </c>
      <c r="F393" s="11" t="n">
        <v>0</v>
      </c>
      <c r="G393" s="11" t="n">
        <v>2.5</v>
      </c>
      <c r="H393" s="12" t="n">
        <v>27647</v>
      </c>
      <c r="I393" s="11" t="n">
        <v>60</v>
      </c>
      <c r="J393" s="11" t="n">
        <v>0</v>
      </c>
      <c r="K393" s="2">
        <f>IF(D393&gt;=740,0,IF(D393&gt;=670,15,30))+IF(C393&lt;=25%,0,IF(C393&lt;=40%,15,30))+IF(E393&lt;=30%,0,IF(E393&lt;=60%,10,20))+IF(F393=0,0,IF(F393=1,10,25))+IF(G393&gt;=5,0,IF(G393&gt;=2,5,10))+IF(H393/B393&lt;=25%,0,IF(H393/B393&lt;=50%,10,20))+IF(I393=36,0,IF(I393=48,3,6))</f>
        <v/>
      </c>
      <c r="L393" s="2">
        <f>850-K393*3.5</f>
        <v/>
      </c>
      <c r="M393" s="9">
        <f>1/(1+EXP(-(-4.2+0.055*K393)))</f>
        <v/>
      </c>
      <c r="N393" s="2">
        <f>IF(K393&lt;20,"A",IF(K393&lt;40,"B",IF(K393&lt;60,"C",IF(K393&lt;80,"D","E"))))</f>
        <v/>
      </c>
      <c r="O393" s="2">
        <f>IF(OR(N393="D",N393="E"),"Enhanced Review",IF(N393="C","Conditional","Approve"))</f>
        <v/>
      </c>
      <c r="P393" s="8">
        <f>H393*M393*45%</f>
        <v/>
      </c>
      <c r="Q393" s="9">
        <f>H393/B393</f>
        <v/>
      </c>
    </row>
    <row r="394">
      <c r="A394" s="11" t="inlineStr">
        <is>
          <t>B0390</t>
        </is>
      </c>
      <c r="B394" s="12" t="n">
        <v>214527</v>
      </c>
      <c r="C394" s="13" t="n">
        <v>0.06503886421185197</v>
      </c>
      <c r="D394" s="11" t="n">
        <v>668</v>
      </c>
      <c r="E394" s="13" t="n">
        <v>0.4470405637708265</v>
      </c>
      <c r="F394" s="11" t="n">
        <v>0</v>
      </c>
      <c r="G394" s="11" t="n">
        <v>3.5</v>
      </c>
      <c r="H394" s="12" t="n">
        <v>44525</v>
      </c>
      <c r="I394" s="11" t="n">
        <v>48</v>
      </c>
      <c r="J394" s="11" t="n">
        <v>0</v>
      </c>
      <c r="K394" s="2">
        <f>IF(D394&gt;=740,0,IF(D394&gt;=670,15,30))+IF(C394&lt;=25%,0,IF(C394&lt;=40%,15,30))+IF(E394&lt;=30%,0,IF(E394&lt;=60%,10,20))+IF(F394=0,0,IF(F394=1,10,25))+IF(G394&gt;=5,0,IF(G394&gt;=2,5,10))+IF(H394/B394&lt;=25%,0,IF(H394/B394&lt;=50%,10,20))+IF(I394=36,0,IF(I394=48,3,6))</f>
        <v/>
      </c>
      <c r="L394" s="2">
        <f>850-K394*3.5</f>
        <v/>
      </c>
      <c r="M394" s="9">
        <f>1/(1+EXP(-(-4.2+0.055*K394)))</f>
        <v/>
      </c>
      <c r="N394" s="2">
        <f>IF(K394&lt;20,"A",IF(K394&lt;40,"B",IF(K394&lt;60,"C",IF(K394&lt;80,"D","E"))))</f>
        <v/>
      </c>
      <c r="O394" s="2">
        <f>IF(OR(N394="D",N394="E"),"Enhanced Review",IF(N394="C","Conditional","Approve"))</f>
        <v/>
      </c>
      <c r="P394" s="8">
        <f>H394*M394*45%</f>
        <v/>
      </c>
      <c r="Q394" s="9">
        <f>H394/B394</f>
        <v/>
      </c>
    </row>
    <row r="395">
      <c r="A395" s="11" t="inlineStr">
        <is>
          <t>B0391</t>
        </is>
      </c>
      <c r="B395" s="12" t="n">
        <v>122507</v>
      </c>
      <c r="C395" s="13" t="n">
        <v>0.2208830233057598</v>
      </c>
      <c r="D395" s="11" t="n">
        <v>702</v>
      </c>
      <c r="E395" s="13" t="n">
        <v>0.6094612576037725</v>
      </c>
      <c r="F395" s="11" t="n">
        <v>1</v>
      </c>
      <c r="G395" s="11" t="n">
        <v>8.300000000000001</v>
      </c>
      <c r="H395" s="12" t="n">
        <v>10733</v>
      </c>
      <c r="I395" s="11" t="n">
        <v>36</v>
      </c>
      <c r="J395" s="11" t="n">
        <v>0</v>
      </c>
      <c r="K395" s="2">
        <f>IF(D395&gt;=740,0,IF(D395&gt;=670,15,30))+IF(C395&lt;=25%,0,IF(C395&lt;=40%,15,30))+IF(E395&lt;=30%,0,IF(E395&lt;=60%,10,20))+IF(F395=0,0,IF(F395=1,10,25))+IF(G395&gt;=5,0,IF(G395&gt;=2,5,10))+IF(H395/B395&lt;=25%,0,IF(H395/B395&lt;=50%,10,20))+IF(I395=36,0,IF(I395=48,3,6))</f>
        <v/>
      </c>
      <c r="L395" s="2">
        <f>850-K395*3.5</f>
        <v/>
      </c>
      <c r="M395" s="9">
        <f>1/(1+EXP(-(-4.2+0.055*K395)))</f>
        <v/>
      </c>
      <c r="N395" s="2">
        <f>IF(K395&lt;20,"A",IF(K395&lt;40,"B",IF(K395&lt;60,"C",IF(K395&lt;80,"D","E"))))</f>
        <v/>
      </c>
      <c r="O395" s="2">
        <f>IF(OR(N395="D",N395="E"),"Enhanced Review",IF(N395="C","Conditional","Approve"))</f>
        <v/>
      </c>
      <c r="P395" s="8">
        <f>H395*M395*45%</f>
        <v/>
      </c>
      <c r="Q395" s="9">
        <f>H395/B395</f>
        <v/>
      </c>
    </row>
    <row r="396">
      <c r="A396" s="11" t="inlineStr">
        <is>
          <t>B0392</t>
        </is>
      </c>
      <c r="B396" s="12" t="n">
        <v>79298</v>
      </c>
      <c r="C396" s="13" t="n">
        <v>0.06172529276993777</v>
      </c>
      <c r="D396" s="11" t="n">
        <v>700</v>
      </c>
      <c r="E396" s="13" t="n">
        <v>0.407392072334274</v>
      </c>
      <c r="F396" s="11" t="n">
        <v>1</v>
      </c>
      <c r="G396" s="11" t="n">
        <v>15.4</v>
      </c>
      <c r="H396" s="12" t="n">
        <v>23397</v>
      </c>
      <c r="I396" s="11" t="n">
        <v>60</v>
      </c>
      <c r="J396" s="11" t="n">
        <v>0</v>
      </c>
      <c r="K396" s="2">
        <f>IF(D396&gt;=740,0,IF(D396&gt;=670,15,30))+IF(C396&lt;=25%,0,IF(C396&lt;=40%,15,30))+IF(E396&lt;=30%,0,IF(E396&lt;=60%,10,20))+IF(F396=0,0,IF(F396=1,10,25))+IF(G396&gt;=5,0,IF(G396&gt;=2,5,10))+IF(H396/B396&lt;=25%,0,IF(H396/B396&lt;=50%,10,20))+IF(I396=36,0,IF(I396=48,3,6))</f>
        <v/>
      </c>
      <c r="L396" s="2">
        <f>850-K396*3.5</f>
        <v/>
      </c>
      <c r="M396" s="9">
        <f>1/(1+EXP(-(-4.2+0.055*K396)))</f>
        <v/>
      </c>
      <c r="N396" s="2">
        <f>IF(K396&lt;20,"A",IF(K396&lt;40,"B",IF(K396&lt;60,"C",IF(K396&lt;80,"D","E"))))</f>
        <v/>
      </c>
      <c r="O396" s="2">
        <f>IF(OR(N396="D",N396="E"),"Enhanced Review",IF(N396="C","Conditional","Approve"))</f>
        <v/>
      </c>
      <c r="P396" s="8">
        <f>H396*M396*45%</f>
        <v/>
      </c>
      <c r="Q396" s="9">
        <f>H396/B396</f>
        <v/>
      </c>
    </row>
    <row r="397">
      <c r="A397" s="11" t="inlineStr">
        <is>
          <t>B0393</t>
        </is>
      </c>
      <c r="B397" s="12" t="n">
        <v>121301</v>
      </c>
      <c r="C397" s="13" t="n">
        <v>0.2140549904063294</v>
      </c>
      <c r="D397" s="11" t="n">
        <v>753</v>
      </c>
      <c r="E397" s="13" t="n">
        <v>0.889329145916577</v>
      </c>
      <c r="F397" s="11" t="n">
        <v>1</v>
      </c>
      <c r="G397" s="11" t="n">
        <v>2.2</v>
      </c>
      <c r="H397" s="12" t="n">
        <v>8980</v>
      </c>
      <c r="I397" s="11" t="n">
        <v>60</v>
      </c>
      <c r="J397" s="11" t="n">
        <v>1</v>
      </c>
      <c r="K397" s="2">
        <f>IF(D397&gt;=740,0,IF(D397&gt;=670,15,30))+IF(C397&lt;=25%,0,IF(C397&lt;=40%,15,30))+IF(E397&lt;=30%,0,IF(E397&lt;=60%,10,20))+IF(F397=0,0,IF(F397=1,10,25))+IF(G397&gt;=5,0,IF(G397&gt;=2,5,10))+IF(H397/B397&lt;=25%,0,IF(H397/B397&lt;=50%,10,20))+IF(I397=36,0,IF(I397=48,3,6))</f>
        <v/>
      </c>
      <c r="L397" s="2">
        <f>850-K397*3.5</f>
        <v/>
      </c>
      <c r="M397" s="9">
        <f>1/(1+EXP(-(-4.2+0.055*K397)))</f>
        <v/>
      </c>
      <c r="N397" s="2">
        <f>IF(K397&lt;20,"A",IF(K397&lt;40,"B",IF(K397&lt;60,"C",IF(K397&lt;80,"D","E"))))</f>
        <v/>
      </c>
      <c r="O397" s="2">
        <f>IF(OR(N397="D",N397="E"),"Enhanced Review",IF(N397="C","Conditional","Approve"))</f>
        <v/>
      </c>
      <c r="P397" s="8">
        <f>H397*M397*45%</f>
        <v/>
      </c>
      <c r="Q397" s="9">
        <f>H397/B397</f>
        <v/>
      </c>
    </row>
    <row r="398">
      <c r="A398" s="11" t="inlineStr">
        <is>
          <t>B0394</t>
        </is>
      </c>
      <c r="B398" s="12" t="n">
        <v>50384</v>
      </c>
      <c r="C398" s="13" t="n">
        <v>0.425942506503284</v>
      </c>
      <c r="D398" s="11" t="n">
        <v>791</v>
      </c>
      <c r="E398" s="13" t="n">
        <v>0.3835845521516067</v>
      </c>
      <c r="F398" s="11" t="n">
        <v>0</v>
      </c>
      <c r="G398" s="11" t="n">
        <v>9.4</v>
      </c>
      <c r="H398" s="12" t="n">
        <v>39833</v>
      </c>
      <c r="I398" s="11" t="n">
        <v>36</v>
      </c>
      <c r="J398" s="11" t="n">
        <v>1</v>
      </c>
      <c r="K398" s="2">
        <f>IF(D398&gt;=740,0,IF(D398&gt;=670,15,30))+IF(C398&lt;=25%,0,IF(C398&lt;=40%,15,30))+IF(E398&lt;=30%,0,IF(E398&lt;=60%,10,20))+IF(F398=0,0,IF(F398=1,10,25))+IF(G398&gt;=5,0,IF(G398&gt;=2,5,10))+IF(H398/B398&lt;=25%,0,IF(H398/B398&lt;=50%,10,20))+IF(I398=36,0,IF(I398=48,3,6))</f>
        <v/>
      </c>
      <c r="L398" s="2">
        <f>850-K398*3.5</f>
        <v/>
      </c>
      <c r="M398" s="9">
        <f>1/(1+EXP(-(-4.2+0.055*K398)))</f>
        <v/>
      </c>
      <c r="N398" s="2">
        <f>IF(K398&lt;20,"A",IF(K398&lt;40,"B",IF(K398&lt;60,"C",IF(K398&lt;80,"D","E"))))</f>
        <v/>
      </c>
      <c r="O398" s="2">
        <f>IF(OR(N398="D",N398="E"),"Enhanced Review",IF(N398="C","Conditional","Approve"))</f>
        <v/>
      </c>
      <c r="P398" s="8">
        <f>H398*M398*45%</f>
        <v/>
      </c>
      <c r="Q398" s="9">
        <f>H398/B398</f>
        <v/>
      </c>
    </row>
    <row r="399">
      <c r="A399" s="11" t="inlineStr">
        <is>
          <t>B0395</t>
        </is>
      </c>
      <c r="B399" s="12" t="n">
        <v>149982</v>
      </c>
      <c r="C399" s="13" t="n">
        <v>0.04341245566686969</v>
      </c>
      <c r="D399" s="11" t="n">
        <v>631</v>
      </c>
      <c r="E399" s="13" t="n">
        <v>0.3493237143228983</v>
      </c>
      <c r="F399" s="11" t="n">
        <v>1</v>
      </c>
      <c r="G399" s="11" t="n">
        <v>5.3</v>
      </c>
      <c r="H399" s="12" t="n">
        <v>16617</v>
      </c>
      <c r="I399" s="11" t="n">
        <v>36</v>
      </c>
      <c r="J399" s="11" t="n">
        <v>0</v>
      </c>
      <c r="K399" s="2">
        <f>IF(D399&gt;=740,0,IF(D399&gt;=670,15,30))+IF(C399&lt;=25%,0,IF(C399&lt;=40%,15,30))+IF(E399&lt;=30%,0,IF(E399&lt;=60%,10,20))+IF(F399=0,0,IF(F399=1,10,25))+IF(G399&gt;=5,0,IF(G399&gt;=2,5,10))+IF(H399/B399&lt;=25%,0,IF(H399/B399&lt;=50%,10,20))+IF(I399=36,0,IF(I399=48,3,6))</f>
        <v/>
      </c>
      <c r="L399" s="2">
        <f>850-K399*3.5</f>
        <v/>
      </c>
      <c r="M399" s="9">
        <f>1/(1+EXP(-(-4.2+0.055*K399)))</f>
        <v/>
      </c>
      <c r="N399" s="2">
        <f>IF(K399&lt;20,"A",IF(K399&lt;40,"B",IF(K399&lt;60,"C",IF(K399&lt;80,"D","E"))))</f>
        <v/>
      </c>
      <c r="O399" s="2">
        <f>IF(OR(N399="D",N399="E"),"Enhanced Review",IF(N399="C","Conditional","Approve"))</f>
        <v/>
      </c>
      <c r="P399" s="8">
        <f>H399*M399*45%</f>
        <v/>
      </c>
      <c r="Q399" s="9">
        <f>H399/B399</f>
        <v/>
      </c>
    </row>
    <row r="400">
      <c r="A400" s="11" t="inlineStr">
        <is>
          <t>B0396</t>
        </is>
      </c>
      <c r="B400" s="12" t="n">
        <v>67283</v>
      </c>
      <c r="C400" s="13" t="n">
        <v>0.5340235854958655</v>
      </c>
      <c r="D400" s="11" t="n">
        <v>752</v>
      </c>
      <c r="E400" s="13" t="n">
        <v>0.3789277465742706</v>
      </c>
      <c r="F400" s="11" t="n">
        <v>0</v>
      </c>
      <c r="G400" s="11" t="n">
        <v>9.6</v>
      </c>
      <c r="H400" s="12" t="n">
        <v>21620</v>
      </c>
      <c r="I400" s="11" t="n">
        <v>36</v>
      </c>
      <c r="J400" s="11" t="n">
        <v>0</v>
      </c>
      <c r="K400" s="2">
        <f>IF(D400&gt;=740,0,IF(D400&gt;=670,15,30))+IF(C400&lt;=25%,0,IF(C400&lt;=40%,15,30))+IF(E400&lt;=30%,0,IF(E400&lt;=60%,10,20))+IF(F400=0,0,IF(F400=1,10,25))+IF(G400&gt;=5,0,IF(G400&gt;=2,5,10))+IF(H400/B400&lt;=25%,0,IF(H400/B400&lt;=50%,10,20))+IF(I400=36,0,IF(I400=48,3,6))</f>
        <v/>
      </c>
      <c r="L400" s="2">
        <f>850-K400*3.5</f>
        <v/>
      </c>
      <c r="M400" s="9">
        <f>1/(1+EXP(-(-4.2+0.055*K400)))</f>
        <v/>
      </c>
      <c r="N400" s="2">
        <f>IF(K400&lt;20,"A",IF(K400&lt;40,"B",IF(K400&lt;60,"C",IF(K400&lt;80,"D","E"))))</f>
        <v/>
      </c>
      <c r="O400" s="2">
        <f>IF(OR(N400="D",N400="E"),"Enhanced Review",IF(N400="C","Conditional","Approve"))</f>
        <v/>
      </c>
      <c r="P400" s="8">
        <f>H400*M400*45%</f>
        <v/>
      </c>
      <c r="Q400" s="9">
        <f>H400/B400</f>
        <v/>
      </c>
    </row>
    <row r="401">
      <c r="A401" s="11" t="inlineStr">
        <is>
          <t>B0397</t>
        </is>
      </c>
      <c r="B401" s="12" t="n">
        <v>84382</v>
      </c>
      <c r="C401" s="13" t="n">
        <v>0.3886279677817284</v>
      </c>
      <c r="D401" s="11" t="n">
        <v>705</v>
      </c>
      <c r="E401" s="13" t="n">
        <v>0.909850551629339</v>
      </c>
      <c r="F401" s="11" t="n">
        <v>1</v>
      </c>
      <c r="G401" s="11" t="n">
        <v>18.6</v>
      </c>
      <c r="H401" s="12" t="n">
        <v>19361</v>
      </c>
      <c r="I401" s="11" t="n">
        <v>60</v>
      </c>
      <c r="J401" s="11" t="n">
        <v>0</v>
      </c>
      <c r="K401" s="2">
        <f>IF(D401&gt;=740,0,IF(D401&gt;=670,15,30))+IF(C401&lt;=25%,0,IF(C401&lt;=40%,15,30))+IF(E401&lt;=30%,0,IF(E401&lt;=60%,10,20))+IF(F401=0,0,IF(F401=1,10,25))+IF(G401&gt;=5,0,IF(G401&gt;=2,5,10))+IF(H401/B401&lt;=25%,0,IF(H401/B401&lt;=50%,10,20))+IF(I401=36,0,IF(I401=48,3,6))</f>
        <v/>
      </c>
      <c r="L401" s="2">
        <f>850-K401*3.5</f>
        <v/>
      </c>
      <c r="M401" s="9">
        <f>1/(1+EXP(-(-4.2+0.055*K401)))</f>
        <v/>
      </c>
      <c r="N401" s="2">
        <f>IF(K401&lt;20,"A",IF(K401&lt;40,"B",IF(K401&lt;60,"C",IF(K401&lt;80,"D","E"))))</f>
        <v/>
      </c>
      <c r="O401" s="2">
        <f>IF(OR(N401="D",N401="E"),"Enhanced Review",IF(N401="C","Conditional","Approve"))</f>
        <v/>
      </c>
      <c r="P401" s="8">
        <f>H401*M401*45%</f>
        <v/>
      </c>
      <c r="Q401" s="9">
        <f>H401/B401</f>
        <v/>
      </c>
    </row>
    <row r="402">
      <c r="A402" s="11" t="inlineStr">
        <is>
          <t>B0398</t>
        </is>
      </c>
      <c r="B402" s="12" t="n">
        <v>60780</v>
      </c>
      <c r="C402" s="13" t="n">
        <v>0.119138963993959</v>
      </c>
      <c r="D402" s="11" t="n">
        <v>738</v>
      </c>
      <c r="E402" s="13" t="n">
        <v>0.7616638715900101</v>
      </c>
      <c r="F402" s="11" t="n">
        <v>2</v>
      </c>
      <c r="G402" s="11" t="n">
        <v>11.4</v>
      </c>
      <c r="H402" s="12" t="n">
        <v>29621</v>
      </c>
      <c r="I402" s="11" t="n">
        <v>60</v>
      </c>
      <c r="J402" s="11" t="n">
        <v>0</v>
      </c>
      <c r="K402" s="2">
        <f>IF(D402&gt;=740,0,IF(D402&gt;=670,15,30))+IF(C402&lt;=25%,0,IF(C402&lt;=40%,15,30))+IF(E402&lt;=30%,0,IF(E402&lt;=60%,10,20))+IF(F402=0,0,IF(F402=1,10,25))+IF(G402&gt;=5,0,IF(G402&gt;=2,5,10))+IF(H402/B402&lt;=25%,0,IF(H402/B402&lt;=50%,10,20))+IF(I402=36,0,IF(I402=48,3,6))</f>
        <v/>
      </c>
      <c r="L402" s="2">
        <f>850-K402*3.5</f>
        <v/>
      </c>
      <c r="M402" s="9">
        <f>1/(1+EXP(-(-4.2+0.055*K402)))</f>
        <v/>
      </c>
      <c r="N402" s="2">
        <f>IF(K402&lt;20,"A",IF(K402&lt;40,"B",IF(K402&lt;60,"C",IF(K402&lt;80,"D","E"))))</f>
        <v/>
      </c>
      <c r="O402" s="2">
        <f>IF(OR(N402="D",N402="E"),"Enhanced Review",IF(N402="C","Conditional","Approve"))</f>
        <v/>
      </c>
      <c r="P402" s="8">
        <f>H402*M402*45%</f>
        <v/>
      </c>
      <c r="Q402" s="9">
        <f>H402/B402</f>
        <v/>
      </c>
    </row>
    <row r="403">
      <c r="A403" s="11" t="inlineStr">
        <is>
          <t>B0399</t>
        </is>
      </c>
      <c r="B403" s="12" t="n">
        <v>92928</v>
      </c>
      <c r="C403" s="13" t="n">
        <v>0.06436109588167892</v>
      </c>
      <c r="D403" s="11" t="n">
        <v>712</v>
      </c>
      <c r="E403" s="13" t="n">
        <v>0.5430827941695294</v>
      </c>
      <c r="F403" s="11" t="n">
        <v>1</v>
      </c>
      <c r="G403" s="11" t="n">
        <v>2.3</v>
      </c>
      <c r="H403" s="12" t="n">
        <v>5286</v>
      </c>
      <c r="I403" s="11" t="n">
        <v>60</v>
      </c>
      <c r="J403" s="11" t="n">
        <v>0</v>
      </c>
      <c r="K403" s="2">
        <f>IF(D403&gt;=740,0,IF(D403&gt;=670,15,30))+IF(C403&lt;=25%,0,IF(C403&lt;=40%,15,30))+IF(E403&lt;=30%,0,IF(E403&lt;=60%,10,20))+IF(F403=0,0,IF(F403=1,10,25))+IF(G403&gt;=5,0,IF(G403&gt;=2,5,10))+IF(H403/B403&lt;=25%,0,IF(H403/B403&lt;=50%,10,20))+IF(I403=36,0,IF(I403=48,3,6))</f>
        <v/>
      </c>
      <c r="L403" s="2">
        <f>850-K403*3.5</f>
        <v/>
      </c>
      <c r="M403" s="9">
        <f>1/(1+EXP(-(-4.2+0.055*K403)))</f>
        <v/>
      </c>
      <c r="N403" s="2">
        <f>IF(K403&lt;20,"A",IF(K403&lt;40,"B",IF(K403&lt;60,"C",IF(K403&lt;80,"D","E"))))</f>
        <v/>
      </c>
      <c r="O403" s="2">
        <f>IF(OR(N403="D",N403="E"),"Enhanced Review",IF(N403="C","Conditional","Approve"))</f>
        <v/>
      </c>
      <c r="P403" s="8">
        <f>H403*M403*45%</f>
        <v/>
      </c>
      <c r="Q403" s="9">
        <f>H403/B403</f>
        <v/>
      </c>
    </row>
    <row r="404">
      <c r="A404" s="11" t="inlineStr">
        <is>
          <t>B0400</t>
        </is>
      </c>
      <c r="B404" s="12" t="n">
        <v>120060</v>
      </c>
      <c r="C404" s="13" t="n">
        <v>0.2096071213551464</v>
      </c>
      <c r="D404" s="11" t="n">
        <v>808</v>
      </c>
      <c r="E404" s="13" t="n">
        <v>0.4049170150645888</v>
      </c>
      <c r="F404" s="11" t="n">
        <v>0</v>
      </c>
      <c r="G404" s="11" t="n">
        <v>6.4</v>
      </c>
      <c r="H404" s="12" t="n">
        <v>47415</v>
      </c>
      <c r="I404" s="11" t="n">
        <v>36</v>
      </c>
      <c r="J404" s="11" t="n">
        <v>0</v>
      </c>
      <c r="K404" s="2">
        <f>IF(D404&gt;=740,0,IF(D404&gt;=670,15,30))+IF(C404&lt;=25%,0,IF(C404&lt;=40%,15,30))+IF(E404&lt;=30%,0,IF(E404&lt;=60%,10,20))+IF(F404=0,0,IF(F404=1,10,25))+IF(G404&gt;=5,0,IF(G404&gt;=2,5,10))+IF(H404/B404&lt;=25%,0,IF(H404/B404&lt;=50%,10,20))+IF(I404=36,0,IF(I404=48,3,6))</f>
        <v/>
      </c>
      <c r="L404" s="2">
        <f>850-K404*3.5</f>
        <v/>
      </c>
      <c r="M404" s="9">
        <f>1/(1+EXP(-(-4.2+0.055*K404)))</f>
        <v/>
      </c>
      <c r="N404" s="2">
        <f>IF(K404&lt;20,"A",IF(K404&lt;40,"B",IF(K404&lt;60,"C",IF(K404&lt;80,"D","E"))))</f>
        <v/>
      </c>
      <c r="O404" s="2">
        <f>IF(OR(N404="D",N404="E"),"Enhanced Review",IF(N404="C","Conditional","Approve"))</f>
        <v/>
      </c>
      <c r="P404" s="8">
        <f>H404*M404*45%</f>
        <v/>
      </c>
      <c r="Q404" s="9">
        <f>H404/B404</f>
        <v/>
      </c>
    </row>
    <row r="405">
      <c r="A405" s="11" t="inlineStr">
        <is>
          <t>B0401</t>
        </is>
      </c>
      <c r="B405" s="12" t="n">
        <v>64351</v>
      </c>
      <c r="C405" s="13" t="n">
        <v>0.213877729744164</v>
      </c>
      <c r="D405" s="11" t="n">
        <v>705</v>
      </c>
      <c r="E405" s="13" t="n">
        <v>0.6010076995803207</v>
      </c>
      <c r="F405" s="11" t="n">
        <v>1</v>
      </c>
      <c r="G405" s="11" t="n">
        <v>3.2</v>
      </c>
      <c r="H405" s="12" t="n">
        <v>44264</v>
      </c>
      <c r="I405" s="11" t="n">
        <v>36</v>
      </c>
      <c r="J405" s="11" t="n">
        <v>0</v>
      </c>
      <c r="K405" s="2">
        <f>IF(D405&gt;=740,0,IF(D405&gt;=670,15,30))+IF(C405&lt;=25%,0,IF(C405&lt;=40%,15,30))+IF(E405&lt;=30%,0,IF(E405&lt;=60%,10,20))+IF(F405=0,0,IF(F405=1,10,25))+IF(G405&gt;=5,0,IF(G405&gt;=2,5,10))+IF(H405/B405&lt;=25%,0,IF(H405/B405&lt;=50%,10,20))+IF(I405=36,0,IF(I405=48,3,6))</f>
        <v/>
      </c>
      <c r="L405" s="2">
        <f>850-K405*3.5</f>
        <v/>
      </c>
      <c r="M405" s="9">
        <f>1/(1+EXP(-(-4.2+0.055*K405)))</f>
        <v/>
      </c>
      <c r="N405" s="2">
        <f>IF(K405&lt;20,"A",IF(K405&lt;40,"B",IF(K405&lt;60,"C",IF(K405&lt;80,"D","E"))))</f>
        <v/>
      </c>
      <c r="O405" s="2">
        <f>IF(OR(N405="D",N405="E"),"Enhanced Review",IF(N405="C","Conditional","Approve"))</f>
        <v/>
      </c>
      <c r="P405" s="8">
        <f>H405*M405*45%</f>
        <v/>
      </c>
      <c r="Q405" s="9">
        <f>H405/B405</f>
        <v/>
      </c>
    </row>
    <row r="406">
      <c r="A406" s="11" t="inlineStr">
        <is>
          <t>B0402</t>
        </is>
      </c>
      <c r="B406" s="12" t="n">
        <v>55742</v>
      </c>
      <c r="C406" s="13" t="n">
        <v>0.1680573758037436</v>
      </c>
      <c r="D406" s="11" t="n">
        <v>736</v>
      </c>
      <c r="E406" s="13" t="n">
        <v>0.3791305682486961</v>
      </c>
      <c r="F406" s="11" t="n">
        <v>1</v>
      </c>
      <c r="G406" s="11" t="n">
        <v>4.6</v>
      </c>
      <c r="H406" s="12" t="n">
        <v>51412</v>
      </c>
      <c r="I406" s="11" t="n">
        <v>36</v>
      </c>
      <c r="J406" s="11" t="n">
        <v>0</v>
      </c>
      <c r="K406" s="2">
        <f>IF(D406&gt;=740,0,IF(D406&gt;=670,15,30))+IF(C406&lt;=25%,0,IF(C406&lt;=40%,15,30))+IF(E406&lt;=30%,0,IF(E406&lt;=60%,10,20))+IF(F406=0,0,IF(F406=1,10,25))+IF(G406&gt;=5,0,IF(G406&gt;=2,5,10))+IF(H406/B406&lt;=25%,0,IF(H406/B406&lt;=50%,10,20))+IF(I406=36,0,IF(I406=48,3,6))</f>
        <v/>
      </c>
      <c r="L406" s="2">
        <f>850-K406*3.5</f>
        <v/>
      </c>
      <c r="M406" s="9">
        <f>1/(1+EXP(-(-4.2+0.055*K406)))</f>
        <v/>
      </c>
      <c r="N406" s="2">
        <f>IF(K406&lt;20,"A",IF(K406&lt;40,"B",IF(K406&lt;60,"C",IF(K406&lt;80,"D","E"))))</f>
        <v/>
      </c>
      <c r="O406" s="2">
        <f>IF(OR(N406="D",N406="E"),"Enhanced Review",IF(N406="C","Conditional","Approve"))</f>
        <v/>
      </c>
      <c r="P406" s="8">
        <f>H406*M406*45%</f>
        <v/>
      </c>
      <c r="Q406" s="9">
        <f>H406/B406</f>
        <v/>
      </c>
    </row>
    <row r="407">
      <c r="A407" s="11" t="inlineStr">
        <is>
          <t>B0403</t>
        </is>
      </c>
      <c r="B407" s="12" t="n">
        <v>135706</v>
      </c>
      <c r="C407" s="13" t="n">
        <v>0.5993629106343268</v>
      </c>
      <c r="D407" s="11" t="n">
        <v>649</v>
      </c>
      <c r="E407" s="13" t="n">
        <v>0.4572330895478356</v>
      </c>
      <c r="F407" s="11" t="n">
        <v>0</v>
      </c>
      <c r="G407" s="11" t="n">
        <v>9</v>
      </c>
      <c r="H407" s="12" t="n">
        <v>47918</v>
      </c>
      <c r="I407" s="11" t="n">
        <v>36</v>
      </c>
      <c r="J407" s="11" t="n">
        <v>1</v>
      </c>
      <c r="K407" s="2">
        <f>IF(D407&gt;=740,0,IF(D407&gt;=670,15,30))+IF(C407&lt;=25%,0,IF(C407&lt;=40%,15,30))+IF(E407&lt;=30%,0,IF(E407&lt;=60%,10,20))+IF(F407=0,0,IF(F407=1,10,25))+IF(G407&gt;=5,0,IF(G407&gt;=2,5,10))+IF(H407/B407&lt;=25%,0,IF(H407/B407&lt;=50%,10,20))+IF(I407=36,0,IF(I407=48,3,6))</f>
        <v/>
      </c>
      <c r="L407" s="2">
        <f>850-K407*3.5</f>
        <v/>
      </c>
      <c r="M407" s="9">
        <f>1/(1+EXP(-(-4.2+0.055*K407)))</f>
        <v/>
      </c>
      <c r="N407" s="2">
        <f>IF(K407&lt;20,"A",IF(K407&lt;40,"B",IF(K407&lt;60,"C",IF(K407&lt;80,"D","E"))))</f>
        <v/>
      </c>
      <c r="O407" s="2">
        <f>IF(OR(N407="D",N407="E"),"Enhanced Review",IF(N407="C","Conditional","Approve"))</f>
        <v/>
      </c>
      <c r="P407" s="8">
        <f>H407*M407*45%</f>
        <v/>
      </c>
      <c r="Q407" s="9">
        <f>H407/B407</f>
        <v/>
      </c>
    </row>
    <row r="408">
      <c r="A408" s="11" t="inlineStr">
        <is>
          <t>B0404</t>
        </is>
      </c>
      <c r="B408" s="12" t="n">
        <v>172707</v>
      </c>
      <c r="C408" s="13" t="n">
        <v>0.2600603289417816</v>
      </c>
      <c r="D408" s="11" t="n">
        <v>643</v>
      </c>
      <c r="E408" s="13" t="n">
        <v>0.6275266973950283</v>
      </c>
      <c r="F408" s="11" t="n">
        <v>1</v>
      </c>
      <c r="G408" s="11" t="n">
        <v>1.3</v>
      </c>
      <c r="H408" s="12" t="n">
        <v>36508</v>
      </c>
      <c r="I408" s="11" t="n">
        <v>48</v>
      </c>
      <c r="J408" s="11" t="n">
        <v>1</v>
      </c>
      <c r="K408" s="2">
        <f>IF(D408&gt;=740,0,IF(D408&gt;=670,15,30))+IF(C408&lt;=25%,0,IF(C408&lt;=40%,15,30))+IF(E408&lt;=30%,0,IF(E408&lt;=60%,10,20))+IF(F408=0,0,IF(F408=1,10,25))+IF(G408&gt;=5,0,IF(G408&gt;=2,5,10))+IF(H408/B408&lt;=25%,0,IF(H408/B408&lt;=50%,10,20))+IF(I408=36,0,IF(I408=48,3,6))</f>
        <v/>
      </c>
      <c r="L408" s="2">
        <f>850-K408*3.5</f>
        <v/>
      </c>
      <c r="M408" s="9">
        <f>1/(1+EXP(-(-4.2+0.055*K408)))</f>
        <v/>
      </c>
      <c r="N408" s="2">
        <f>IF(K408&lt;20,"A",IF(K408&lt;40,"B",IF(K408&lt;60,"C",IF(K408&lt;80,"D","E"))))</f>
        <v/>
      </c>
      <c r="O408" s="2">
        <f>IF(OR(N408="D",N408="E"),"Enhanced Review",IF(N408="C","Conditional","Approve"))</f>
        <v/>
      </c>
      <c r="P408" s="8">
        <f>H408*M408*45%</f>
        <v/>
      </c>
      <c r="Q408" s="9">
        <f>H408/B408</f>
        <v/>
      </c>
    </row>
    <row r="409">
      <c r="A409" s="11" t="inlineStr">
        <is>
          <t>B0405</t>
        </is>
      </c>
      <c r="B409" s="12" t="n">
        <v>27382</v>
      </c>
      <c r="C409" s="13" t="n">
        <v>0.3945991657242743</v>
      </c>
      <c r="D409" s="11" t="n">
        <v>765</v>
      </c>
      <c r="E409" s="13" t="n">
        <v>0.5719832130461107</v>
      </c>
      <c r="F409" s="11" t="n">
        <v>0</v>
      </c>
      <c r="G409" s="11" t="n">
        <v>10.2</v>
      </c>
      <c r="H409" s="12" t="n">
        <v>35030</v>
      </c>
      <c r="I409" s="11" t="n">
        <v>60</v>
      </c>
      <c r="J409" s="11" t="n">
        <v>0</v>
      </c>
      <c r="K409" s="2">
        <f>IF(D409&gt;=740,0,IF(D409&gt;=670,15,30))+IF(C409&lt;=25%,0,IF(C409&lt;=40%,15,30))+IF(E409&lt;=30%,0,IF(E409&lt;=60%,10,20))+IF(F409=0,0,IF(F409=1,10,25))+IF(G409&gt;=5,0,IF(G409&gt;=2,5,10))+IF(H409/B409&lt;=25%,0,IF(H409/B409&lt;=50%,10,20))+IF(I409=36,0,IF(I409=48,3,6))</f>
        <v/>
      </c>
      <c r="L409" s="2">
        <f>850-K409*3.5</f>
        <v/>
      </c>
      <c r="M409" s="9">
        <f>1/(1+EXP(-(-4.2+0.055*K409)))</f>
        <v/>
      </c>
      <c r="N409" s="2">
        <f>IF(K409&lt;20,"A",IF(K409&lt;40,"B",IF(K409&lt;60,"C",IF(K409&lt;80,"D","E"))))</f>
        <v/>
      </c>
      <c r="O409" s="2">
        <f>IF(OR(N409="D",N409="E"),"Enhanced Review",IF(N409="C","Conditional","Approve"))</f>
        <v/>
      </c>
      <c r="P409" s="8">
        <f>H409*M409*45%</f>
        <v/>
      </c>
      <c r="Q409" s="9">
        <f>H409/B409</f>
        <v/>
      </c>
    </row>
    <row r="410">
      <c r="A410" s="11" t="inlineStr">
        <is>
          <t>B0406</t>
        </is>
      </c>
      <c r="B410" s="12" t="n">
        <v>80750</v>
      </c>
      <c r="C410" s="13" t="n">
        <v>0.166351926420662</v>
      </c>
      <c r="D410" s="11" t="n">
        <v>744</v>
      </c>
      <c r="E410" s="13" t="n">
        <v>0.7044440707294278</v>
      </c>
      <c r="F410" s="11" t="n">
        <v>1</v>
      </c>
      <c r="G410" s="11" t="n">
        <v>4.3</v>
      </c>
      <c r="H410" s="12" t="n">
        <v>33306</v>
      </c>
      <c r="I410" s="11" t="n">
        <v>60</v>
      </c>
      <c r="J410" s="11" t="n">
        <v>0</v>
      </c>
      <c r="K410" s="2">
        <f>IF(D410&gt;=740,0,IF(D410&gt;=670,15,30))+IF(C410&lt;=25%,0,IF(C410&lt;=40%,15,30))+IF(E410&lt;=30%,0,IF(E410&lt;=60%,10,20))+IF(F410=0,0,IF(F410=1,10,25))+IF(G410&gt;=5,0,IF(G410&gt;=2,5,10))+IF(H410/B410&lt;=25%,0,IF(H410/B410&lt;=50%,10,20))+IF(I410=36,0,IF(I410=48,3,6))</f>
        <v/>
      </c>
      <c r="L410" s="2">
        <f>850-K410*3.5</f>
        <v/>
      </c>
      <c r="M410" s="9">
        <f>1/(1+EXP(-(-4.2+0.055*K410)))</f>
        <v/>
      </c>
      <c r="N410" s="2">
        <f>IF(K410&lt;20,"A",IF(K410&lt;40,"B",IF(K410&lt;60,"C",IF(K410&lt;80,"D","E"))))</f>
        <v/>
      </c>
      <c r="O410" s="2">
        <f>IF(OR(N410="D",N410="E"),"Enhanced Review",IF(N410="C","Conditional","Approve"))</f>
        <v/>
      </c>
      <c r="P410" s="8">
        <f>H410*M410*45%</f>
        <v/>
      </c>
      <c r="Q410" s="9">
        <f>H410/B410</f>
        <v/>
      </c>
    </row>
    <row r="411">
      <c r="A411" s="11" t="inlineStr">
        <is>
          <t>B0407</t>
        </is>
      </c>
      <c r="B411" s="12" t="n">
        <v>68000</v>
      </c>
      <c r="C411" s="13" t="n">
        <v>0.3027738564720275</v>
      </c>
      <c r="D411" s="11" t="n">
        <v>689</v>
      </c>
      <c r="E411" s="13" t="n">
        <v>0.092888999014688</v>
      </c>
      <c r="F411" s="11" t="n">
        <v>0</v>
      </c>
      <c r="G411" s="11" t="n">
        <v>4.4</v>
      </c>
      <c r="H411" s="12" t="n">
        <v>48817</v>
      </c>
      <c r="I411" s="11" t="n">
        <v>36</v>
      </c>
      <c r="J411" s="11" t="n">
        <v>0</v>
      </c>
      <c r="K411" s="2">
        <f>IF(D411&gt;=740,0,IF(D411&gt;=670,15,30))+IF(C411&lt;=25%,0,IF(C411&lt;=40%,15,30))+IF(E411&lt;=30%,0,IF(E411&lt;=60%,10,20))+IF(F411=0,0,IF(F411=1,10,25))+IF(G411&gt;=5,0,IF(G411&gt;=2,5,10))+IF(H411/B411&lt;=25%,0,IF(H411/B411&lt;=50%,10,20))+IF(I411=36,0,IF(I411=48,3,6))</f>
        <v/>
      </c>
      <c r="L411" s="2">
        <f>850-K411*3.5</f>
        <v/>
      </c>
      <c r="M411" s="9">
        <f>1/(1+EXP(-(-4.2+0.055*K411)))</f>
        <v/>
      </c>
      <c r="N411" s="2">
        <f>IF(K411&lt;20,"A",IF(K411&lt;40,"B",IF(K411&lt;60,"C",IF(K411&lt;80,"D","E"))))</f>
        <v/>
      </c>
      <c r="O411" s="2">
        <f>IF(OR(N411="D",N411="E"),"Enhanced Review",IF(N411="C","Conditional","Approve"))</f>
        <v/>
      </c>
      <c r="P411" s="8">
        <f>H411*M411*45%</f>
        <v/>
      </c>
      <c r="Q411" s="9">
        <f>H411/B411</f>
        <v/>
      </c>
    </row>
    <row r="412">
      <c r="A412" s="11" t="inlineStr">
        <is>
          <t>B0408</t>
        </is>
      </c>
      <c r="B412" s="12" t="n">
        <v>120418</v>
      </c>
      <c r="C412" s="13" t="n">
        <v>0.3471218034382697</v>
      </c>
      <c r="D412" s="11" t="n">
        <v>635</v>
      </c>
      <c r="E412" s="13" t="n">
        <v>0.4487499928197943</v>
      </c>
      <c r="F412" s="11" t="n">
        <v>0</v>
      </c>
      <c r="G412" s="11" t="n">
        <v>15.2</v>
      </c>
      <c r="H412" s="12" t="n">
        <v>15653</v>
      </c>
      <c r="I412" s="11" t="n">
        <v>60</v>
      </c>
      <c r="J412" s="11" t="n">
        <v>0</v>
      </c>
      <c r="K412" s="2">
        <f>IF(D412&gt;=740,0,IF(D412&gt;=670,15,30))+IF(C412&lt;=25%,0,IF(C412&lt;=40%,15,30))+IF(E412&lt;=30%,0,IF(E412&lt;=60%,10,20))+IF(F412=0,0,IF(F412=1,10,25))+IF(G412&gt;=5,0,IF(G412&gt;=2,5,10))+IF(H412/B412&lt;=25%,0,IF(H412/B412&lt;=50%,10,20))+IF(I412=36,0,IF(I412=48,3,6))</f>
        <v/>
      </c>
      <c r="L412" s="2">
        <f>850-K412*3.5</f>
        <v/>
      </c>
      <c r="M412" s="9">
        <f>1/(1+EXP(-(-4.2+0.055*K412)))</f>
        <v/>
      </c>
      <c r="N412" s="2">
        <f>IF(K412&lt;20,"A",IF(K412&lt;40,"B",IF(K412&lt;60,"C",IF(K412&lt;80,"D","E"))))</f>
        <v/>
      </c>
      <c r="O412" s="2">
        <f>IF(OR(N412="D",N412="E"),"Enhanced Review",IF(N412="C","Conditional","Approve"))</f>
        <v/>
      </c>
      <c r="P412" s="8">
        <f>H412*M412*45%</f>
        <v/>
      </c>
      <c r="Q412" s="9">
        <f>H412/B412</f>
        <v/>
      </c>
    </row>
    <row r="413">
      <c r="A413" s="11" t="inlineStr">
        <is>
          <t>B0409</t>
        </is>
      </c>
      <c r="B413" s="12" t="n">
        <v>118538</v>
      </c>
      <c r="C413" s="13" t="n">
        <v>0.4929884988616354</v>
      </c>
      <c r="D413" s="11" t="n">
        <v>567</v>
      </c>
      <c r="E413" s="13" t="n">
        <v>0.6073167391409623</v>
      </c>
      <c r="F413" s="11" t="n">
        <v>1</v>
      </c>
      <c r="G413" s="11" t="n">
        <v>20.5</v>
      </c>
      <c r="H413" s="12" t="n">
        <v>23231</v>
      </c>
      <c r="I413" s="11" t="n">
        <v>60</v>
      </c>
      <c r="J413" s="11" t="n">
        <v>1</v>
      </c>
      <c r="K413" s="2">
        <f>IF(D413&gt;=740,0,IF(D413&gt;=670,15,30))+IF(C413&lt;=25%,0,IF(C413&lt;=40%,15,30))+IF(E413&lt;=30%,0,IF(E413&lt;=60%,10,20))+IF(F413=0,0,IF(F413=1,10,25))+IF(G413&gt;=5,0,IF(G413&gt;=2,5,10))+IF(H413/B413&lt;=25%,0,IF(H413/B413&lt;=50%,10,20))+IF(I413=36,0,IF(I413=48,3,6))</f>
        <v/>
      </c>
      <c r="L413" s="2">
        <f>850-K413*3.5</f>
        <v/>
      </c>
      <c r="M413" s="9">
        <f>1/(1+EXP(-(-4.2+0.055*K413)))</f>
        <v/>
      </c>
      <c r="N413" s="2">
        <f>IF(K413&lt;20,"A",IF(K413&lt;40,"B",IF(K413&lt;60,"C",IF(K413&lt;80,"D","E"))))</f>
        <v/>
      </c>
      <c r="O413" s="2">
        <f>IF(OR(N413="D",N413="E"),"Enhanced Review",IF(N413="C","Conditional","Approve"))</f>
        <v/>
      </c>
      <c r="P413" s="8">
        <f>H413*M413*45%</f>
        <v/>
      </c>
      <c r="Q413" s="9">
        <f>H413/B413</f>
        <v/>
      </c>
    </row>
    <row r="414">
      <c r="A414" s="11" t="inlineStr">
        <is>
          <t>B0410</t>
        </is>
      </c>
      <c r="B414" s="12" t="n">
        <v>64962</v>
      </c>
      <c r="C414" s="13" t="n">
        <v>0.1188170936755257</v>
      </c>
      <c r="D414" s="11" t="n">
        <v>622</v>
      </c>
      <c r="E414" s="13" t="n">
        <v>0.5611481657496505</v>
      </c>
      <c r="F414" s="11" t="n">
        <v>0</v>
      </c>
      <c r="G414" s="11" t="n">
        <v>8.6</v>
      </c>
      <c r="H414" s="12" t="n">
        <v>29676</v>
      </c>
      <c r="I414" s="11" t="n">
        <v>60</v>
      </c>
      <c r="J414" s="11" t="n">
        <v>1</v>
      </c>
      <c r="K414" s="2">
        <f>IF(D414&gt;=740,0,IF(D414&gt;=670,15,30))+IF(C414&lt;=25%,0,IF(C414&lt;=40%,15,30))+IF(E414&lt;=30%,0,IF(E414&lt;=60%,10,20))+IF(F414=0,0,IF(F414=1,10,25))+IF(G414&gt;=5,0,IF(G414&gt;=2,5,10))+IF(H414/B414&lt;=25%,0,IF(H414/B414&lt;=50%,10,20))+IF(I414=36,0,IF(I414=48,3,6))</f>
        <v/>
      </c>
      <c r="L414" s="2">
        <f>850-K414*3.5</f>
        <v/>
      </c>
      <c r="M414" s="9">
        <f>1/(1+EXP(-(-4.2+0.055*K414)))</f>
        <v/>
      </c>
      <c r="N414" s="2">
        <f>IF(K414&lt;20,"A",IF(K414&lt;40,"B",IF(K414&lt;60,"C",IF(K414&lt;80,"D","E"))))</f>
        <v/>
      </c>
      <c r="O414" s="2">
        <f>IF(OR(N414="D",N414="E"),"Enhanced Review",IF(N414="C","Conditional","Approve"))</f>
        <v/>
      </c>
      <c r="P414" s="8">
        <f>H414*M414*45%</f>
        <v/>
      </c>
      <c r="Q414" s="9">
        <f>H414/B414</f>
        <v/>
      </c>
    </row>
    <row r="415">
      <c r="A415" s="11" t="inlineStr">
        <is>
          <t>B0411</t>
        </is>
      </c>
      <c r="B415" s="12" t="n">
        <v>89208</v>
      </c>
      <c r="C415" s="13" t="n">
        <v>0.1563683607537701</v>
      </c>
      <c r="D415" s="11" t="n">
        <v>696</v>
      </c>
      <c r="E415" s="13" t="n">
        <v>0.4751653005854689</v>
      </c>
      <c r="F415" s="11" t="n">
        <v>0</v>
      </c>
      <c r="G415" s="11" t="n">
        <v>8.199999999999999</v>
      </c>
      <c r="H415" s="12" t="n">
        <v>6042</v>
      </c>
      <c r="I415" s="11" t="n">
        <v>60</v>
      </c>
      <c r="J415" s="11" t="n">
        <v>0</v>
      </c>
      <c r="K415" s="2">
        <f>IF(D415&gt;=740,0,IF(D415&gt;=670,15,30))+IF(C415&lt;=25%,0,IF(C415&lt;=40%,15,30))+IF(E415&lt;=30%,0,IF(E415&lt;=60%,10,20))+IF(F415=0,0,IF(F415=1,10,25))+IF(G415&gt;=5,0,IF(G415&gt;=2,5,10))+IF(H415/B415&lt;=25%,0,IF(H415/B415&lt;=50%,10,20))+IF(I415=36,0,IF(I415=48,3,6))</f>
        <v/>
      </c>
      <c r="L415" s="2">
        <f>850-K415*3.5</f>
        <v/>
      </c>
      <c r="M415" s="9">
        <f>1/(1+EXP(-(-4.2+0.055*K415)))</f>
        <v/>
      </c>
      <c r="N415" s="2">
        <f>IF(K415&lt;20,"A",IF(K415&lt;40,"B",IF(K415&lt;60,"C",IF(K415&lt;80,"D","E"))))</f>
        <v/>
      </c>
      <c r="O415" s="2">
        <f>IF(OR(N415="D",N415="E"),"Enhanced Review",IF(N415="C","Conditional","Approve"))</f>
        <v/>
      </c>
      <c r="P415" s="8">
        <f>H415*M415*45%</f>
        <v/>
      </c>
      <c r="Q415" s="9">
        <f>H415/B415</f>
        <v/>
      </c>
    </row>
    <row r="416">
      <c r="A416" s="11" t="inlineStr">
        <is>
          <t>B0412</t>
        </is>
      </c>
      <c r="B416" s="12" t="n">
        <v>22000</v>
      </c>
      <c r="C416" s="13" t="n">
        <v>0.1409799472159509</v>
      </c>
      <c r="D416" s="11" t="n">
        <v>708</v>
      </c>
      <c r="E416" s="13" t="n">
        <v>0.4121775472211797</v>
      </c>
      <c r="F416" s="11" t="n">
        <v>0</v>
      </c>
      <c r="G416" s="11" t="n">
        <v>17.9</v>
      </c>
      <c r="H416" s="12" t="n">
        <v>8708</v>
      </c>
      <c r="I416" s="11" t="n">
        <v>36</v>
      </c>
      <c r="J416" s="11" t="n">
        <v>0</v>
      </c>
      <c r="K416" s="2">
        <f>IF(D416&gt;=740,0,IF(D416&gt;=670,15,30))+IF(C416&lt;=25%,0,IF(C416&lt;=40%,15,30))+IF(E416&lt;=30%,0,IF(E416&lt;=60%,10,20))+IF(F416=0,0,IF(F416=1,10,25))+IF(G416&gt;=5,0,IF(G416&gt;=2,5,10))+IF(H416/B416&lt;=25%,0,IF(H416/B416&lt;=50%,10,20))+IF(I416=36,0,IF(I416=48,3,6))</f>
        <v/>
      </c>
      <c r="L416" s="2">
        <f>850-K416*3.5</f>
        <v/>
      </c>
      <c r="M416" s="9">
        <f>1/(1+EXP(-(-4.2+0.055*K416)))</f>
        <v/>
      </c>
      <c r="N416" s="2">
        <f>IF(K416&lt;20,"A",IF(K416&lt;40,"B",IF(K416&lt;60,"C",IF(K416&lt;80,"D","E"))))</f>
        <v/>
      </c>
      <c r="O416" s="2">
        <f>IF(OR(N416="D",N416="E"),"Enhanced Review",IF(N416="C","Conditional","Approve"))</f>
        <v/>
      </c>
      <c r="P416" s="8">
        <f>H416*M416*45%</f>
        <v/>
      </c>
      <c r="Q416" s="9">
        <f>H416/B416</f>
        <v/>
      </c>
    </row>
    <row r="417">
      <c r="A417" s="11" t="inlineStr">
        <is>
          <t>B0413</t>
        </is>
      </c>
      <c r="B417" s="12" t="n">
        <v>53248</v>
      </c>
      <c r="C417" s="13" t="n">
        <v>0.09097124279197417</v>
      </c>
      <c r="D417" s="11" t="n">
        <v>742</v>
      </c>
      <c r="E417" s="13" t="n">
        <v>0.4615409034441407</v>
      </c>
      <c r="F417" s="11" t="n">
        <v>0</v>
      </c>
      <c r="G417" s="11" t="n">
        <v>4.4</v>
      </c>
      <c r="H417" s="12" t="n">
        <v>24766</v>
      </c>
      <c r="I417" s="11" t="n">
        <v>36</v>
      </c>
      <c r="J417" s="11" t="n">
        <v>0</v>
      </c>
      <c r="K417" s="2">
        <f>IF(D417&gt;=740,0,IF(D417&gt;=670,15,30))+IF(C417&lt;=25%,0,IF(C417&lt;=40%,15,30))+IF(E417&lt;=30%,0,IF(E417&lt;=60%,10,20))+IF(F417=0,0,IF(F417=1,10,25))+IF(G417&gt;=5,0,IF(G417&gt;=2,5,10))+IF(H417/B417&lt;=25%,0,IF(H417/B417&lt;=50%,10,20))+IF(I417=36,0,IF(I417=48,3,6))</f>
        <v/>
      </c>
      <c r="L417" s="2">
        <f>850-K417*3.5</f>
        <v/>
      </c>
      <c r="M417" s="9">
        <f>1/(1+EXP(-(-4.2+0.055*K417)))</f>
        <v/>
      </c>
      <c r="N417" s="2">
        <f>IF(K417&lt;20,"A",IF(K417&lt;40,"B",IF(K417&lt;60,"C",IF(K417&lt;80,"D","E"))))</f>
        <v/>
      </c>
      <c r="O417" s="2">
        <f>IF(OR(N417="D",N417="E"),"Enhanced Review",IF(N417="C","Conditional","Approve"))</f>
        <v/>
      </c>
      <c r="P417" s="8">
        <f>H417*M417*45%</f>
        <v/>
      </c>
      <c r="Q417" s="9">
        <f>H417/B417</f>
        <v/>
      </c>
    </row>
    <row r="418">
      <c r="A418" s="11" t="inlineStr">
        <is>
          <t>B0414</t>
        </is>
      </c>
      <c r="B418" s="12" t="n">
        <v>137051</v>
      </c>
      <c r="C418" s="13" t="n">
        <v>0.4276031677569747</v>
      </c>
      <c r="D418" s="11" t="n">
        <v>719</v>
      </c>
      <c r="E418" s="13" t="n">
        <v>0.5249734525611551</v>
      </c>
      <c r="F418" s="11" t="n">
        <v>0</v>
      </c>
      <c r="G418" s="11" t="n">
        <v>2.3</v>
      </c>
      <c r="H418" s="12" t="n">
        <v>39395</v>
      </c>
      <c r="I418" s="11" t="n">
        <v>60</v>
      </c>
      <c r="J418" s="11" t="n">
        <v>0</v>
      </c>
      <c r="K418" s="2">
        <f>IF(D418&gt;=740,0,IF(D418&gt;=670,15,30))+IF(C418&lt;=25%,0,IF(C418&lt;=40%,15,30))+IF(E418&lt;=30%,0,IF(E418&lt;=60%,10,20))+IF(F418=0,0,IF(F418=1,10,25))+IF(G418&gt;=5,0,IF(G418&gt;=2,5,10))+IF(H418/B418&lt;=25%,0,IF(H418/B418&lt;=50%,10,20))+IF(I418=36,0,IF(I418=48,3,6))</f>
        <v/>
      </c>
      <c r="L418" s="2">
        <f>850-K418*3.5</f>
        <v/>
      </c>
      <c r="M418" s="9">
        <f>1/(1+EXP(-(-4.2+0.055*K418)))</f>
        <v/>
      </c>
      <c r="N418" s="2">
        <f>IF(K418&lt;20,"A",IF(K418&lt;40,"B",IF(K418&lt;60,"C",IF(K418&lt;80,"D","E"))))</f>
        <v/>
      </c>
      <c r="O418" s="2">
        <f>IF(OR(N418="D",N418="E"),"Enhanced Review",IF(N418="C","Conditional","Approve"))</f>
        <v/>
      </c>
      <c r="P418" s="8">
        <f>H418*M418*45%</f>
        <v/>
      </c>
      <c r="Q418" s="9">
        <f>H418/B418</f>
        <v/>
      </c>
    </row>
    <row r="419">
      <c r="A419" s="11" t="inlineStr">
        <is>
          <t>B0415</t>
        </is>
      </c>
      <c r="B419" s="12" t="n">
        <v>113405</v>
      </c>
      <c r="C419" s="13" t="n">
        <v>0.2693224257816109</v>
      </c>
      <c r="D419" s="11" t="n">
        <v>769</v>
      </c>
      <c r="E419" s="13" t="n">
        <v>0.6089730715409997</v>
      </c>
      <c r="F419" s="11" t="n">
        <v>1</v>
      </c>
      <c r="G419" s="11" t="n">
        <v>13</v>
      </c>
      <c r="H419" s="12" t="n">
        <v>17221</v>
      </c>
      <c r="I419" s="11" t="n">
        <v>36</v>
      </c>
      <c r="J419" s="11" t="n">
        <v>0</v>
      </c>
      <c r="K419" s="2">
        <f>IF(D419&gt;=740,0,IF(D419&gt;=670,15,30))+IF(C419&lt;=25%,0,IF(C419&lt;=40%,15,30))+IF(E419&lt;=30%,0,IF(E419&lt;=60%,10,20))+IF(F419=0,0,IF(F419=1,10,25))+IF(G419&gt;=5,0,IF(G419&gt;=2,5,10))+IF(H419/B419&lt;=25%,0,IF(H419/B419&lt;=50%,10,20))+IF(I419=36,0,IF(I419=48,3,6))</f>
        <v/>
      </c>
      <c r="L419" s="2">
        <f>850-K419*3.5</f>
        <v/>
      </c>
      <c r="M419" s="9">
        <f>1/(1+EXP(-(-4.2+0.055*K419)))</f>
        <v/>
      </c>
      <c r="N419" s="2">
        <f>IF(K419&lt;20,"A",IF(K419&lt;40,"B",IF(K419&lt;60,"C",IF(K419&lt;80,"D","E"))))</f>
        <v/>
      </c>
      <c r="O419" s="2">
        <f>IF(OR(N419="D",N419="E"),"Enhanced Review",IF(N419="C","Conditional","Approve"))</f>
        <v/>
      </c>
      <c r="P419" s="8">
        <f>H419*M419*45%</f>
        <v/>
      </c>
      <c r="Q419" s="9">
        <f>H419/B419</f>
        <v/>
      </c>
    </row>
    <row r="420">
      <c r="A420" s="11" t="inlineStr">
        <is>
          <t>B0416</t>
        </is>
      </c>
      <c r="B420" s="12" t="n">
        <v>141162</v>
      </c>
      <c r="C420" s="13" t="n">
        <v>0.2424488228188447</v>
      </c>
      <c r="D420" s="11" t="n">
        <v>734</v>
      </c>
      <c r="E420" s="13" t="n">
        <v>0.5967336514452778</v>
      </c>
      <c r="F420" s="11" t="n">
        <v>0</v>
      </c>
      <c r="G420" s="11" t="n">
        <v>7.4</v>
      </c>
      <c r="H420" s="12" t="n">
        <v>55721</v>
      </c>
      <c r="I420" s="11" t="n">
        <v>36</v>
      </c>
      <c r="J420" s="11" t="n">
        <v>0</v>
      </c>
      <c r="K420" s="2">
        <f>IF(D420&gt;=740,0,IF(D420&gt;=670,15,30))+IF(C420&lt;=25%,0,IF(C420&lt;=40%,15,30))+IF(E420&lt;=30%,0,IF(E420&lt;=60%,10,20))+IF(F420=0,0,IF(F420=1,10,25))+IF(G420&gt;=5,0,IF(G420&gt;=2,5,10))+IF(H420/B420&lt;=25%,0,IF(H420/B420&lt;=50%,10,20))+IF(I420=36,0,IF(I420=48,3,6))</f>
        <v/>
      </c>
      <c r="L420" s="2">
        <f>850-K420*3.5</f>
        <v/>
      </c>
      <c r="M420" s="9">
        <f>1/(1+EXP(-(-4.2+0.055*K420)))</f>
        <v/>
      </c>
      <c r="N420" s="2">
        <f>IF(K420&lt;20,"A",IF(K420&lt;40,"B",IF(K420&lt;60,"C",IF(K420&lt;80,"D","E"))))</f>
        <v/>
      </c>
      <c r="O420" s="2">
        <f>IF(OR(N420="D",N420="E"),"Enhanced Review",IF(N420="C","Conditional","Approve"))</f>
        <v/>
      </c>
      <c r="P420" s="8">
        <f>H420*M420*45%</f>
        <v/>
      </c>
      <c r="Q420" s="9">
        <f>H420/B420</f>
        <v/>
      </c>
    </row>
    <row r="421">
      <c r="A421" s="11" t="inlineStr">
        <is>
          <t>B0417</t>
        </is>
      </c>
      <c r="B421" s="12" t="n">
        <v>66673</v>
      </c>
      <c r="C421" s="13" t="n">
        <v>0.2557577877289759</v>
      </c>
      <c r="D421" s="11" t="n">
        <v>654</v>
      </c>
      <c r="E421" s="13" t="n">
        <v>0.5615791467438193</v>
      </c>
      <c r="F421" s="11" t="n">
        <v>1</v>
      </c>
      <c r="G421" s="11" t="n">
        <v>11.5</v>
      </c>
      <c r="H421" s="12" t="n">
        <v>26198</v>
      </c>
      <c r="I421" s="11" t="n">
        <v>60</v>
      </c>
      <c r="J421" s="11" t="n">
        <v>0</v>
      </c>
      <c r="K421" s="2">
        <f>IF(D421&gt;=740,0,IF(D421&gt;=670,15,30))+IF(C421&lt;=25%,0,IF(C421&lt;=40%,15,30))+IF(E421&lt;=30%,0,IF(E421&lt;=60%,10,20))+IF(F421=0,0,IF(F421=1,10,25))+IF(G421&gt;=5,0,IF(G421&gt;=2,5,10))+IF(H421/B421&lt;=25%,0,IF(H421/B421&lt;=50%,10,20))+IF(I421=36,0,IF(I421=48,3,6))</f>
        <v/>
      </c>
      <c r="L421" s="2">
        <f>850-K421*3.5</f>
        <v/>
      </c>
      <c r="M421" s="9">
        <f>1/(1+EXP(-(-4.2+0.055*K421)))</f>
        <v/>
      </c>
      <c r="N421" s="2">
        <f>IF(K421&lt;20,"A",IF(K421&lt;40,"B",IF(K421&lt;60,"C",IF(K421&lt;80,"D","E"))))</f>
        <v/>
      </c>
      <c r="O421" s="2">
        <f>IF(OR(N421="D",N421="E"),"Enhanced Review",IF(N421="C","Conditional","Approve"))</f>
        <v/>
      </c>
      <c r="P421" s="8">
        <f>H421*M421*45%</f>
        <v/>
      </c>
      <c r="Q421" s="9">
        <f>H421/B421</f>
        <v/>
      </c>
    </row>
    <row r="422">
      <c r="A422" s="11" t="inlineStr">
        <is>
          <t>B0418</t>
        </is>
      </c>
      <c r="B422" s="12" t="n">
        <v>65120</v>
      </c>
      <c r="C422" s="13" t="n">
        <v>0.6368509587286708</v>
      </c>
      <c r="D422" s="11" t="n">
        <v>763</v>
      </c>
      <c r="E422" s="13" t="n">
        <v>0.5632741574750467</v>
      </c>
      <c r="F422" s="11" t="n">
        <v>0</v>
      </c>
      <c r="G422" s="11" t="n">
        <v>17.9</v>
      </c>
      <c r="H422" s="12" t="n">
        <v>17246</v>
      </c>
      <c r="I422" s="11" t="n">
        <v>60</v>
      </c>
      <c r="J422" s="11" t="n">
        <v>0</v>
      </c>
      <c r="K422" s="2">
        <f>IF(D422&gt;=740,0,IF(D422&gt;=670,15,30))+IF(C422&lt;=25%,0,IF(C422&lt;=40%,15,30))+IF(E422&lt;=30%,0,IF(E422&lt;=60%,10,20))+IF(F422=0,0,IF(F422=1,10,25))+IF(G422&gt;=5,0,IF(G422&gt;=2,5,10))+IF(H422/B422&lt;=25%,0,IF(H422/B422&lt;=50%,10,20))+IF(I422=36,0,IF(I422=48,3,6))</f>
        <v/>
      </c>
      <c r="L422" s="2">
        <f>850-K422*3.5</f>
        <v/>
      </c>
      <c r="M422" s="9">
        <f>1/(1+EXP(-(-4.2+0.055*K422)))</f>
        <v/>
      </c>
      <c r="N422" s="2">
        <f>IF(K422&lt;20,"A",IF(K422&lt;40,"B",IF(K422&lt;60,"C",IF(K422&lt;80,"D","E"))))</f>
        <v/>
      </c>
      <c r="O422" s="2">
        <f>IF(OR(N422="D",N422="E"),"Enhanced Review",IF(N422="C","Conditional","Approve"))</f>
        <v/>
      </c>
      <c r="P422" s="8">
        <f>H422*M422*45%</f>
        <v/>
      </c>
      <c r="Q422" s="9">
        <f>H422/B422</f>
        <v/>
      </c>
    </row>
    <row r="423">
      <c r="A423" s="11" t="inlineStr">
        <is>
          <t>B0419</t>
        </is>
      </c>
      <c r="B423" s="12" t="n">
        <v>64739</v>
      </c>
      <c r="C423" s="13" t="n">
        <v>0.2124233127185236</v>
      </c>
      <c r="D423" s="11" t="n">
        <v>769</v>
      </c>
      <c r="E423" s="13" t="n">
        <v>0.1272399934039157</v>
      </c>
      <c r="F423" s="11" t="n">
        <v>1</v>
      </c>
      <c r="G423" s="11" t="n">
        <v>11.4</v>
      </c>
      <c r="H423" s="12" t="n">
        <v>12811</v>
      </c>
      <c r="I423" s="11" t="n">
        <v>36</v>
      </c>
      <c r="J423" s="11" t="n">
        <v>0</v>
      </c>
      <c r="K423" s="2">
        <f>IF(D423&gt;=740,0,IF(D423&gt;=670,15,30))+IF(C423&lt;=25%,0,IF(C423&lt;=40%,15,30))+IF(E423&lt;=30%,0,IF(E423&lt;=60%,10,20))+IF(F423=0,0,IF(F423=1,10,25))+IF(G423&gt;=5,0,IF(G423&gt;=2,5,10))+IF(H423/B423&lt;=25%,0,IF(H423/B423&lt;=50%,10,20))+IF(I423=36,0,IF(I423=48,3,6))</f>
        <v/>
      </c>
      <c r="L423" s="2">
        <f>850-K423*3.5</f>
        <v/>
      </c>
      <c r="M423" s="9">
        <f>1/(1+EXP(-(-4.2+0.055*K423)))</f>
        <v/>
      </c>
      <c r="N423" s="2">
        <f>IF(K423&lt;20,"A",IF(K423&lt;40,"B",IF(K423&lt;60,"C",IF(K423&lt;80,"D","E"))))</f>
        <v/>
      </c>
      <c r="O423" s="2">
        <f>IF(OR(N423="D",N423="E"),"Enhanced Review",IF(N423="C","Conditional","Approve"))</f>
        <v/>
      </c>
      <c r="P423" s="8">
        <f>H423*M423*45%</f>
        <v/>
      </c>
      <c r="Q423" s="9">
        <f>H423/B423</f>
        <v/>
      </c>
    </row>
    <row r="424">
      <c r="A424" s="11" t="inlineStr">
        <is>
          <t>B0420</t>
        </is>
      </c>
      <c r="B424" s="12" t="n">
        <v>72161</v>
      </c>
      <c r="C424" s="13" t="n">
        <v>0.3491530257350984</v>
      </c>
      <c r="D424" s="11" t="n">
        <v>663</v>
      </c>
      <c r="E424" s="13" t="n">
        <v>0.3271687918130947</v>
      </c>
      <c r="F424" s="11" t="n">
        <v>1</v>
      </c>
      <c r="G424" s="11" t="n">
        <v>1.6</v>
      </c>
      <c r="H424" s="12" t="n">
        <v>35374</v>
      </c>
      <c r="I424" s="11" t="n">
        <v>36</v>
      </c>
      <c r="J424" s="11" t="n">
        <v>1</v>
      </c>
      <c r="K424" s="2">
        <f>IF(D424&gt;=740,0,IF(D424&gt;=670,15,30))+IF(C424&lt;=25%,0,IF(C424&lt;=40%,15,30))+IF(E424&lt;=30%,0,IF(E424&lt;=60%,10,20))+IF(F424=0,0,IF(F424=1,10,25))+IF(G424&gt;=5,0,IF(G424&gt;=2,5,10))+IF(H424/B424&lt;=25%,0,IF(H424/B424&lt;=50%,10,20))+IF(I424=36,0,IF(I424=48,3,6))</f>
        <v/>
      </c>
      <c r="L424" s="2">
        <f>850-K424*3.5</f>
        <v/>
      </c>
      <c r="M424" s="9">
        <f>1/(1+EXP(-(-4.2+0.055*K424)))</f>
        <v/>
      </c>
      <c r="N424" s="2">
        <f>IF(K424&lt;20,"A",IF(K424&lt;40,"B",IF(K424&lt;60,"C",IF(K424&lt;80,"D","E"))))</f>
        <v/>
      </c>
      <c r="O424" s="2">
        <f>IF(OR(N424="D",N424="E"),"Enhanced Review",IF(N424="C","Conditional","Approve"))</f>
        <v/>
      </c>
      <c r="P424" s="8">
        <f>H424*M424*45%</f>
        <v/>
      </c>
      <c r="Q424" s="9">
        <f>H424/B424</f>
        <v/>
      </c>
    </row>
    <row r="425">
      <c r="A425" s="11" t="inlineStr">
        <is>
          <t>B0421</t>
        </is>
      </c>
      <c r="B425" s="12" t="n">
        <v>50105</v>
      </c>
      <c r="C425" s="13" t="n">
        <v>0.224662575512211</v>
      </c>
      <c r="D425" s="11" t="n">
        <v>639</v>
      </c>
      <c r="E425" s="13" t="n">
        <v>0.7957088217958712</v>
      </c>
      <c r="F425" s="11" t="n">
        <v>0</v>
      </c>
      <c r="G425" s="11" t="n">
        <v>8</v>
      </c>
      <c r="H425" s="12" t="n">
        <v>25338</v>
      </c>
      <c r="I425" s="11" t="n">
        <v>60</v>
      </c>
      <c r="J425" s="11" t="n">
        <v>1</v>
      </c>
      <c r="K425" s="2">
        <f>IF(D425&gt;=740,0,IF(D425&gt;=670,15,30))+IF(C425&lt;=25%,0,IF(C425&lt;=40%,15,30))+IF(E425&lt;=30%,0,IF(E425&lt;=60%,10,20))+IF(F425=0,0,IF(F425=1,10,25))+IF(G425&gt;=5,0,IF(G425&gt;=2,5,10))+IF(H425/B425&lt;=25%,0,IF(H425/B425&lt;=50%,10,20))+IF(I425=36,0,IF(I425=48,3,6))</f>
        <v/>
      </c>
      <c r="L425" s="2">
        <f>850-K425*3.5</f>
        <v/>
      </c>
      <c r="M425" s="9">
        <f>1/(1+EXP(-(-4.2+0.055*K425)))</f>
        <v/>
      </c>
      <c r="N425" s="2">
        <f>IF(K425&lt;20,"A",IF(K425&lt;40,"B",IF(K425&lt;60,"C",IF(K425&lt;80,"D","E"))))</f>
        <v/>
      </c>
      <c r="O425" s="2">
        <f>IF(OR(N425="D",N425="E"),"Enhanced Review",IF(N425="C","Conditional","Approve"))</f>
        <v/>
      </c>
      <c r="P425" s="8">
        <f>H425*M425*45%</f>
        <v/>
      </c>
      <c r="Q425" s="9">
        <f>H425/B425</f>
        <v/>
      </c>
    </row>
    <row r="426">
      <c r="A426" s="11" t="inlineStr">
        <is>
          <t>B0422</t>
        </is>
      </c>
      <c r="B426" s="12" t="n">
        <v>79969</v>
      </c>
      <c r="C426" s="13" t="n">
        <v>0.1052722439051598</v>
      </c>
      <c r="D426" s="11" t="n">
        <v>659</v>
      </c>
      <c r="E426" s="13" t="n">
        <v>0.2755444104541474</v>
      </c>
      <c r="F426" s="11" t="n">
        <v>1</v>
      </c>
      <c r="G426" s="11" t="n">
        <v>7.9</v>
      </c>
      <c r="H426" s="12" t="n">
        <v>26356</v>
      </c>
      <c r="I426" s="11" t="n">
        <v>60</v>
      </c>
      <c r="J426" s="11" t="n">
        <v>1</v>
      </c>
      <c r="K426" s="2">
        <f>IF(D426&gt;=740,0,IF(D426&gt;=670,15,30))+IF(C426&lt;=25%,0,IF(C426&lt;=40%,15,30))+IF(E426&lt;=30%,0,IF(E426&lt;=60%,10,20))+IF(F426=0,0,IF(F426=1,10,25))+IF(G426&gt;=5,0,IF(G426&gt;=2,5,10))+IF(H426/B426&lt;=25%,0,IF(H426/B426&lt;=50%,10,20))+IF(I426=36,0,IF(I426=48,3,6))</f>
        <v/>
      </c>
      <c r="L426" s="2">
        <f>850-K426*3.5</f>
        <v/>
      </c>
      <c r="M426" s="9">
        <f>1/(1+EXP(-(-4.2+0.055*K426)))</f>
        <v/>
      </c>
      <c r="N426" s="2">
        <f>IF(K426&lt;20,"A",IF(K426&lt;40,"B",IF(K426&lt;60,"C",IF(K426&lt;80,"D","E"))))</f>
        <v/>
      </c>
      <c r="O426" s="2">
        <f>IF(OR(N426="D",N426="E"),"Enhanced Review",IF(N426="C","Conditional","Approve"))</f>
        <v/>
      </c>
      <c r="P426" s="8">
        <f>H426*M426*45%</f>
        <v/>
      </c>
      <c r="Q426" s="9">
        <f>H426/B426</f>
        <v/>
      </c>
    </row>
    <row r="427">
      <c r="A427" s="11" t="inlineStr">
        <is>
          <t>B0423</t>
        </is>
      </c>
      <c r="B427" s="12" t="n">
        <v>89880</v>
      </c>
      <c r="C427" s="13" t="n">
        <v>0.319051556868103</v>
      </c>
      <c r="D427" s="11" t="n">
        <v>686</v>
      </c>
      <c r="E427" s="13" t="n">
        <v>0.479307338187264</v>
      </c>
      <c r="F427" s="11" t="n">
        <v>1</v>
      </c>
      <c r="G427" s="11" t="n">
        <v>6.9</v>
      </c>
      <c r="H427" s="12" t="n">
        <v>42517</v>
      </c>
      <c r="I427" s="11" t="n">
        <v>60</v>
      </c>
      <c r="J427" s="11" t="n">
        <v>0</v>
      </c>
      <c r="K427" s="2">
        <f>IF(D427&gt;=740,0,IF(D427&gt;=670,15,30))+IF(C427&lt;=25%,0,IF(C427&lt;=40%,15,30))+IF(E427&lt;=30%,0,IF(E427&lt;=60%,10,20))+IF(F427=0,0,IF(F427=1,10,25))+IF(G427&gt;=5,0,IF(G427&gt;=2,5,10))+IF(H427/B427&lt;=25%,0,IF(H427/B427&lt;=50%,10,20))+IF(I427=36,0,IF(I427=48,3,6))</f>
        <v/>
      </c>
      <c r="L427" s="2">
        <f>850-K427*3.5</f>
        <v/>
      </c>
      <c r="M427" s="9">
        <f>1/(1+EXP(-(-4.2+0.055*K427)))</f>
        <v/>
      </c>
      <c r="N427" s="2">
        <f>IF(K427&lt;20,"A",IF(K427&lt;40,"B",IF(K427&lt;60,"C",IF(K427&lt;80,"D","E"))))</f>
        <v/>
      </c>
      <c r="O427" s="2">
        <f>IF(OR(N427="D",N427="E"),"Enhanced Review",IF(N427="C","Conditional","Approve"))</f>
        <v/>
      </c>
      <c r="P427" s="8">
        <f>H427*M427*45%</f>
        <v/>
      </c>
      <c r="Q427" s="9">
        <f>H427/B427</f>
        <v/>
      </c>
    </row>
    <row r="428">
      <c r="A428" s="11" t="inlineStr">
        <is>
          <t>B0424</t>
        </is>
      </c>
      <c r="B428" s="12" t="n">
        <v>68324</v>
      </c>
      <c r="C428" s="13" t="n">
        <v>0.432648513082059</v>
      </c>
      <c r="D428" s="11" t="n">
        <v>744</v>
      </c>
      <c r="E428" s="13" t="n">
        <v>0.3934033609128157</v>
      </c>
      <c r="F428" s="11" t="n">
        <v>1</v>
      </c>
      <c r="G428" s="11" t="n">
        <v>19.8</v>
      </c>
      <c r="H428" s="12" t="n">
        <v>19887</v>
      </c>
      <c r="I428" s="11" t="n">
        <v>60</v>
      </c>
      <c r="J428" s="11" t="n">
        <v>0</v>
      </c>
      <c r="K428" s="2">
        <f>IF(D428&gt;=740,0,IF(D428&gt;=670,15,30))+IF(C428&lt;=25%,0,IF(C428&lt;=40%,15,30))+IF(E428&lt;=30%,0,IF(E428&lt;=60%,10,20))+IF(F428=0,0,IF(F428=1,10,25))+IF(G428&gt;=5,0,IF(G428&gt;=2,5,10))+IF(H428/B428&lt;=25%,0,IF(H428/B428&lt;=50%,10,20))+IF(I428=36,0,IF(I428=48,3,6))</f>
        <v/>
      </c>
      <c r="L428" s="2">
        <f>850-K428*3.5</f>
        <v/>
      </c>
      <c r="M428" s="9">
        <f>1/(1+EXP(-(-4.2+0.055*K428)))</f>
        <v/>
      </c>
      <c r="N428" s="2">
        <f>IF(K428&lt;20,"A",IF(K428&lt;40,"B",IF(K428&lt;60,"C",IF(K428&lt;80,"D","E"))))</f>
        <v/>
      </c>
      <c r="O428" s="2">
        <f>IF(OR(N428="D",N428="E"),"Enhanced Review",IF(N428="C","Conditional","Approve"))</f>
        <v/>
      </c>
      <c r="P428" s="8">
        <f>H428*M428*45%</f>
        <v/>
      </c>
      <c r="Q428" s="9">
        <f>H428/B428</f>
        <v/>
      </c>
    </row>
    <row r="429">
      <c r="A429" s="11" t="inlineStr">
        <is>
          <t>B0425</t>
        </is>
      </c>
      <c r="B429" s="12" t="n">
        <v>86573</v>
      </c>
      <c r="C429" s="13" t="n">
        <v>0.3919057015350886</v>
      </c>
      <c r="D429" s="11" t="n">
        <v>591</v>
      </c>
      <c r="E429" s="13" t="n">
        <v>0.6291869603516653</v>
      </c>
      <c r="F429" s="11" t="n">
        <v>1</v>
      </c>
      <c r="G429" s="11" t="n">
        <v>10.4</v>
      </c>
      <c r="H429" s="12" t="n">
        <v>35640</v>
      </c>
      <c r="I429" s="11" t="n">
        <v>60</v>
      </c>
      <c r="J429" s="11" t="n">
        <v>1</v>
      </c>
      <c r="K429" s="2">
        <f>IF(D429&gt;=740,0,IF(D429&gt;=670,15,30))+IF(C429&lt;=25%,0,IF(C429&lt;=40%,15,30))+IF(E429&lt;=30%,0,IF(E429&lt;=60%,10,20))+IF(F429=0,0,IF(F429=1,10,25))+IF(G429&gt;=5,0,IF(G429&gt;=2,5,10))+IF(H429/B429&lt;=25%,0,IF(H429/B429&lt;=50%,10,20))+IF(I429=36,0,IF(I429=48,3,6))</f>
        <v/>
      </c>
      <c r="L429" s="2">
        <f>850-K429*3.5</f>
        <v/>
      </c>
      <c r="M429" s="9">
        <f>1/(1+EXP(-(-4.2+0.055*K429)))</f>
        <v/>
      </c>
      <c r="N429" s="2">
        <f>IF(K429&lt;20,"A",IF(K429&lt;40,"B",IF(K429&lt;60,"C",IF(K429&lt;80,"D","E"))))</f>
        <v/>
      </c>
      <c r="O429" s="2">
        <f>IF(OR(N429="D",N429="E"),"Enhanced Review",IF(N429="C","Conditional","Approve"))</f>
        <v/>
      </c>
      <c r="P429" s="8">
        <f>H429*M429*45%</f>
        <v/>
      </c>
      <c r="Q429" s="9">
        <f>H429/B429</f>
        <v/>
      </c>
    </row>
    <row r="430">
      <c r="A430" s="11" t="inlineStr">
        <is>
          <t>B0426</t>
        </is>
      </c>
      <c r="B430" s="12" t="n">
        <v>95034</v>
      </c>
      <c r="C430" s="13" t="n">
        <v>0.06427580115587135</v>
      </c>
      <c r="D430" s="11" t="n">
        <v>774</v>
      </c>
      <c r="E430" s="13" t="n">
        <v>0.7141465656384561</v>
      </c>
      <c r="F430" s="11" t="n">
        <v>2</v>
      </c>
      <c r="G430" s="11" t="n">
        <v>11.7</v>
      </c>
      <c r="H430" s="12" t="n">
        <v>33590</v>
      </c>
      <c r="I430" s="11" t="n">
        <v>60</v>
      </c>
      <c r="J430" s="11" t="n">
        <v>0</v>
      </c>
      <c r="K430" s="2">
        <f>IF(D430&gt;=740,0,IF(D430&gt;=670,15,30))+IF(C430&lt;=25%,0,IF(C430&lt;=40%,15,30))+IF(E430&lt;=30%,0,IF(E430&lt;=60%,10,20))+IF(F430=0,0,IF(F430=1,10,25))+IF(G430&gt;=5,0,IF(G430&gt;=2,5,10))+IF(H430/B430&lt;=25%,0,IF(H430/B430&lt;=50%,10,20))+IF(I430=36,0,IF(I430=48,3,6))</f>
        <v/>
      </c>
      <c r="L430" s="2">
        <f>850-K430*3.5</f>
        <v/>
      </c>
      <c r="M430" s="9">
        <f>1/(1+EXP(-(-4.2+0.055*K430)))</f>
        <v/>
      </c>
      <c r="N430" s="2">
        <f>IF(K430&lt;20,"A",IF(K430&lt;40,"B",IF(K430&lt;60,"C",IF(K430&lt;80,"D","E"))))</f>
        <v/>
      </c>
      <c r="O430" s="2">
        <f>IF(OR(N430="D",N430="E"),"Enhanced Review",IF(N430="C","Conditional","Approve"))</f>
        <v/>
      </c>
      <c r="P430" s="8">
        <f>H430*M430*45%</f>
        <v/>
      </c>
      <c r="Q430" s="9">
        <f>H430/B430</f>
        <v/>
      </c>
    </row>
    <row r="431">
      <c r="A431" s="11" t="inlineStr">
        <is>
          <t>B0427</t>
        </is>
      </c>
      <c r="B431" s="12" t="n">
        <v>163936</v>
      </c>
      <c r="C431" s="13" t="n">
        <v>0.1214626209317237</v>
      </c>
      <c r="D431" s="11" t="n">
        <v>687</v>
      </c>
      <c r="E431" s="13" t="n">
        <v>0.3957567178879598</v>
      </c>
      <c r="F431" s="11" t="n">
        <v>0</v>
      </c>
      <c r="G431" s="11" t="n">
        <v>2</v>
      </c>
      <c r="H431" s="12" t="n">
        <v>19502</v>
      </c>
      <c r="I431" s="11" t="n">
        <v>60</v>
      </c>
      <c r="J431" s="11" t="n">
        <v>0</v>
      </c>
      <c r="K431" s="2">
        <f>IF(D431&gt;=740,0,IF(D431&gt;=670,15,30))+IF(C431&lt;=25%,0,IF(C431&lt;=40%,15,30))+IF(E431&lt;=30%,0,IF(E431&lt;=60%,10,20))+IF(F431=0,0,IF(F431=1,10,25))+IF(G431&gt;=5,0,IF(G431&gt;=2,5,10))+IF(H431/B431&lt;=25%,0,IF(H431/B431&lt;=50%,10,20))+IF(I431=36,0,IF(I431=48,3,6))</f>
        <v/>
      </c>
      <c r="L431" s="2">
        <f>850-K431*3.5</f>
        <v/>
      </c>
      <c r="M431" s="9">
        <f>1/(1+EXP(-(-4.2+0.055*K431)))</f>
        <v/>
      </c>
      <c r="N431" s="2">
        <f>IF(K431&lt;20,"A",IF(K431&lt;40,"B",IF(K431&lt;60,"C",IF(K431&lt;80,"D","E"))))</f>
        <v/>
      </c>
      <c r="O431" s="2">
        <f>IF(OR(N431="D",N431="E"),"Enhanced Review",IF(N431="C","Conditional","Approve"))</f>
        <v/>
      </c>
      <c r="P431" s="8">
        <f>H431*M431*45%</f>
        <v/>
      </c>
      <c r="Q431" s="9">
        <f>H431/B431</f>
        <v/>
      </c>
    </row>
    <row r="432">
      <c r="A432" s="11" t="inlineStr">
        <is>
          <t>B0428</t>
        </is>
      </c>
      <c r="B432" s="12" t="n">
        <v>95995</v>
      </c>
      <c r="C432" s="13" t="n">
        <v>0.3094573847052109</v>
      </c>
      <c r="D432" s="11" t="n">
        <v>664</v>
      </c>
      <c r="E432" s="13" t="n">
        <v>0.6357156539787086</v>
      </c>
      <c r="F432" s="11" t="n">
        <v>0</v>
      </c>
      <c r="G432" s="11" t="n">
        <v>4.6</v>
      </c>
      <c r="H432" s="12" t="n">
        <v>18603</v>
      </c>
      <c r="I432" s="11" t="n">
        <v>60</v>
      </c>
      <c r="J432" s="11" t="n">
        <v>0</v>
      </c>
      <c r="K432" s="2">
        <f>IF(D432&gt;=740,0,IF(D432&gt;=670,15,30))+IF(C432&lt;=25%,0,IF(C432&lt;=40%,15,30))+IF(E432&lt;=30%,0,IF(E432&lt;=60%,10,20))+IF(F432=0,0,IF(F432=1,10,25))+IF(G432&gt;=5,0,IF(G432&gt;=2,5,10))+IF(H432/B432&lt;=25%,0,IF(H432/B432&lt;=50%,10,20))+IF(I432=36,0,IF(I432=48,3,6))</f>
        <v/>
      </c>
      <c r="L432" s="2">
        <f>850-K432*3.5</f>
        <v/>
      </c>
      <c r="M432" s="9">
        <f>1/(1+EXP(-(-4.2+0.055*K432)))</f>
        <v/>
      </c>
      <c r="N432" s="2">
        <f>IF(K432&lt;20,"A",IF(K432&lt;40,"B",IF(K432&lt;60,"C",IF(K432&lt;80,"D","E"))))</f>
        <v/>
      </c>
      <c r="O432" s="2">
        <f>IF(OR(N432="D",N432="E"),"Enhanced Review",IF(N432="C","Conditional","Approve"))</f>
        <v/>
      </c>
      <c r="P432" s="8">
        <f>H432*M432*45%</f>
        <v/>
      </c>
      <c r="Q432" s="9">
        <f>H432/B432</f>
        <v/>
      </c>
    </row>
    <row r="433">
      <c r="A433" s="11" t="inlineStr">
        <is>
          <t>B0429</t>
        </is>
      </c>
      <c r="B433" s="12" t="n">
        <v>92403</v>
      </c>
      <c r="C433" s="13" t="n">
        <v>0.1215360021844539</v>
      </c>
      <c r="D433" s="11" t="n">
        <v>618</v>
      </c>
      <c r="E433" s="13" t="n">
        <v>0.7023905435156597</v>
      </c>
      <c r="F433" s="11" t="n">
        <v>0</v>
      </c>
      <c r="G433" s="11" t="n">
        <v>9.5</v>
      </c>
      <c r="H433" s="12" t="n">
        <v>31831</v>
      </c>
      <c r="I433" s="11" t="n">
        <v>60</v>
      </c>
      <c r="J433" s="11" t="n">
        <v>0</v>
      </c>
      <c r="K433" s="2">
        <f>IF(D433&gt;=740,0,IF(D433&gt;=670,15,30))+IF(C433&lt;=25%,0,IF(C433&lt;=40%,15,30))+IF(E433&lt;=30%,0,IF(E433&lt;=60%,10,20))+IF(F433=0,0,IF(F433=1,10,25))+IF(G433&gt;=5,0,IF(G433&gt;=2,5,10))+IF(H433/B433&lt;=25%,0,IF(H433/B433&lt;=50%,10,20))+IF(I433=36,0,IF(I433=48,3,6))</f>
        <v/>
      </c>
      <c r="L433" s="2">
        <f>850-K433*3.5</f>
        <v/>
      </c>
      <c r="M433" s="9">
        <f>1/(1+EXP(-(-4.2+0.055*K433)))</f>
        <v/>
      </c>
      <c r="N433" s="2">
        <f>IF(K433&lt;20,"A",IF(K433&lt;40,"B",IF(K433&lt;60,"C",IF(K433&lt;80,"D","E"))))</f>
        <v/>
      </c>
      <c r="O433" s="2">
        <f>IF(OR(N433="D",N433="E"),"Enhanced Review",IF(N433="C","Conditional","Approve"))</f>
        <v/>
      </c>
      <c r="P433" s="8">
        <f>H433*M433*45%</f>
        <v/>
      </c>
      <c r="Q433" s="9">
        <f>H433/B433</f>
        <v/>
      </c>
    </row>
    <row r="434">
      <c r="A434" s="11" t="inlineStr">
        <is>
          <t>B0430</t>
        </is>
      </c>
      <c r="B434" s="12" t="n">
        <v>104217</v>
      </c>
      <c r="C434" s="13" t="n">
        <v>0.3301334095652388</v>
      </c>
      <c r="D434" s="11" t="n">
        <v>641</v>
      </c>
      <c r="E434" s="13" t="n">
        <v>0.417259856536465</v>
      </c>
      <c r="F434" s="11" t="n">
        <v>0</v>
      </c>
      <c r="G434" s="11" t="n">
        <v>1.6</v>
      </c>
      <c r="H434" s="12" t="n">
        <v>21869</v>
      </c>
      <c r="I434" s="11" t="n">
        <v>48</v>
      </c>
      <c r="J434" s="11" t="n">
        <v>0</v>
      </c>
      <c r="K434" s="2">
        <f>IF(D434&gt;=740,0,IF(D434&gt;=670,15,30))+IF(C434&lt;=25%,0,IF(C434&lt;=40%,15,30))+IF(E434&lt;=30%,0,IF(E434&lt;=60%,10,20))+IF(F434=0,0,IF(F434=1,10,25))+IF(G434&gt;=5,0,IF(G434&gt;=2,5,10))+IF(H434/B434&lt;=25%,0,IF(H434/B434&lt;=50%,10,20))+IF(I434=36,0,IF(I434=48,3,6))</f>
        <v/>
      </c>
      <c r="L434" s="2">
        <f>850-K434*3.5</f>
        <v/>
      </c>
      <c r="M434" s="9">
        <f>1/(1+EXP(-(-4.2+0.055*K434)))</f>
        <v/>
      </c>
      <c r="N434" s="2">
        <f>IF(K434&lt;20,"A",IF(K434&lt;40,"B",IF(K434&lt;60,"C",IF(K434&lt;80,"D","E"))))</f>
        <v/>
      </c>
      <c r="O434" s="2">
        <f>IF(OR(N434="D",N434="E"),"Enhanced Review",IF(N434="C","Conditional","Approve"))</f>
        <v/>
      </c>
      <c r="P434" s="8">
        <f>H434*M434*45%</f>
        <v/>
      </c>
      <c r="Q434" s="9">
        <f>H434/B434</f>
        <v/>
      </c>
    </row>
    <row r="435">
      <c r="A435" s="11" t="inlineStr">
        <is>
          <t>B0431</t>
        </is>
      </c>
      <c r="B435" s="12" t="n">
        <v>62267</v>
      </c>
      <c r="C435" s="13" t="n">
        <v>0.1501947227713301</v>
      </c>
      <c r="D435" s="11" t="n">
        <v>681</v>
      </c>
      <c r="E435" s="13" t="n">
        <v>0.29726220161249</v>
      </c>
      <c r="F435" s="11" t="n">
        <v>0</v>
      </c>
      <c r="G435" s="11" t="n">
        <v>5.8</v>
      </c>
      <c r="H435" s="12" t="n">
        <v>25895</v>
      </c>
      <c r="I435" s="11" t="n">
        <v>60</v>
      </c>
      <c r="J435" s="11" t="n">
        <v>0</v>
      </c>
      <c r="K435" s="2">
        <f>IF(D435&gt;=740,0,IF(D435&gt;=670,15,30))+IF(C435&lt;=25%,0,IF(C435&lt;=40%,15,30))+IF(E435&lt;=30%,0,IF(E435&lt;=60%,10,20))+IF(F435=0,0,IF(F435=1,10,25))+IF(G435&gt;=5,0,IF(G435&gt;=2,5,10))+IF(H435/B435&lt;=25%,0,IF(H435/B435&lt;=50%,10,20))+IF(I435=36,0,IF(I435=48,3,6))</f>
        <v/>
      </c>
      <c r="L435" s="2">
        <f>850-K435*3.5</f>
        <v/>
      </c>
      <c r="M435" s="9">
        <f>1/(1+EXP(-(-4.2+0.055*K435)))</f>
        <v/>
      </c>
      <c r="N435" s="2">
        <f>IF(K435&lt;20,"A",IF(K435&lt;40,"B",IF(K435&lt;60,"C",IF(K435&lt;80,"D","E"))))</f>
        <v/>
      </c>
      <c r="O435" s="2">
        <f>IF(OR(N435="D",N435="E"),"Enhanced Review",IF(N435="C","Conditional","Approve"))</f>
        <v/>
      </c>
      <c r="P435" s="8">
        <f>H435*M435*45%</f>
        <v/>
      </c>
      <c r="Q435" s="9">
        <f>H435/B435</f>
        <v/>
      </c>
    </row>
    <row r="436">
      <c r="A436" s="11" t="inlineStr">
        <is>
          <t>B0432</t>
        </is>
      </c>
      <c r="B436" s="12" t="n">
        <v>94969</v>
      </c>
      <c r="C436" s="13" t="n">
        <v>0.3218347803529242</v>
      </c>
      <c r="D436" s="11" t="n">
        <v>707</v>
      </c>
      <c r="E436" s="13" t="n">
        <v>0.645573946892968</v>
      </c>
      <c r="F436" s="11" t="n">
        <v>1</v>
      </c>
      <c r="G436" s="11" t="n">
        <v>1.8</v>
      </c>
      <c r="H436" s="12" t="n">
        <v>33445</v>
      </c>
      <c r="I436" s="11" t="n">
        <v>36</v>
      </c>
      <c r="J436" s="11" t="n">
        <v>1</v>
      </c>
      <c r="K436" s="2">
        <f>IF(D436&gt;=740,0,IF(D436&gt;=670,15,30))+IF(C436&lt;=25%,0,IF(C436&lt;=40%,15,30))+IF(E436&lt;=30%,0,IF(E436&lt;=60%,10,20))+IF(F436=0,0,IF(F436=1,10,25))+IF(G436&gt;=5,0,IF(G436&gt;=2,5,10))+IF(H436/B436&lt;=25%,0,IF(H436/B436&lt;=50%,10,20))+IF(I436=36,0,IF(I436=48,3,6))</f>
        <v/>
      </c>
      <c r="L436" s="2">
        <f>850-K436*3.5</f>
        <v/>
      </c>
      <c r="M436" s="9">
        <f>1/(1+EXP(-(-4.2+0.055*K436)))</f>
        <v/>
      </c>
      <c r="N436" s="2">
        <f>IF(K436&lt;20,"A",IF(K436&lt;40,"B",IF(K436&lt;60,"C",IF(K436&lt;80,"D","E"))))</f>
        <v/>
      </c>
      <c r="O436" s="2">
        <f>IF(OR(N436="D",N436="E"),"Enhanced Review",IF(N436="C","Conditional","Approve"))</f>
        <v/>
      </c>
      <c r="P436" s="8">
        <f>H436*M436*45%</f>
        <v/>
      </c>
      <c r="Q436" s="9">
        <f>H436/B436</f>
        <v/>
      </c>
    </row>
    <row r="437">
      <c r="A437" s="11" t="inlineStr">
        <is>
          <t>B0433</t>
        </is>
      </c>
      <c r="B437" s="12" t="n">
        <v>36754</v>
      </c>
      <c r="C437" s="13" t="n">
        <v>0.0712327537746436</v>
      </c>
      <c r="D437" s="11" t="n">
        <v>670</v>
      </c>
      <c r="E437" s="13" t="n">
        <v>0.2653533257431014</v>
      </c>
      <c r="F437" s="11" t="n">
        <v>1</v>
      </c>
      <c r="G437" s="11" t="n">
        <v>2.8</v>
      </c>
      <c r="H437" s="12" t="n">
        <v>16272</v>
      </c>
      <c r="I437" s="11" t="n">
        <v>60</v>
      </c>
      <c r="J437" s="11" t="n">
        <v>0</v>
      </c>
      <c r="K437" s="2">
        <f>IF(D437&gt;=740,0,IF(D437&gt;=670,15,30))+IF(C437&lt;=25%,0,IF(C437&lt;=40%,15,30))+IF(E437&lt;=30%,0,IF(E437&lt;=60%,10,20))+IF(F437=0,0,IF(F437=1,10,25))+IF(G437&gt;=5,0,IF(G437&gt;=2,5,10))+IF(H437/B437&lt;=25%,0,IF(H437/B437&lt;=50%,10,20))+IF(I437=36,0,IF(I437=48,3,6))</f>
        <v/>
      </c>
      <c r="L437" s="2">
        <f>850-K437*3.5</f>
        <v/>
      </c>
      <c r="M437" s="9">
        <f>1/(1+EXP(-(-4.2+0.055*K437)))</f>
        <v/>
      </c>
      <c r="N437" s="2">
        <f>IF(K437&lt;20,"A",IF(K437&lt;40,"B",IF(K437&lt;60,"C",IF(K437&lt;80,"D","E"))))</f>
        <v/>
      </c>
      <c r="O437" s="2">
        <f>IF(OR(N437="D",N437="E"),"Enhanced Review",IF(N437="C","Conditional","Approve"))</f>
        <v/>
      </c>
      <c r="P437" s="8">
        <f>H437*M437*45%</f>
        <v/>
      </c>
      <c r="Q437" s="9">
        <f>H437/B437</f>
        <v/>
      </c>
    </row>
    <row r="438">
      <c r="A438" s="11" t="inlineStr">
        <is>
          <t>B0434</t>
        </is>
      </c>
      <c r="B438" s="12" t="n">
        <v>95382</v>
      </c>
      <c r="C438" s="13" t="n">
        <v>0.3259134038014191</v>
      </c>
      <c r="D438" s="11" t="n">
        <v>725</v>
      </c>
      <c r="E438" s="13" t="n">
        <v>0.1132549433788399</v>
      </c>
      <c r="F438" s="11" t="n">
        <v>0</v>
      </c>
      <c r="G438" s="11" t="n">
        <v>4.5</v>
      </c>
      <c r="H438" s="12" t="n">
        <v>57670</v>
      </c>
      <c r="I438" s="11" t="n">
        <v>36</v>
      </c>
      <c r="J438" s="11" t="n">
        <v>0</v>
      </c>
      <c r="K438" s="2">
        <f>IF(D438&gt;=740,0,IF(D438&gt;=670,15,30))+IF(C438&lt;=25%,0,IF(C438&lt;=40%,15,30))+IF(E438&lt;=30%,0,IF(E438&lt;=60%,10,20))+IF(F438=0,0,IF(F438=1,10,25))+IF(G438&gt;=5,0,IF(G438&gt;=2,5,10))+IF(H438/B438&lt;=25%,0,IF(H438/B438&lt;=50%,10,20))+IF(I438=36,0,IF(I438=48,3,6))</f>
        <v/>
      </c>
      <c r="L438" s="2">
        <f>850-K438*3.5</f>
        <v/>
      </c>
      <c r="M438" s="9">
        <f>1/(1+EXP(-(-4.2+0.055*K438)))</f>
        <v/>
      </c>
      <c r="N438" s="2">
        <f>IF(K438&lt;20,"A",IF(K438&lt;40,"B",IF(K438&lt;60,"C",IF(K438&lt;80,"D","E"))))</f>
        <v/>
      </c>
      <c r="O438" s="2">
        <f>IF(OR(N438="D",N438="E"),"Enhanced Review",IF(N438="C","Conditional","Approve"))</f>
        <v/>
      </c>
      <c r="P438" s="8">
        <f>H438*M438*45%</f>
        <v/>
      </c>
      <c r="Q438" s="9">
        <f>H438/B438</f>
        <v/>
      </c>
    </row>
    <row r="439">
      <c r="A439" s="11" t="inlineStr">
        <is>
          <t>B0435</t>
        </is>
      </c>
      <c r="B439" s="12" t="n">
        <v>47474</v>
      </c>
      <c r="C439" s="13" t="n">
        <v>0.1186602539400708</v>
      </c>
      <c r="D439" s="11" t="n">
        <v>780</v>
      </c>
      <c r="E439" s="13" t="n">
        <v>0.2870253785283496</v>
      </c>
      <c r="F439" s="11" t="n">
        <v>0</v>
      </c>
      <c r="G439" s="11" t="n">
        <v>3.1</v>
      </c>
      <c r="H439" s="12" t="n">
        <v>16584</v>
      </c>
      <c r="I439" s="11" t="n">
        <v>60</v>
      </c>
      <c r="J439" s="11" t="n">
        <v>0</v>
      </c>
      <c r="K439" s="2">
        <f>IF(D439&gt;=740,0,IF(D439&gt;=670,15,30))+IF(C439&lt;=25%,0,IF(C439&lt;=40%,15,30))+IF(E439&lt;=30%,0,IF(E439&lt;=60%,10,20))+IF(F439=0,0,IF(F439=1,10,25))+IF(G439&gt;=5,0,IF(G439&gt;=2,5,10))+IF(H439/B439&lt;=25%,0,IF(H439/B439&lt;=50%,10,20))+IF(I439=36,0,IF(I439=48,3,6))</f>
        <v/>
      </c>
      <c r="L439" s="2">
        <f>850-K439*3.5</f>
        <v/>
      </c>
      <c r="M439" s="9">
        <f>1/(1+EXP(-(-4.2+0.055*K439)))</f>
        <v/>
      </c>
      <c r="N439" s="2">
        <f>IF(K439&lt;20,"A",IF(K439&lt;40,"B",IF(K439&lt;60,"C",IF(K439&lt;80,"D","E"))))</f>
        <v/>
      </c>
      <c r="O439" s="2">
        <f>IF(OR(N439="D",N439="E"),"Enhanced Review",IF(N439="C","Conditional","Approve"))</f>
        <v/>
      </c>
      <c r="P439" s="8">
        <f>H439*M439*45%</f>
        <v/>
      </c>
      <c r="Q439" s="9">
        <f>H439/B439</f>
        <v/>
      </c>
    </row>
    <row r="440">
      <c r="A440" s="11" t="inlineStr">
        <is>
          <t>B0436</t>
        </is>
      </c>
      <c r="B440" s="12" t="n">
        <v>71709</v>
      </c>
      <c r="C440" s="13" t="n">
        <v>0.4096522312981578</v>
      </c>
      <c r="D440" s="11" t="n">
        <v>613</v>
      </c>
      <c r="E440" s="13" t="n">
        <v>0.2749598179330867</v>
      </c>
      <c r="F440" s="11" t="n">
        <v>1</v>
      </c>
      <c r="G440" s="11" t="n">
        <v>19.3</v>
      </c>
      <c r="H440" s="12" t="n">
        <v>16480</v>
      </c>
      <c r="I440" s="11" t="n">
        <v>48</v>
      </c>
      <c r="J440" s="11" t="n">
        <v>0</v>
      </c>
      <c r="K440" s="2">
        <f>IF(D440&gt;=740,0,IF(D440&gt;=670,15,30))+IF(C440&lt;=25%,0,IF(C440&lt;=40%,15,30))+IF(E440&lt;=30%,0,IF(E440&lt;=60%,10,20))+IF(F440=0,0,IF(F440=1,10,25))+IF(G440&gt;=5,0,IF(G440&gt;=2,5,10))+IF(H440/B440&lt;=25%,0,IF(H440/B440&lt;=50%,10,20))+IF(I440=36,0,IF(I440=48,3,6))</f>
        <v/>
      </c>
      <c r="L440" s="2">
        <f>850-K440*3.5</f>
        <v/>
      </c>
      <c r="M440" s="9">
        <f>1/(1+EXP(-(-4.2+0.055*K440)))</f>
        <v/>
      </c>
      <c r="N440" s="2">
        <f>IF(K440&lt;20,"A",IF(K440&lt;40,"B",IF(K440&lt;60,"C",IF(K440&lt;80,"D","E"))))</f>
        <v/>
      </c>
      <c r="O440" s="2">
        <f>IF(OR(N440="D",N440="E"),"Enhanced Review",IF(N440="C","Conditional","Approve"))</f>
        <v/>
      </c>
      <c r="P440" s="8">
        <f>H440*M440*45%</f>
        <v/>
      </c>
      <c r="Q440" s="9">
        <f>H440/B440</f>
        <v/>
      </c>
    </row>
    <row r="441">
      <c r="A441" s="11" t="inlineStr">
        <is>
          <t>B0437</t>
        </is>
      </c>
      <c r="B441" s="12" t="n">
        <v>40804</v>
      </c>
      <c r="C441" s="13" t="n">
        <v>0.3605966184056968</v>
      </c>
      <c r="D441" s="11" t="n">
        <v>802</v>
      </c>
      <c r="E441" s="13" t="n">
        <v>0.2114371325125533</v>
      </c>
      <c r="F441" s="11" t="n">
        <v>0</v>
      </c>
      <c r="G441" s="11" t="n">
        <v>10.8</v>
      </c>
      <c r="H441" s="12" t="n">
        <v>17361</v>
      </c>
      <c r="I441" s="11" t="n">
        <v>48</v>
      </c>
      <c r="J441" s="11" t="n">
        <v>0</v>
      </c>
      <c r="K441" s="2">
        <f>IF(D441&gt;=740,0,IF(D441&gt;=670,15,30))+IF(C441&lt;=25%,0,IF(C441&lt;=40%,15,30))+IF(E441&lt;=30%,0,IF(E441&lt;=60%,10,20))+IF(F441=0,0,IF(F441=1,10,25))+IF(G441&gt;=5,0,IF(G441&gt;=2,5,10))+IF(H441/B441&lt;=25%,0,IF(H441/B441&lt;=50%,10,20))+IF(I441=36,0,IF(I441=48,3,6))</f>
        <v/>
      </c>
      <c r="L441" s="2">
        <f>850-K441*3.5</f>
        <v/>
      </c>
      <c r="M441" s="9">
        <f>1/(1+EXP(-(-4.2+0.055*K441)))</f>
        <v/>
      </c>
      <c r="N441" s="2">
        <f>IF(K441&lt;20,"A",IF(K441&lt;40,"B",IF(K441&lt;60,"C",IF(K441&lt;80,"D","E"))))</f>
        <v/>
      </c>
      <c r="O441" s="2">
        <f>IF(OR(N441="D",N441="E"),"Enhanced Review",IF(N441="C","Conditional","Approve"))</f>
        <v/>
      </c>
      <c r="P441" s="8">
        <f>H441*M441*45%</f>
        <v/>
      </c>
      <c r="Q441" s="9">
        <f>H441/B441</f>
        <v/>
      </c>
    </row>
    <row r="442">
      <c r="A442" s="11" t="inlineStr">
        <is>
          <t>B0438</t>
        </is>
      </c>
      <c r="B442" s="12" t="n">
        <v>118182</v>
      </c>
      <c r="C442" s="13" t="n">
        <v>0.461099405122108</v>
      </c>
      <c r="D442" s="11" t="n">
        <v>586</v>
      </c>
      <c r="E442" s="13" t="n">
        <v>0.6349344709659714</v>
      </c>
      <c r="F442" s="11" t="n">
        <v>0</v>
      </c>
      <c r="G442" s="11" t="n">
        <v>5</v>
      </c>
      <c r="H442" s="12" t="n">
        <v>16051</v>
      </c>
      <c r="I442" s="11" t="n">
        <v>60</v>
      </c>
      <c r="J442" s="11" t="n">
        <v>0</v>
      </c>
      <c r="K442" s="2">
        <f>IF(D442&gt;=740,0,IF(D442&gt;=670,15,30))+IF(C442&lt;=25%,0,IF(C442&lt;=40%,15,30))+IF(E442&lt;=30%,0,IF(E442&lt;=60%,10,20))+IF(F442=0,0,IF(F442=1,10,25))+IF(G442&gt;=5,0,IF(G442&gt;=2,5,10))+IF(H442/B442&lt;=25%,0,IF(H442/B442&lt;=50%,10,20))+IF(I442=36,0,IF(I442=48,3,6))</f>
        <v/>
      </c>
      <c r="L442" s="2">
        <f>850-K442*3.5</f>
        <v/>
      </c>
      <c r="M442" s="9">
        <f>1/(1+EXP(-(-4.2+0.055*K442)))</f>
        <v/>
      </c>
      <c r="N442" s="2">
        <f>IF(K442&lt;20,"A",IF(K442&lt;40,"B",IF(K442&lt;60,"C",IF(K442&lt;80,"D","E"))))</f>
        <v/>
      </c>
      <c r="O442" s="2">
        <f>IF(OR(N442="D",N442="E"),"Enhanced Review",IF(N442="C","Conditional","Approve"))</f>
        <v/>
      </c>
      <c r="P442" s="8">
        <f>H442*M442*45%</f>
        <v/>
      </c>
      <c r="Q442" s="9">
        <f>H442/B442</f>
        <v/>
      </c>
    </row>
    <row r="443">
      <c r="A443" s="11" t="inlineStr">
        <is>
          <t>B0439</t>
        </is>
      </c>
      <c r="B443" s="12" t="n">
        <v>122748</v>
      </c>
      <c r="C443" s="13" t="n">
        <v>0.06301944354635662</v>
      </c>
      <c r="D443" s="11" t="n">
        <v>736</v>
      </c>
      <c r="E443" s="13" t="n">
        <v>0.4094915431006999</v>
      </c>
      <c r="F443" s="11" t="n">
        <v>0</v>
      </c>
      <c r="G443" s="11" t="n">
        <v>13.5</v>
      </c>
      <c r="H443" s="12" t="n">
        <v>89524</v>
      </c>
      <c r="I443" s="11" t="n">
        <v>36</v>
      </c>
      <c r="J443" s="11" t="n">
        <v>0</v>
      </c>
      <c r="K443" s="2">
        <f>IF(D443&gt;=740,0,IF(D443&gt;=670,15,30))+IF(C443&lt;=25%,0,IF(C443&lt;=40%,15,30))+IF(E443&lt;=30%,0,IF(E443&lt;=60%,10,20))+IF(F443=0,0,IF(F443=1,10,25))+IF(G443&gt;=5,0,IF(G443&gt;=2,5,10))+IF(H443/B443&lt;=25%,0,IF(H443/B443&lt;=50%,10,20))+IF(I443=36,0,IF(I443=48,3,6))</f>
        <v/>
      </c>
      <c r="L443" s="2">
        <f>850-K443*3.5</f>
        <v/>
      </c>
      <c r="M443" s="9">
        <f>1/(1+EXP(-(-4.2+0.055*K443)))</f>
        <v/>
      </c>
      <c r="N443" s="2">
        <f>IF(K443&lt;20,"A",IF(K443&lt;40,"B",IF(K443&lt;60,"C",IF(K443&lt;80,"D","E"))))</f>
        <v/>
      </c>
      <c r="O443" s="2">
        <f>IF(OR(N443="D",N443="E"),"Enhanced Review",IF(N443="C","Conditional","Approve"))</f>
        <v/>
      </c>
      <c r="P443" s="8">
        <f>H443*M443*45%</f>
        <v/>
      </c>
      <c r="Q443" s="9">
        <f>H443/B443</f>
        <v/>
      </c>
    </row>
    <row r="444">
      <c r="A444" s="11" t="inlineStr">
        <is>
          <t>B0440</t>
        </is>
      </c>
      <c r="B444" s="12" t="n">
        <v>56924</v>
      </c>
      <c r="C444" s="13" t="n">
        <v>0.2920892743505807</v>
      </c>
      <c r="D444" s="11" t="n">
        <v>756</v>
      </c>
      <c r="E444" s="13" t="n">
        <v>0.6013860987229718</v>
      </c>
      <c r="F444" s="11" t="n">
        <v>1</v>
      </c>
      <c r="G444" s="11" t="n">
        <v>6</v>
      </c>
      <c r="H444" s="12" t="n">
        <v>8270</v>
      </c>
      <c r="I444" s="11" t="n">
        <v>60</v>
      </c>
      <c r="J444" s="11" t="n">
        <v>0</v>
      </c>
      <c r="K444" s="2">
        <f>IF(D444&gt;=740,0,IF(D444&gt;=670,15,30))+IF(C444&lt;=25%,0,IF(C444&lt;=40%,15,30))+IF(E444&lt;=30%,0,IF(E444&lt;=60%,10,20))+IF(F444=0,0,IF(F444=1,10,25))+IF(G444&gt;=5,0,IF(G444&gt;=2,5,10))+IF(H444/B444&lt;=25%,0,IF(H444/B444&lt;=50%,10,20))+IF(I444=36,0,IF(I444=48,3,6))</f>
        <v/>
      </c>
      <c r="L444" s="2">
        <f>850-K444*3.5</f>
        <v/>
      </c>
      <c r="M444" s="9">
        <f>1/(1+EXP(-(-4.2+0.055*K444)))</f>
        <v/>
      </c>
      <c r="N444" s="2">
        <f>IF(K444&lt;20,"A",IF(K444&lt;40,"B",IF(K444&lt;60,"C",IF(K444&lt;80,"D","E"))))</f>
        <v/>
      </c>
      <c r="O444" s="2">
        <f>IF(OR(N444="D",N444="E"),"Enhanced Review",IF(N444="C","Conditional","Approve"))</f>
        <v/>
      </c>
      <c r="P444" s="8">
        <f>H444*M444*45%</f>
        <v/>
      </c>
      <c r="Q444" s="9">
        <f>H444/B444</f>
        <v/>
      </c>
    </row>
    <row r="445">
      <c r="A445" s="11" t="inlineStr">
        <is>
          <t>B0441</t>
        </is>
      </c>
      <c r="B445" s="12" t="n">
        <v>44926</v>
      </c>
      <c r="C445" s="13" t="n">
        <v>0.1464714864472283</v>
      </c>
      <c r="D445" s="11" t="n">
        <v>671</v>
      </c>
      <c r="E445" s="13" t="n">
        <v>0.3897222541239594</v>
      </c>
      <c r="F445" s="11" t="n">
        <v>2</v>
      </c>
      <c r="G445" s="11" t="n">
        <v>2.3</v>
      </c>
      <c r="H445" s="12" t="n">
        <v>39787</v>
      </c>
      <c r="I445" s="11" t="n">
        <v>60</v>
      </c>
      <c r="J445" s="11" t="n">
        <v>0</v>
      </c>
      <c r="K445" s="2">
        <f>IF(D445&gt;=740,0,IF(D445&gt;=670,15,30))+IF(C445&lt;=25%,0,IF(C445&lt;=40%,15,30))+IF(E445&lt;=30%,0,IF(E445&lt;=60%,10,20))+IF(F445=0,0,IF(F445=1,10,25))+IF(G445&gt;=5,0,IF(G445&gt;=2,5,10))+IF(H445/B445&lt;=25%,0,IF(H445/B445&lt;=50%,10,20))+IF(I445=36,0,IF(I445=48,3,6))</f>
        <v/>
      </c>
      <c r="L445" s="2">
        <f>850-K445*3.5</f>
        <v/>
      </c>
      <c r="M445" s="9">
        <f>1/(1+EXP(-(-4.2+0.055*K445)))</f>
        <v/>
      </c>
      <c r="N445" s="2">
        <f>IF(K445&lt;20,"A",IF(K445&lt;40,"B",IF(K445&lt;60,"C",IF(K445&lt;80,"D","E"))))</f>
        <v/>
      </c>
      <c r="O445" s="2">
        <f>IF(OR(N445="D",N445="E"),"Enhanced Review",IF(N445="C","Conditional","Approve"))</f>
        <v/>
      </c>
      <c r="P445" s="8">
        <f>H445*M445*45%</f>
        <v/>
      </c>
      <c r="Q445" s="9">
        <f>H445/B445</f>
        <v/>
      </c>
    </row>
    <row r="446">
      <c r="A446" s="11" t="inlineStr">
        <is>
          <t>B0442</t>
        </is>
      </c>
      <c r="B446" s="12" t="n">
        <v>89895</v>
      </c>
      <c r="C446" s="13" t="n">
        <v>0.08673803505600367</v>
      </c>
      <c r="D446" s="11" t="n">
        <v>751</v>
      </c>
      <c r="E446" s="13" t="n">
        <v>0.3956018877524995</v>
      </c>
      <c r="F446" s="11" t="n">
        <v>2</v>
      </c>
      <c r="G446" s="11" t="n">
        <v>2.6</v>
      </c>
      <c r="H446" s="12" t="n">
        <v>8076</v>
      </c>
      <c r="I446" s="11" t="n">
        <v>48</v>
      </c>
      <c r="J446" s="11" t="n">
        <v>0</v>
      </c>
      <c r="K446" s="2">
        <f>IF(D446&gt;=740,0,IF(D446&gt;=670,15,30))+IF(C446&lt;=25%,0,IF(C446&lt;=40%,15,30))+IF(E446&lt;=30%,0,IF(E446&lt;=60%,10,20))+IF(F446=0,0,IF(F446=1,10,25))+IF(G446&gt;=5,0,IF(G446&gt;=2,5,10))+IF(H446/B446&lt;=25%,0,IF(H446/B446&lt;=50%,10,20))+IF(I446=36,0,IF(I446=48,3,6))</f>
        <v/>
      </c>
      <c r="L446" s="2">
        <f>850-K446*3.5</f>
        <v/>
      </c>
      <c r="M446" s="9">
        <f>1/(1+EXP(-(-4.2+0.055*K446)))</f>
        <v/>
      </c>
      <c r="N446" s="2">
        <f>IF(K446&lt;20,"A",IF(K446&lt;40,"B",IF(K446&lt;60,"C",IF(K446&lt;80,"D","E"))))</f>
        <v/>
      </c>
      <c r="O446" s="2">
        <f>IF(OR(N446="D",N446="E"),"Enhanced Review",IF(N446="C","Conditional","Approve"))</f>
        <v/>
      </c>
      <c r="P446" s="8">
        <f>H446*M446*45%</f>
        <v/>
      </c>
      <c r="Q446" s="9">
        <f>H446/B446</f>
        <v/>
      </c>
    </row>
    <row r="447">
      <c r="A447" s="11" t="inlineStr">
        <is>
          <t>B0443</t>
        </is>
      </c>
      <c r="B447" s="12" t="n">
        <v>53771</v>
      </c>
      <c r="C447" s="13" t="n">
        <v>0.1680141455113613</v>
      </c>
      <c r="D447" s="11" t="n">
        <v>780</v>
      </c>
      <c r="E447" s="13" t="n">
        <v>0.2538141208166751</v>
      </c>
      <c r="F447" s="11" t="n">
        <v>0</v>
      </c>
      <c r="G447" s="11" t="n">
        <v>16.3</v>
      </c>
      <c r="H447" s="12" t="n">
        <v>13173</v>
      </c>
      <c r="I447" s="11" t="n">
        <v>36</v>
      </c>
      <c r="J447" s="11" t="n">
        <v>0</v>
      </c>
      <c r="K447" s="2">
        <f>IF(D447&gt;=740,0,IF(D447&gt;=670,15,30))+IF(C447&lt;=25%,0,IF(C447&lt;=40%,15,30))+IF(E447&lt;=30%,0,IF(E447&lt;=60%,10,20))+IF(F447=0,0,IF(F447=1,10,25))+IF(G447&gt;=5,0,IF(G447&gt;=2,5,10))+IF(H447/B447&lt;=25%,0,IF(H447/B447&lt;=50%,10,20))+IF(I447=36,0,IF(I447=48,3,6))</f>
        <v/>
      </c>
      <c r="L447" s="2">
        <f>850-K447*3.5</f>
        <v/>
      </c>
      <c r="M447" s="9">
        <f>1/(1+EXP(-(-4.2+0.055*K447)))</f>
        <v/>
      </c>
      <c r="N447" s="2">
        <f>IF(K447&lt;20,"A",IF(K447&lt;40,"B",IF(K447&lt;60,"C",IF(K447&lt;80,"D","E"))))</f>
        <v/>
      </c>
      <c r="O447" s="2">
        <f>IF(OR(N447="D",N447="E"),"Enhanced Review",IF(N447="C","Conditional","Approve"))</f>
        <v/>
      </c>
      <c r="P447" s="8">
        <f>H447*M447*45%</f>
        <v/>
      </c>
      <c r="Q447" s="9">
        <f>H447/B447</f>
        <v/>
      </c>
    </row>
    <row r="448">
      <c r="A448" s="11" t="inlineStr">
        <is>
          <t>B0444</t>
        </is>
      </c>
      <c r="B448" s="12" t="n">
        <v>92910</v>
      </c>
      <c r="C448" s="13" t="n">
        <v>0.2989934680239731</v>
      </c>
      <c r="D448" s="11" t="n">
        <v>635</v>
      </c>
      <c r="E448" s="13" t="n">
        <v>0.3392218000275228</v>
      </c>
      <c r="F448" s="11" t="n">
        <v>0</v>
      </c>
      <c r="G448" s="11" t="n">
        <v>11.9</v>
      </c>
      <c r="H448" s="12" t="n">
        <v>16955</v>
      </c>
      <c r="I448" s="11" t="n">
        <v>48</v>
      </c>
      <c r="J448" s="11" t="n">
        <v>0</v>
      </c>
      <c r="K448" s="2">
        <f>IF(D448&gt;=740,0,IF(D448&gt;=670,15,30))+IF(C448&lt;=25%,0,IF(C448&lt;=40%,15,30))+IF(E448&lt;=30%,0,IF(E448&lt;=60%,10,20))+IF(F448=0,0,IF(F448=1,10,25))+IF(G448&gt;=5,0,IF(G448&gt;=2,5,10))+IF(H448/B448&lt;=25%,0,IF(H448/B448&lt;=50%,10,20))+IF(I448=36,0,IF(I448=48,3,6))</f>
        <v/>
      </c>
      <c r="L448" s="2">
        <f>850-K448*3.5</f>
        <v/>
      </c>
      <c r="M448" s="9">
        <f>1/(1+EXP(-(-4.2+0.055*K448)))</f>
        <v/>
      </c>
      <c r="N448" s="2">
        <f>IF(K448&lt;20,"A",IF(K448&lt;40,"B",IF(K448&lt;60,"C",IF(K448&lt;80,"D","E"))))</f>
        <v/>
      </c>
      <c r="O448" s="2">
        <f>IF(OR(N448="D",N448="E"),"Enhanced Review",IF(N448="C","Conditional","Approve"))</f>
        <v/>
      </c>
      <c r="P448" s="8">
        <f>H448*M448*45%</f>
        <v/>
      </c>
      <c r="Q448" s="9">
        <f>H448/B448</f>
        <v/>
      </c>
    </row>
    <row r="449">
      <c r="A449" s="11" t="inlineStr">
        <is>
          <t>B0445</t>
        </is>
      </c>
      <c r="B449" s="12" t="n">
        <v>79514</v>
      </c>
      <c r="C449" s="13" t="n">
        <v>0.3666014297405605</v>
      </c>
      <c r="D449" s="11" t="n">
        <v>722</v>
      </c>
      <c r="E449" s="13" t="n">
        <v>0.4178527840163159</v>
      </c>
      <c r="F449" s="11" t="n">
        <v>0</v>
      </c>
      <c r="G449" s="11" t="n">
        <v>13.3</v>
      </c>
      <c r="H449" s="12" t="n">
        <v>36870</v>
      </c>
      <c r="I449" s="11" t="n">
        <v>48</v>
      </c>
      <c r="J449" s="11" t="n">
        <v>0</v>
      </c>
      <c r="K449" s="2">
        <f>IF(D449&gt;=740,0,IF(D449&gt;=670,15,30))+IF(C449&lt;=25%,0,IF(C449&lt;=40%,15,30))+IF(E449&lt;=30%,0,IF(E449&lt;=60%,10,20))+IF(F449=0,0,IF(F449=1,10,25))+IF(G449&gt;=5,0,IF(G449&gt;=2,5,10))+IF(H449/B449&lt;=25%,0,IF(H449/B449&lt;=50%,10,20))+IF(I449=36,0,IF(I449=48,3,6))</f>
        <v/>
      </c>
      <c r="L449" s="2">
        <f>850-K449*3.5</f>
        <v/>
      </c>
      <c r="M449" s="9">
        <f>1/(1+EXP(-(-4.2+0.055*K449)))</f>
        <v/>
      </c>
      <c r="N449" s="2">
        <f>IF(K449&lt;20,"A",IF(K449&lt;40,"B",IF(K449&lt;60,"C",IF(K449&lt;80,"D","E"))))</f>
        <v/>
      </c>
      <c r="O449" s="2">
        <f>IF(OR(N449="D",N449="E"),"Enhanced Review",IF(N449="C","Conditional","Approve"))</f>
        <v/>
      </c>
      <c r="P449" s="8">
        <f>H449*M449*45%</f>
        <v/>
      </c>
      <c r="Q449" s="9">
        <f>H449/B449</f>
        <v/>
      </c>
    </row>
    <row r="450">
      <c r="A450" s="11" t="inlineStr">
        <is>
          <t>B0446</t>
        </is>
      </c>
      <c r="B450" s="12" t="n">
        <v>112119</v>
      </c>
      <c r="C450" s="13" t="n">
        <v>0.1250331258639751</v>
      </c>
      <c r="D450" s="11" t="n">
        <v>673</v>
      </c>
      <c r="E450" s="13" t="n">
        <v>0.2956374510891727</v>
      </c>
      <c r="F450" s="11" t="n">
        <v>0</v>
      </c>
      <c r="G450" s="11" t="n">
        <v>13.4</v>
      </c>
      <c r="H450" s="12" t="n">
        <v>24954</v>
      </c>
      <c r="I450" s="11" t="n">
        <v>36</v>
      </c>
      <c r="J450" s="11" t="n">
        <v>0</v>
      </c>
      <c r="K450" s="2">
        <f>IF(D450&gt;=740,0,IF(D450&gt;=670,15,30))+IF(C450&lt;=25%,0,IF(C450&lt;=40%,15,30))+IF(E450&lt;=30%,0,IF(E450&lt;=60%,10,20))+IF(F450=0,0,IF(F450=1,10,25))+IF(G450&gt;=5,0,IF(G450&gt;=2,5,10))+IF(H450/B450&lt;=25%,0,IF(H450/B450&lt;=50%,10,20))+IF(I450=36,0,IF(I450=48,3,6))</f>
        <v/>
      </c>
      <c r="L450" s="2">
        <f>850-K450*3.5</f>
        <v/>
      </c>
      <c r="M450" s="9">
        <f>1/(1+EXP(-(-4.2+0.055*K450)))</f>
        <v/>
      </c>
      <c r="N450" s="2">
        <f>IF(K450&lt;20,"A",IF(K450&lt;40,"B",IF(K450&lt;60,"C",IF(K450&lt;80,"D","E"))))</f>
        <v/>
      </c>
      <c r="O450" s="2">
        <f>IF(OR(N450="D",N450="E"),"Enhanced Review",IF(N450="C","Conditional","Approve"))</f>
        <v/>
      </c>
      <c r="P450" s="8">
        <f>H450*M450*45%</f>
        <v/>
      </c>
      <c r="Q450" s="9">
        <f>H450/B450</f>
        <v/>
      </c>
    </row>
    <row r="451">
      <c r="A451" s="11" t="inlineStr">
        <is>
          <t>B0447</t>
        </is>
      </c>
      <c r="B451" s="12" t="n">
        <v>34769</v>
      </c>
      <c r="C451" s="13" t="n">
        <v>0.07016652532160189</v>
      </c>
      <c r="D451" s="11" t="n">
        <v>665</v>
      </c>
      <c r="E451" s="13" t="n">
        <v>0.615722884422259</v>
      </c>
      <c r="F451" s="11" t="n">
        <v>1</v>
      </c>
      <c r="G451" s="11" t="n">
        <v>18.9</v>
      </c>
      <c r="H451" s="12" t="n">
        <v>21451</v>
      </c>
      <c r="I451" s="11" t="n">
        <v>60</v>
      </c>
      <c r="J451" s="11" t="n">
        <v>1</v>
      </c>
      <c r="K451" s="2">
        <f>IF(D451&gt;=740,0,IF(D451&gt;=670,15,30))+IF(C451&lt;=25%,0,IF(C451&lt;=40%,15,30))+IF(E451&lt;=30%,0,IF(E451&lt;=60%,10,20))+IF(F451=0,0,IF(F451=1,10,25))+IF(G451&gt;=5,0,IF(G451&gt;=2,5,10))+IF(H451/B451&lt;=25%,0,IF(H451/B451&lt;=50%,10,20))+IF(I451=36,0,IF(I451=48,3,6))</f>
        <v/>
      </c>
      <c r="L451" s="2">
        <f>850-K451*3.5</f>
        <v/>
      </c>
      <c r="M451" s="9">
        <f>1/(1+EXP(-(-4.2+0.055*K451)))</f>
        <v/>
      </c>
      <c r="N451" s="2">
        <f>IF(K451&lt;20,"A",IF(K451&lt;40,"B",IF(K451&lt;60,"C",IF(K451&lt;80,"D","E"))))</f>
        <v/>
      </c>
      <c r="O451" s="2">
        <f>IF(OR(N451="D",N451="E"),"Enhanced Review",IF(N451="C","Conditional","Approve"))</f>
        <v/>
      </c>
      <c r="P451" s="8">
        <f>H451*M451*45%</f>
        <v/>
      </c>
      <c r="Q451" s="9">
        <f>H451/B451</f>
        <v/>
      </c>
    </row>
    <row r="452">
      <c r="A452" s="11" t="inlineStr">
        <is>
          <t>B0448</t>
        </is>
      </c>
      <c r="B452" s="12" t="n">
        <v>81854</v>
      </c>
      <c r="C452" s="13" t="n">
        <v>0.2288881393344144</v>
      </c>
      <c r="D452" s="11" t="n">
        <v>609</v>
      </c>
      <c r="E452" s="13" t="n">
        <v>0.6439151445569465</v>
      </c>
      <c r="F452" s="11" t="n">
        <v>1</v>
      </c>
      <c r="G452" s="11" t="n">
        <v>1.6</v>
      </c>
      <c r="H452" s="12" t="n">
        <v>16072</v>
      </c>
      <c r="I452" s="11" t="n">
        <v>36</v>
      </c>
      <c r="J452" s="11" t="n">
        <v>0</v>
      </c>
      <c r="K452" s="2">
        <f>IF(D452&gt;=740,0,IF(D452&gt;=670,15,30))+IF(C452&lt;=25%,0,IF(C452&lt;=40%,15,30))+IF(E452&lt;=30%,0,IF(E452&lt;=60%,10,20))+IF(F452=0,0,IF(F452=1,10,25))+IF(G452&gt;=5,0,IF(G452&gt;=2,5,10))+IF(H452/B452&lt;=25%,0,IF(H452/B452&lt;=50%,10,20))+IF(I452=36,0,IF(I452=48,3,6))</f>
        <v/>
      </c>
      <c r="L452" s="2">
        <f>850-K452*3.5</f>
        <v/>
      </c>
      <c r="M452" s="9">
        <f>1/(1+EXP(-(-4.2+0.055*K452)))</f>
        <v/>
      </c>
      <c r="N452" s="2">
        <f>IF(K452&lt;20,"A",IF(K452&lt;40,"B",IF(K452&lt;60,"C",IF(K452&lt;80,"D","E"))))</f>
        <v/>
      </c>
      <c r="O452" s="2">
        <f>IF(OR(N452="D",N452="E"),"Enhanced Review",IF(N452="C","Conditional","Approve"))</f>
        <v/>
      </c>
      <c r="P452" s="8">
        <f>H452*M452*45%</f>
        <v/>
      </c>
      <c r="Q452" s="9">
        <f>H452/B452</f>
        <v/>
      </c>
    </row>
    <row r="453">
      <c r="A453" s="11" t="inlineStr">
        <is>
          <t>B0449</t>
        </is>
      </c>
      <c r="B453" s="12" t="n">
        <v>93274</v>
      </c>
      <c r="C453" s="13" t="n">
        <v>0.2479784696280849</v>
      </c>
      <c r="D453" s="11" t="n">
        <v>725</v>
      </c>
      <c r="E453" s="13" t="n">
        <v>0.7461672078147713</v>
      </c>
      <c r="F453" s="11" t="n">
        <v>2</v>
      </c>
      <c r="G453" s="11" t="n">
        <v>5.6</v>
      </c>
      <c r="H453" s="12" t="n">
        <v>16590</v>
      </c>
      <c r="I453" s="11" t="n">
        <v>36</v>
      </c>
      <c r="J453" s="11" t="n">
        <v>0</v>
      </c>
      <c r="K453" s="2">
        <f>IF(D453&gt;=740,0,IF(D453&gt;=670,15,30))+IF(C453&lt;=25%,0,IF(C453&lt;=40%,15,30))+IF(E453&lt;=30%,0,IF(E453&lt;=60%,10,20))+IF(F453=0,0,IF(F453=1,10,25))+IF(G453&gt;=5,0,IF(G453&gt;=2,5,10))+IF(H453/B453&lt;=25%,0,IF(H453/B453&lt;=50%,10,20))+IF(I453=36,0,IF(I453=48,3,6))</f>
        <v/>
      </c>
      <c r="L453" s="2">
        <f>850-K453*3.5</f>
        <v/>
      </c>
      <c r="M453" s="9">
        <f>1/(1+EXP(-(-4.2+0.055*K453)))</f>
        <v/>
      </c>
      <c r="N453" s="2">
        <f>IF(K453&lt;20,"A",IF(K453&lt;40,"B",IF(K453&lt;60,"C",IF(K453&lt;80,"D","E"))))</f>
        <v/>
      </c>
      <c r="O453" s="2">
        <f>IF(OR(N453="D",N453="E"),"Enhanced Review",IF(N453="C","Conditional","Approve"))</f>
        <v/>
      </c>
      <c r="P453" s="8">
        <f>H453*M453*45%</f>
        <v/>
      </c>
      <c r="Q453" s="9">
        <f>H453/B453</f>
        <v/>
      </c>
    </row>
    <row r="454">
      <c r="A454" s="11" t="inlineStr">
        <is>
          <t>B0450</t>
        </is>
      </c>
      <c r="B454" s="12" t="n">
        <v>22000</v>
      </c>
      <c r="C454" s="13" t="n">
        <v>0.03517246308212728</v>
      </c>
      <c r="D454" s="11" t="n">
        <v>690</v>
      </c>
      <c r="E454" s="13" t="n">
        <v>0.2935935364573015</v>
      </c>
      <c r="F454" s="11" t="n">
        <v>0</v>
      </c>
      <c r="G454" s="11" t="n">
        <v>18.2</v>
      </c>
      <c r="H454" s="12" t="n">
        <v>21626</v>
      </c>
      <c r="I454" s="11" t="n">
        <v>36</v>
      </c>
      <c r="J454" s="11" t="n">
        <v>0</v>
      </c>
      <c r="K454" s="2">
        <f>IF(D454&gt;=740,0,IF(D454&gt;=670,15,30))+IF(C454&lt;=25%,0,IF(C454&lt;=40%,15,30))+IF(E454&lt;=30%,0,IF(E454&lt;=60%,10,20))+IF(F454=0,0,IF(F454=1,10,25))+IF(G454&gt;=5,0,IF(G454&gt;=2,5,10))+IF(H454/B454&lt;=25%,0,IF(H454/B454&lt;=50%,10,20))+IF(I454=36,0,IF(I454=48,3,6))</f>
        <v/>
      </c>
      <c r="L454" s="2">
        <f>850-K454*3.5</f>
        <v/>
      </c>
      <c r="M454" s="9">
        <f>1/(1+EXP(-(-4.2+0.055*K454)))</f>
        <v/>
      </c>
      <c r="N454" s="2">
        <f>IF(K454&lt;20,"A",IF(K454&lt;40,"B",IF(K454&lt;60,"C",IF(K454&lt;80,"D","E"))))</f>
        <v/>
      </c>
      <c r="O454" s="2">
        <f>IF(OR(N454="D",N454="E"),"Enhanced Review",IF(N454="C","Conditional","Approve"))</f>
        <v/>
      </c>
      <c r="P454" s="8">
        <f>H454*M454*45%</f>
        <v/>
      </c>
      <c r="Q454" s="9">
        <f>H454/B454</f>
        <v/>
      </c>
    </row>
    <row r="455">
      <c r="A455" s="11" t="inlineStr">
        <is>
          <t>B0451</t>
        </is>
      </c>
      <c r="B455" s="12" t="n">
        <v>38211</v>
      </c>
      <c r="C455" s="13" t="n">
        <v>0.3412296035448169</v>
      </c>
      <c r="D455" s="11" t="n">
        <v>618</v>
      </c>
      <c r="E455" s="13" t="n">
        <v>0.541005386563445</v>
      </c>
      <c r="F455" s="11" t="n">
        <v>2</v>
      </c>
      <c r="G455" s="11" t="n">
        <v>4.2</v>
      </c>
      <c r="H455" s="12" t="n">
        <v>56158</v>
      </c>
      <c r="I455" s="11" t="n">
        <v>48</v>
      </c>
      <c r="J455" s="11" t="n">
        <v>1</v>
      </c>
      <c r="K455" s="2">
        <f>IF(D455&gt;=740,0,IF(D455&gt;=670,15,30))+IF(C455&lt;=25%,0,IF(C455&lt;=40%,15,30))+IF(E455&lt;=30%,0,IF(E455&lt;=60%,10,20))+IF(F455=0,0,IF(F455=1,10,25))+IF(G455&gt;=5,0,IF(G455&gt;=2,5,10))+IF(H455/B455&lt;=25%,0,IF(H455/B455&lt;=50%,10,20))+IF(I455=36,0,IF(I455=48,3,6))</f>
        <v/>
      </c>
      <c r="L455" s="2">
        <f>850-K455*3.5</f>
        <v/>
      </c>
      <c r="M455" s="9">
        <f>1/(1+EXP(-(-4.2+0.055*K455)))</f>
        <v/>
      </c>
      <c r="N455" s="2">
        <f>IF(K455&lt;20,"A",IF(K455&lt;40,"B",IF(K455&lt;60,"C",IF(K455&lt;80,"D","E"))))</f>
        <v/>
      </c>
      <c r="O455" s="2">
        <f>IF(OR(N455="D",N455="E"),"Enhanced Review",IF(N455="C","Conditional","Approve"))</f>
        <v/>
      </c>
      <c r="P455" s="8">
        <f>H455*M455*45%</f>
        <v/>
      </c>
      <c r="Q455" s="9">
        <f>H455/B455</f>
        <v/>
      </c>
    </row>
    <row r="456">
      <c r="A456" s="11" t="inlineStr">
        <is>
          <t>B0452</t>
        </is>
      </c>
      <c r="B456" s="12" t="n">
        <v>52990</v>
      </c>
      <c r="C456" s="13" t="n">
        <v>0.1499125112403513</v>
      </c>
      <c r="D456" s="11" t="n">
        <v>689</v>
      </c>
      <c r="E456" s="13" t="n">
        <v>0.4603325506443042</v>
      </c>
      <c r="F456" s="11" t="n">
        <v>0</v>
      </c>
      <c r="G456" s="11" t="n">
        <v>9.699999999999999</v>
      </c>
      <c r="H456" s="12" t="n">
        <v>16409</v>
      </c>
      <c r="I456" s="11" t="n">
        <v>48</v>
      </c>
      <c r="J456" s="11" t="n">
        <v>0</v>
      </c>
      <c r="K456" s="2">
        <f>IF(D456&gt;=740,0,IF(D456&gt;=670,15,30))+IF(C456&lt;=25%,0,IF(C456&lt;=40%,15,30))+IF(E456&lt;=30%,0,IF(E456&lt;=60%,10,20))+IF(F456=0,0,IF(F456=1,10,25))+IF(G456&gt;=5,0,IF(G456&gt;=2,5,10))+IF(H456/B456&lt;=25%,0,IF(H456/B456&lt;=50%,10,20))+IF(I456=36,0,IF(I456=48,3,6))</f>
        <v/>
      </c>
      <c r="L456" s="2">
        <f>850-K456*3.5</f>
        <v/>
      </c>
      <c r="M456" s="9">
        <f>1/(1+EXP(-(-4.2+0.055*K456)))</f>
        <v/>
      </c>
      <c r="N456" s="2">
        <f>IF(K456&lt;20,"A",IF(K456&lt;40,"B",IF(K456&lt;60,"C",IF(K456&lt;80,"D","E"))))</f>
        <v/>
      </c>
      <c r="O456" s="2">
        <f>IF(OR(N456="D",N456="E"),"Enhanced Review",IF(N456="C","Conditional","Approve"))</f>
        <v/>
      </c>
      <c r="P456" s="8">
        <f>H456*M456*45%</f>
        <v/>
      </c>
      <c r="Q456" s="9">
        <f>H456/B456</f>
        <v/>
      </c>
    </row>
    <row r="457">
      <c r="A457" s="11" t="inlineStr">
        <is>
          <t>B0453</t>
        </is>
      </c>
      <c r="B457" s="12" t="n">
        <v>90228</v>
      </c>
      <c r="C457" s="13" t="n">
        <v>0.2177420215954016</v>
      </c>
      <c r="D457" s="11" t="n">
        <v>623</v>
      </c>
      <c r="E457" s="13" t="n">
        <v>0.426501965249846</v>
      </c>
      <c r="F457" s="11" t="n">
        <v>0</v>
      </c>
      <c r="G457" s="11" t="n">
        <v>5.4</v>
      </c>
      <c r="H457" s="12" t="n">
        <v>31885</v>
      </c>
      <c r="I457" s="11" t="n">
        <v>36</v>
      </c>
      <c r="J457" s="11" t="n">
        <v>1</v>
      </c>
      <c r="K457" s="2">
        <f>IF(D457&gt;=740,0,IF(D457&gt;=670,15,30))+IF(C457&lt;=25%,0,IF(C457&lt;=40%,15,30))+IF(E457&lt;=30%,0,IF(E457&lt;=60%,10,20))+IF(F457=0,0,IF(F457=1,10,25))+IF(G457&gt;=5,0,IF(G457&gt;=2,5,10))+IF(H457/B457&lt;=25%,0,IF(H457/B457&lt;=50%,10,20))+IF(I457=36,0,IF(I457=48,3,6))</f>
        <v/>
      </c>
      <c r="L457" s="2">
        <f>850-K457*3.5</f>
        <v/>
      </c>
      <c r="M457" s="9">
        <f>1/(1+EXP(-(-4.2+0.055*K457)))</f>
        <v/>
      </c>
      <c r="N457" s="2">
        <f>IF(K457&lt;20,"A",IF(K457&lt;40,"B",IF(K457&lt;60,"C",IF(K457&lt;80,"D","E"))))</f>
        <v/>
      </c>
      <c r="O457" s="2">
        <f>IF(OR(N457="D",N457="E"),"Enhanced Review",IF(N457="C","Conditional","Approve"))</f>
        <v/>
      </c>
      <c r="P457" s="8">
        <f>H457*M457*45%</f>
        <v/>
      </c>
      <c r="Q457" s="9">
        <f>H457/B457</f>
        <v/>
      </c>
    </row>
    <row r="458">
      <c r="A458" s="11" t="inlineStr">
        <is>
          <t>B0454</t>
        </is>
      </c>
      <c r="B458" s="12" t="n">
        <v>49500</v>
      </c>
      <c r="C458" s="13" t="n">
        <v>0.1026581602175915</v>
      </c>
      <c r="D458" s="11" t="n">
        <v>767</v>
      </c>
      <c r="E458" s="13" t="n">
        <v>0.9078463107056025</v>
      </c>
      <c r="F458" s="11" t="n">
        <v>1</v>
      </c>
      <c r="G458" s="11" t="n">
        <v>3.8</v>
      </c>
      <c r="H458" s="12" t="n">
        <v>14525</v>
      </c>
      <c r="I458" s="11" t="n">
        <v>36</v>
      </c>
      <c r="J458" s="11" t="n">
        <v>0</v>
      </c>
      <c r="K458" s="2">
        <f>IF(D458&gt;=740,0,IF(D458&gt;=670,15,30))+IF(C458&lt;=25%,0,IF(C458&lt;=40%,15,30))+IF(E458&lt;=30%,0,IF(E458&lt;=60%,10,20))+IF(F458=0,0,IF(F458=1,10,25))+IF(G458&gt;=5,0,IF(G458&gt;=2,5,10))+IF(H458/B458&lt;=25%,0,IF(H458/B458&lt;=50%,10,20))+IF(I458=36,0,IF(I458=48,3,6))</f>
        <v/>
      </c>
      <c r="L458" s="2">
        <f>850-K458*3.5</f>
        <v/>
      </c>
      <c r="M458" s="9">
        <f>1/(1+EXP(-(-4.2+0.055*K458)))</f>
        <v/>
      </c>
      <c r="N458" s="2">
        <f>IF(K458&lt;20,"A",IF(K458&lt;40,"B",IF(K458&lt;60,"C",IF(K458&lt;80,"D","E"))))</f>
        <v/>
      </c>
      <c r="O458" s="2">
        <f>IF(OR(N458="D",N458="E"),"Enhanced Review",IF(N458="C","Conditional","Approve"))</f>
        <v/>
      </c>
      <c r="P458" s="8">
        <f>H458*M458*45%</f>
        <v/>
      </c>
      <c r="Q458" s="9">
        <f>H458/B458</f>
        <v/>
      </c>
    </row>
    <row r="459">
      <c r="A459" s="11" t="inlineStr">
        <is>
          <t>B0455</t>
        </is>
      </c>
      <c r="B459" s="12" t="n">
        <v>124725</v>
      </c>
      <c r="C459" s="13" t="n">
        <v>0.05068444100397439</v>
      </c>
      <c r="D459" s="11" t="n">
        <v>708</v>
      </c>
      <c r="E459" s="13" t="n">
        <v>0.4081890612898599</v>
      </c>
      <c r="F459" s="11" t="n">
        <v>0</v>
      </c>
      <c r="G459" s="11" t="n">
        <v>8.699999999999999</v>
      </c>
      <c r="H459" s="12" t="n">
        <v>15167</v>
      </c>
      <c r="I459" s="11" t="n">
        <v>36</v>
      </c>
      <c r="J459" s="11" t="n">
        <v>0</v>
      </c>
      <c r="K459" s="2">
        <f>IF(D459&gt;=740,0,IF(D459&gt;=670,15,30))+IF(C459&lt;=25%,0,IF(C459&lt;=40%,15,30))+IF(E459&lt;=30%,0,IF(E459&lt;=60%,10,20))+IF(F459=0,0,IF(F459=1,10,25))+IF(G459&gt;=5,0,IF(G459&gt;=2,5,10))+IF(H459/B459&lt;=25%,0,IF(H459/B459&lt;=50%,10,20))+IF(I459=36,0,IF(I459=48,3,6))</f>
        <v/>
      </c>
      <c r="L459" s="2">
        <f>850-K459*3.5</f>
        <v/>
      </c>
      <c r="M459" s="9">
        <f>1/(1+EXP(-(-4.2+0.055*K459)))</f>
        <v/>
      </c>
      <c r="N459" s="2">
        <f>IF(K459&lt;20,"A",IF(K459&lt;40,"B",IF(K459&lt;60,"C",IF(K459&lt;80,"D","E"))))</f>
        <v/>
      </c>
      <c r="O459" s="2">
        <f>IF(OR(N459="D",N459="E"),"Enhanced Review",IF(N459="C","Conditional","Approve"))</f>
        <v/>
      </c>
      <c r="P459" s="8">
        <f>H459*M459*45%</f>
        <v/>
      </c>
      <c r="Q459" s="9">
        <f>H459/B459</f>
        <v/>
      </c>
    </row>
    <row r="460">
      <c r="A460" s="11" t="inlineStr">
        <is>
          <t>B0456</t>
        </is>
      </c>
      <c r="B460" s="12" t="n">
        <v>89100</v>
      </c>
      <c r="C460" s="13" t="n">
        <v>0.2164653971505915</v>
      </c>
      <c r="D460" s="11" t="n">
        <v>552</v>
      </c>
      <c r="E460" s="13" t="n">
        <v>0.6115917191505569</v>
      </c>
      <c r="F460" s="11" t="n">
        <v>0</v>
      </c>
      <c r="G460" s="11" t="n">
        <v>8.9</v>
      </c>
      <c r="H460" s="12" t="n">
        <v>5835</v>
      </c>
      <c r="I460" s="11" t="n">
        <v>36</v>
      </c>
      <c r="J460" s="11" t="n">
        <v>0</v>
      </c>
      <c r="K460" s="2">
        <f>IF(D460&gt;=740,0,IF(D460&gt;=670,15,30))+IF(C460&lt;=25%,0,IF(C460&lt;=40%,15,30))+IF(E460&lt;=30%,0,IF(E460&lt;=60%,10,20))+IF(F460=0,0,IF(F460=1,10,25))+IF(G460&gt;=5,0,IF(G460&gt;=2,5,10))+IF(H460/B460&lt;=25%,0,IF(H460/B460&lt;=50%,10,20))+IF(I460=36,0,IF(I460=48,3,6))</f>
        <v/>
      </c>
      <c r="L460" s="2">
        <f>850-K460*3.5</f>
        <v/>
      </c>
      <c r="M460" s="9">
        <f>1/(1+EXP(-(-4.2+0.055*K460)))</f>
        <v/>
      </c>
      <c r="N460" s="2">
        <f>IF(K460&lt;20,"A",IF(K460&lt;40,"B",IF(K460&lt;60,"C",IF(K460&lt;80,"D","E"))))</f>
        <v/>
      </c>
      <c r="O460" s="2">
        <f>IF(OR(N460="D",N460="E"),"Enhanced Review",IF(N460="C","Conditional","Approve"))</f>
        <v/>
      </c>
      <c r="P460" s="8">
        <f>H460*M460*45%</f>
        <v/>
      </c>
      <c r="Q460" s="9">
        <f>H460/B460</f>
        <v/>
      </c>
    </row>
    <row r="461">
      <c r="A461" s="11" t="inlineStr">
        <is>
          <t>B0457</t>
        </is>
      </c>
      <c r="B461" s="12" t="n">
        <v>109071</v>
      </c>
      <c r="C461" s="13" t="n">
        <v>0.1731814976850016</v>
      </c>
      <c r="D461" s="11" t="n">
        <v>655</v>
      </c>
      <c r="E461" s="13" t="n">
        <v>0.1860095757607409</v>
      </c>
      <c r="F461" s="11" t="n">
        <v>0</v>
      </c>
      <c r="G461" s="11" t="n">
        <v>1.4</v>
      </c>
      <c r="H461" s="12" t="n">
        <v>33227</v>
      </c>
      <c r="I461" s="11" t="n">
        <v>60</v>
      </c>
      <c r="J461" s="11" t="n">
        <v>0</v>
      </c>
      <c r="K461" s="2">
        <f>IF(D461&gt;=740,0,IF(D461&gt;=670,15,30))+IF(C461&lt;=25%,0,IF(C461&lt;=40%,15,30))+IF(E461&lt;=30%,0,IF(E461&lt;=60%,10,20))+IF(F461=0,0,IF(F461=1,10,25))+IF(G461&gt;=5,0,IF(G461&gt;=2,5,10))+IF(H461/B461&lt;=25%,0,IF(H461/B461&lt;=50%,10,20))+IF(I461=36,0,IF(I461=48,3,6))</f>
        <v/>
      </c>
      <c r="L461" s="2">
        <f>850-K461*3.5</f>
        <v/>
      </c>
      <c r="M461" s="9">
        <f>1/(1+EXP(-(-4.2+0.055*K461)))</f>
        <v/>
      </c>
      <c r="N461" s="2">
        <f>IF(K461&lt;20,"A",IF(K461&lt;40,"B",IF(K461&lt;60,"C",IF(K461&lt;80,"D","E"))))</f>
        <v/>
      </c>
      <c r="O461" s="2">
        <f>IF(OR(N461="D",N461="E"),"Enhanced Review",IF(N461="C","Conditional","Approve"))</f>
        <v/>
      </c>
      <c r="P461" s="8">
        <f>H461*M461*45%</f>
        <v/>
      </c>
      <c r="Q461" s="9">
        <f>H461/B461</f>
        <v/>
      </c>
    </row>
    <row r="462">
      <c r="A462" s="11" t="inlineStr">
        <is>
          <t>B0458</t>
        </is>
      </c>
      <c r="B462" s="12" t="n">
        <v>77264</v>
      </c>
      <c r="C462" s="13" t="n">
        <v>0.4287447742130396</v>
      </c>
      <c r="D462" s="11" t="n">
        <v>720</v>
      </c>
      <c r="E462" s="13" t="n">
        <v>0.225431156664038</v>
      </c>
      <c r="F462" s="11" t="n">
        <v>0</v>
      </c>
      <c r="G462" s="11" t="n">
        <v>3.7</v>
      </c>
      <c r="H462" s="12" t="n">
        <v>52127</v>
      </c>
      <c r="I462" s="11" t="n">
        <v>36</v>
      </c>
      <c r="J462" s="11" t="n">
        <v>1</v>
      </c>
      <c r="K462" s="2">
        <f>IF(D462&gt;=740,0,IF(D462&gt;=670,15,30))+IF(C462&lt;=25%,0,IF(C462&lt;=40%,15,30))+IF(E462&lt;=30%,0,IF(E462&lt;=60%,10,20))+IF(F462=0,0,IF(F462=1,10,25))+IF(G462&gt;=5,0,IF(G462&gt;=2,5,10))+IF(H462/B462&lt;=25%,0,IF(H462/B462&lt;=50%,10,20))+IF(I462=36,0,IF(I462=48,3,6))</f>
        <v/>
      </c>
      <c r="L462" s="2">
        <f>850-K462*3.5</f>
        <v/>
      </c>
      <c r="M462" s="9">
        <f>1/(1+EXP(-(-4.2+0.055*K462)))</f>
        <v/>
      </c>
      <c r="N462" s="2">
        <f>IF(K462&lt;20,"A",IF(K462&lt;40,"B",IF(K462&lt;60,"C",IF(K462&lt;80,"D","E"))))</f>
        <v/>
      </c>
      <c r="O462" s="2">
        <f>IF(OR(N462="D",N462="E"),"Enhanced Review",IF(N462="C","Conditional","Approve"))</f>
        <v/>
      </c>
      <c r="P462" s="8">
        <f>H462*M462*45%</f>
        <v/>
      </c>
      <c r="Q462" s="9">
        <f>H462/B462</f>
        <v/>
      </c>
    </row>
    <row r="463">
      <c r="A463" s="11" t="inlineStr">
        <is>
          <t>B0459</t>
        </is>
      </c>
      <c r="B463" s="12" t="n">
        <v>43183</v>
      </c>
      <c r="C463" s="13" t="n">
        <v>0.4353271194216636</v>
      </c>
      <c r="D463" s="11" t="n">
        <v>762</v>
      </c>
      <c r="E463" s="13" t="n">
        <v>0.4354839809812873</v>
      </c>
      <c r="F463" s="11" t="n">
        <v>1</v>
      </c>
      <c r="G463" s="11" t="n">
        <v>7.9</v>
      </c>
      <c r="H463" s="12" t="n">
        <v>19765</v>
      </c>
      <c r="I463" s="11" t="n">
        <v>36</v>
      </c>
      <c r="J463" s="11" t="n">
        <v>0</v>
      </c>
      <c r="K463" s="2">
        <f>IF(D463&gt;=740,0,IF(D463&gt;=670,15,30))+IF(C463&lt;=25%,0,IF(C463&lt;=40%,15,30))+IF(E463&lt;=30%,0,IF(E463&lt;=60%,10,20))+IF(F463=0,0,IF(F463=1,10,25))+IF(G463&gt;=5,0,IF(G463&gt;=2,5,10))+IF(H463/B463&lt;=25%,0,IF(H463/B463&lt;=50%,10,20))+IF(I463=36,0,IF(I463=48,3,6))</f>
        <v/>
      </c>
      <c r="L463" s="2">
        <f>850-K463*3.5</f>
        <v/>
      </c>
      <c r="M463" s="9">
        <f>1/(1+EXP(-(-4.2+0.055*K463)))</f>
        <v/>
      </c>
      <c r="N463" s="2">
        <f>IF(K463&lt;20,"A",IF(K463&lt;40,"B",IF(K463&lt;60,"C",IF(K463&lt;80,"D","E"))))</f>
        <v/>
      </c>
      <c r="O463" s="2">
        <f>IF(OR(N463="D",N463="E"),"Enhanced Review",IF(N463="C","Conditional","Approve"))</f>
        <v/>
      </c>
      <c r="P463" s="8">
        <f>H463*M463*45%</f>
        <v/>
      </c>
      <c r="Q463" s="9">
        <f>H463/B463</f>
        <v/>
      </c>
    </row>
    <row r="464">
      <c r="A464" s="11" t="inlineStr">
        <is>
          <t>B0460</t>
        </is>
      </c>
      <c r="B464" s="12" t="n">
        <v>57713</v>
      </c>
      <c r="C464" s="13" t="n">
        <v>0.4271605134214486</v>
      </c>
      <c r="D464" s="11" t="n">
        <v>666</v>
      </c>
      <c r="E464" s="13" t="n">
        <v>0.5087507585440852</v>
      </c>
      <c r="F464" s="11" t="n">
        <v>1</v>
      </c>
      <c r="G464" s="11" t="n">
        <v>4.2</v>
      </c>
      <c r="H464" s="12" t="n">
        <v>33728</v>
      </c>
      <c r="I464" s="11" t="n">
        <v>48</v>
      </c>
      <c r="J464" s="11" t="n">
        <v>0</v>
      </c>
      <c r="K464" s="2">
        <f>IF(D464&gt;=740,0,IF(D464&gt;=670,15,30))+IF(C464&lt;=25%,0,IF(C464&lt;=40%,15,30))+IF(E464&lt;=30%,0,IF(E464&lt;=60%,10,20))+IF(F464=0,0,IF(F464=1,10,25))+IF(G464&gt;=5,0,IF(G464&gt;=2,5,10))+IF(H464/B464&lt;=25%,0,IF(H464/B464&lt;=50%,10,20))+IF(I464=36,0,IF(I464=48,3,6))</f>
        <v/>
      </c>
      <c r="L464" s="2">
        <f>850-K464*3.5</f>
        <v/>
      </c>
      <c r="M464" s="9">
        <f>1/(1+EXP(-(-4.2+0.055*K464)))</f>
        <v/>
      </c>
      <c r="N464" s="2">
        <f>IF(K464&lt;20,"A",IF(K464&lt;40,"B",IF(K464&lt;60,"C",IF(K464&lt;80,"D","E"))))</f>
        <v/>
      </c>
      <c r="O464" s="2">
        <f>IF(OR(N464="D",N464="E"),"Enhanced Review",IF(N464="C","Conditional","Approve"))</f>
        <v/>
      </c>
      <c r="P464" s="8">
        <f>H464*M464*45%</f>
        <v/>
      </c>
      <c r="Q464" s="9">
        <f>H464/B464</f>
        <v/>
      </c>
    </row>
    <row r="465">
      <c r="A465" s="11" t="inlineStr">
        <is>
          <t>B0461</t>
        </is>
      </c>
      <c r="B465" s="12" t="n">
        <v>68051</v>
      </c>
      <c r="C465" s="13" t="n">
        <v>0.1830290942026164</v>
      </c>
      <c r="D465" s="11" t="n">
        <v>802</v>
      </c>
      <c r="E465" s="13" t="n">
        <v>0.6931975539503556</v>
      </c>
      <c r="F465" s="11" t="n">
        <v>0</v>
      </c>
      <c r="G465" s="11" t="n">
        <v>0.4</v>
      </c>
      <c r="H465" s="12" t="n">
        <v>8771</v>
      </c>
      <c r="I465" s="11" t="n">
        <v>60</v>
      </c>
      <c r="J465" s="11" t="n">
        <v>0</v>
      </c>
      <c r="K465" s="2">
        <f>IF(D465&gt;=740,0,IF(D465&gt;=670,15,30))+IF(C465&lt;=25%,0,IF(C465&lt;=40%,15,30))+IF(E465&lt;=30%,0,IF(E465&lt;=60%,10,20))+IF(F465=0,0,IF(F465=1,10,25))+IF(G465&gt;=5,0,IF(G465&gt;=2,5,10))+IF(H465/B465&lt;=25%,0,IF(H465/B465&lt;=50%,10,20))+IF(I465=36,0,IF(I465=48,3,6))</f>
        <v/>
      </c>
      <c r="L465" s="2">
        <f>850-K465*3.5</f>
        <v/>
      </c>
      <c r="M465" s="9">
        <f>1/(1+EXP(-(-4.2+0.055*K465)))</f>
        <v/>
      </c>
      <c r="N465" s="2">
        <f>IF(K465&lt;20,"A",IF(K465&lt;40,"B",IF(K465&lt;60,"C",IF(K465&lt;80,"D","E"))))</f>
        <v/>
      </c>
      <c r="O465" s="2">
        <f>IF(OR(N465="D",N465="E"),"Enhanced Review",IF(N465="C","Conditional","Approve"))</f>
        <v/>
      </c>
      <c r="P465" s="8">
        <f>H465*M465*45%</f>
        <v/>
      </c>
      <c r="Q465" s="9">
        <f>H465/B465</f>
        <v/>
      </c>
    </row>
    <row r="466">
      <c r="A466" s="11" t="inlineStr">
        <is>
          <t>B0462</t>
        </is>
      </c>
      <c r="B466" s="12" t="n">
        <v>55380</v>
      </c>
      <c r="C466" s="13" t="n">
        <v>0.2490481024604531</v>
      </c>
      <c r="D466" s="11" t="n">
        <v>602</v>
      </c>
      <c r="E466" s="13" t="n">
        <v>0.2741298378897486</v>
      </c>
      <c r="F466" s="11" t="n">
        <v>0</v>
      </c>
      <c r="G466" s="11" t="n">
        <v>18.5</v>
      </c>
      <c r="H466" s="12" t="n">
        <v>14649</v>
      </c>
      <c r="I466" s="11" t="n">
        <v>60</v>
      </c>
      <c r="J466" s="11" t="n">
        <v>0</v>
      </c>
      <c r="K466" s="2">
        <f>IF(D466&gt;=740,0,IF(D466&gt;=670,15,30))+IF(C466&lt;=25%,0,IF(C466&lt;=40%,15,30))+IF(E466&lt;=30%,0,IF(E466&lt;=60%,10,20))+IF(F466=0,0,IF(F466=1,10,25))+IF(G466&gt;=5,0,IF(G466&gt;=2,5,10))+IF(H466/B466&lt;=25%,0,IF(H466/B466&lt;=50%,10,20))+IF(I466=36,0,IF(I466=48,3,6))</f>
        <v/>
      </c>
      <c r="L466" s="2">
        <f>850-K466*3.5</f>
        <v/>
      </c>
      <c r="M466" s="9">
        <f>1/(1+EXP(-(-4.2+0.055*K466)))</f>
        <v/>
      </c>
      <c r="N466" s="2">
        <f>IF(K466&lt;20,"A",IF(K466&lt;40,"B",IF(K466&lt;60,"C",IF(K466&lt;80,"D","E"))))</f>
        <v/>
      </c>
      <c r="O466" s="2">
        <f>IF(OR(N466="D",N466="E"),"Enhanced Review",IF(N466="C","Conditional","Approve"))</f>
        <v/>
      </c>
      <c r="P466" s="8">
        <f>H466*M466*45%</f>
        <v/>
      </c>
      <c r="Q466" s="9">
        <f>H466/B466</f>
        <v/>
      </c>
    </row>
    <row r="467">
      <c r="A467" s="11" t="inlineStr">
        <is>
          <t>B0463</t>
        </is>
      </c>
      <c r="B467" s="12" t="n">
        <v>119186</v>
      </c>
      <c r="C467" s="13" t="n">
        <v>0.1155329342348725</v>
      </c>
      <c r="D467" s="11" t="n">
        <v>710</v>
      </c>
      <c r="E467" s="13" t="n">
        <v>0.7801340758453557</v>
      </c>
      <c r="F467" s="11" t="n">
        <v>1</v>
      </c>
      <c r="G467" s="11" t="n">
        <v>11.8</v>
      </c>
      <c r="H467" s="12" t="n">
        <v>28780</v>
      </c>
      <c r="I467" s="11" t="n">
        <v>48</v>
      </c>
      <c r="J467" s="11" t="n">
        <v>0</v>
      </c>
      <c r="K467" s="2">
        <f>IF(D467&gt;=740,0,IF(D467&gt;=670,15,30))+IF(C467&lt;=25%,0,IF(C467&lt;=40%,15,30))+IF(E467&lt;=30%,0,IF(E467&lt;=60%,10,20))+IF(F467=0,0,IF(F467=1,10,25))+IF(G467&gt;=5,0,IF(G467&gt;=2,5,10))+IF(H467/B467&lt;=25%,0,IF(H467/B467&lt;=50%,10,20))+IF(I467=36,0,IF(I467=48,3,6))</f>
        <v/>
      </c>
      <c r="L467" s="2">
        <f>850-K467*3.5</f>
        <v/>
      </c>
      <c r="M467" s="9">
        <f>1/(1+EXP(-(-4.2+0.055*K467)))</f>
        <v/>
      </c>
      <c r="N467" s="2">
        <f>IF(K467&lt;20,"A",IF(K467&lt;40,"B",IF(K467&lt;60,"C",IF(K467&lt;80,"D","E"))))</f>
        <v/>
      </c>
      <c r="O467" s="2">
        <f>IF(OR(N467="D",N467="E"),"Enhanced Review",IF(N467="C","Conditional","Approve"))</f>
        <v/>
      </c>
      <c r="P467" s="8">
        <f>H467*M467*45%</f>
        <v/>
      </c>
      <c r="Q467" s="9">
        <f>H467/B467</f>
        <v/>
      </c>
    </row>
    <row r="468">
      <c r="A468" s="11" t="inlineStr">
        <is>
          <t>B0464</t>
        </is>
      </c>
      <c r="B468" s="12" t="n">
        <v>28611</v>
      </c>
      <c r="C468" s="13" t="n">
        <v>0.03892171946642174</v>
      </c>
      <c r="D468" s="11" t="n">
        <v>711</v>
      </c>
      <c r="E468" s="13" t="n">
        <v>0.8006604684710951</v>
      </c>
      <c r="F468" s="11" t="n">
        <v>1</v>
      </c>
      <c r="G468" s="11" t="n">
        <v>7.9</v>
      </c>
      <c r="H468" s="12" t="n">
        <v>46792</v>
      </c>
      <c r="I468" s="11" t="n">
        <v>60</v>
      </c>
      <c r="J468" s="11" t="n">
        <v>0</v>
      </c>
      <c r="K468" s="2">
        <f>IF(D468&gt;=740,0,IF(D468&gt;=670,15,30))+IF(C468&lt;=25%,0,IF(C468&lt;=40%,15,30))+IF(E468&lt;=30%,0,IF(E468&lt;=60%,10,20))+IF(F468=0,0,IF(F468=1,10,25))+IF(G468&gt;=5,0,IF(G468&gt;=2,5,10))+IF(H468/B468&lt;=25%,0,IF(H468/B468&lt;=50%,10,20))+IF(I468=36,0,IF(I468=48,3,6))</f>
        <v/>
      </c>
      <c r="L468" s="2">
        <f>850-K468*3.5</f>
        <v/>
      </c>
      <c r="M468" s="9">
        <f>1/(1+EXP(-(-4.2+0.055*K468)))</f>
        <v/>
      </c>
      <c r="N468" s="2">
        <f>IF(K468&lt;20,"A",IF(K468&lt;40,"B",IF(K468&lt;60,"C",IF(K468&lt;80,"D","E"))))</f>
        <v/>
      </c>
      <c r="O468" s="2">
        <f>IF(OR(N468="D",N468="E"),"Enhanced Review",IF(N468="C","Conditional","Approve"))</f>
        <v/>
      </c>
      <c r="P468" s="8">
        <f>H468*M468*45%</f>
        <v/>
      </c>
      <c r="Q468" s="9">
        <f>H468/B468</f>
        <v/>
      </c>
    </row>
    <row r="469">
      <c r="A469" s="11" t="inlineStr">
        <is>
          <t>B0465</t>
        </is>
      </c>
      <c r="B469" s="12" t="n">
        <v>148407</v>
      </c>
      <c r="C469" s="13" t="n">
        <v>0.273980232811975</v>
      </c>
      <c r="D469" s="11" t="n">
        <v>696</v>
      </c>
      <c r="E469" s="13" t="n">
        <v>0.6599332228232233</v>
      </c>
      <c r="F469" s="11" t="n">
        <v>0</v>
      </c>
      <c r="G469" s="11" t="n">
        <v>11.4</v>
      </c>
      <c r="H469" s="12" t="n">
        <v>20326</v>
      </c>
      <c r="I469" s="11" t="n">
        <v>36</v>
      </c>
      <c r="J469" s="11" t="n">
        <v>1</v>
      </c>
      <c r="K469" s="2">
        <f>IF(D469&gt;=740,0,IF(D469&gt;=670,15,30))+IF(C469&lt;=25%,0,IF(C469&lt;=40%,15,30))+IF(E469&lt;=30%,0,IF(E469&lt;=60%,10,20))+IF(F469=0,0,IF(F469=1,10,25))+IF(G469&gt;=5,0,IF(G469&gt;=2,5,10))+IF(H469/B469&lt;=25%,0,IF(H469/B469&lt;=50%,10,20))+IF(I469=36,0,IF(I469=48,3,6))</f>
        <v/>
      </c>
      <c r="L469" s="2">
        <f>850-K469*3.5</f>
        <v/>
      </c>
      <c r="M469" s="9">
        <f>1/(1+EXP(-(-4.2+0.055*K469)))</f>
        <v/>
      </c>
      <c r="N469" s="2">
        <f>IF(K469&lt;20,"A",IF(K469&lt;40,"B",IF(K469&lt;60,"C",IF(K469&lt;80,"D","E"))))</f>
        <v/>
      </c>
      <c r="O469" s="2">
        <f>IF(OR(N469="D",N469="E"),"Enhanced Review",IF(N469="C","Conditional","Approve"))</f>
        <v/>
      </c>
      <c r="P469" s="8">
        <f>H469*M469*45%</f>
        <v/>
      </c>
      <c r="Q469" s="9">
        <f>H469/B469</f>
        <v/>
      </c>
    </row>
    <row r="470">
      <c r="A470" s="11" t="inlineStr">
        <is>
          <t>B0466</t>
        </is>
      </c>
      <c r="B470" s="12" t="n">
        <v>37503</v>
      </c>
      <c r="C470" s="13" t="n">
        <v>0.461172147092398</v>
      </c>
      <c r="D470" s="11" t="n">
        <v>760</v>
      </c>
      <c r="E470" s="13" t="n">
        <v>0.562023664091798</v>
      </c>
      <c r="F470" s="11" t="n">
        <v>0</v>
      </c>
      <c r="G470" s="11" t="n">
        <v>3.2</v>
      </c>
      <c r="H470" s="12" t="n">
        <v>8875</v>
      </c>
      <c r="I470" s="11" t="n">
        <v>36</v>
      </c>
      <c r="J470" s="11" t="n">
        <v>0</v>
      </c>
      <c r="K470" s="2">
        <f>IF(D470&gt;=740,0,IF(D470&gt;=670,15,30))+IF(C470&lt;=25%,0,IF(C470&lt;=40%,15,30))+IF(E470&lt;=30%,0,IF(E470&lt;=60%,10,20))+IF(F470=0,0,IF(F470=1,10,25))+IF(G470&gt;=5,0,IF(G470&gt;=2,5,10))+IF(H470/B470&lt;=25%,0,IF(H470/B470&lt;=50%,10,20))+IF(I470=36,0,IF(I470=48,3,6))</f>
        <v/>
      </c>
      <c r="L470" s="2">
        <f>850-K470*3.5</f>
        <v/>
      </c>
      <c r="M470" s="9">
        <f>1/(1+EXP(-(-4.2+0.055*K470)))</f>
        <v/>
      </c>
      <c r="N470" s="2">
        <f>IF(K470&lt;20,"A",IF(K470&lt;40,"B",IF(K470&lt;60,"C",IF(K470&lt;80,"D","E"))))</f>
        <v/>
      </c>
      <c r="O470" s="2">
        <f>IF(OR(N470="D",N470="E"),"Enhanced Review",IF(N470="C","Conditional","Approve"))</f>
        <v/>
      </c>
      <c r="P470" s="8">
        <f>H470*M470*45%</f>
        <v/>
      </c>
      <c r="Q470" s="9">
        <f>H470/B470</f>
        <v/>
      </c>
    </row>
    <row r="471">
      <c r="A471" s="11" t="inlineStr">
        <is>
          <t>B0467</t>
        </is>
      </c>
      <c r="B471" s="12" t="n">
        <v>56637</v>
      </c>
      <c r="C471" s="13" t="n">
        <v>0.1675759085883891</v>
      </c>
      <c r="D471" s="11" t="n">
        <v>699</v>
      </c>
      <c r="E471" s="13" t="n">
        <v>0.3818367601889892</v>
      </c>
      <c r="F471" s="11" t="n">
        <v>1</v>
      </c>
      <c r="G471" s="11" t="n">
        <v>16.7</v>
      </c>
      <c r="H471" s="12" t="n">
        <v>16272</v>
      </c>
      <c r="I471" s="11" t="n">
        <v>36</v>
      </c>
      <c r="J471" s="11" t="n">
        <v>0</v>
      </c>
      <c r="K471" s="2">
        <f>IF(D471&gt;=740,0,IF(D471&gt;=670,15,30))+IF(C471&lt;=25%,0,IF(C471&lt;=40%,15,30))+IF(E471&lt;=30%,0,IF(E471&lt;=60%,10,20))+IF(F471=0,0,IF(F471=1,10,25))+IF(G471&gt;=5,0,IF(G471&gt;=2,5,10))+IF(H471/B471&lt;=25%,0,IF(H471/B471&lt;=50%,10,20))+IF(I471=36,0,IF(I471=48,3,6))</f>
        <v/>
      </c>
      <c r="L471" s="2">
        <f>850-K471*3.5</f>
        <v/>
      </c>
      <c r="M471" s="9">
        <f>1/(1+EXP(-(-4.2+0.055*K471)))</f>
        <v/>
      </c>
      <c r="N471" s="2">
        <f>IF(K471&lt;20,"A",IF(K471&lt;40,"B",IF(K471&lt;60,"C",IF(K471&lt;80,"D","E"))))</f>
        <v/>
      </c>
      <c r="O471" s="2">
        <f>IF(OR(N471="D",N471="E"),"Enhanced Review",IF(N471="C","Conditional","Approve"))</f>
        <v/>
      </c>
      <c r="P471" s="8">
        <f>H471*M471*45%</f>
        <v/>
      </c>
      <c r="Q471" s="9">
        <f>H471/B471</f>
        <v/>
      </c>
    </row>
    <row r="472">
      <c r="A472" s="11" t="inlineStr">
        <is>
          <t>B0468</t>
        </is>
      </c>
      <c r="B472" s="12" t="n">
        <v>119372</v>
      </c>
      <c r="C472" s="13" t="n">
        <v>0.4787993186502688</v>
      </c>
      <c r="D472" s="11" t="n">
        <v>745</v>
      </c>
      <c r="E472" s="13" t="n">
        <v>0.2334465604804784</v>
      </c>
      <c r="F472" s="11" t="n">
        <v>0</v>
      </c>
      <c r="G472" s="11" t="n">
        <v>5.7</v>
      </c>
      <c r="H472" s="12" t="n">
        <v>62057</v>
      </c>
      <c r="I472" s="11" t="n">
        <v>36</v>
      </c>
      <c r="J472" s="11" t="n">
        <v>0</v>
      </c>
      <c r="K472" s="2">
        <f>IF(D472&gt;=740,0,IF(D472&gt;=670,15,30))+IF(C472&lt;=25%,0,IF(C472&lt;=40%,15,30))+IF(E472&lt;=30%,0,IF(E472&lt;=60%,10,20))+IF(F472=0,0,IF(F472=1,10,25))+IF(G472&gt;=5,0,IF(G472&gt;=2,5,10))+IF(H472/B472&lt;=25%,0,IF(H472/B472&lt;=50%,10,20))+IF(I472=36,0,IF(I472=48,3,6))</f>
        <v/>
      </c>
      <c r="L472" s="2">
        <f>850-K472*3.5</f>
        <v/>
      </c>
      <c r="M472" s="9">
        <f>1/(1+EXP(-(-4.2+0.055*K472)))</f>
        <v/>
      </c>
      <c r="N472" s="2">
        <f>IF(K472&lt;20,"A",IF(K472&lt;40,"B",IF(K472&lt;60,"C",IF(K472&lt;80,"D","E"))))</f>
        <v/>
      </c>
      <c r="O472" s="2">
        <f>IF(OR(N472="D",N472="E"),"Enhanced Review",IF(N472="C","Conditional","Approve"))</f>
        <v/>
      </c>
      <c r="P472" s="8">
        <f>H472*M472*45%</f>
        <v/>
      </c>
      <c r="Q472" s="9">
        <f>H472/B472</f>
        <v/>
      </c>
    </row>
    <row r="473">
      <c r="A473" s="11" t="inlineStr">
        <is>
          <t>B0469</t>
        </is>
      </c>
      <c r="B473" s="12" t="n">
        <v>45416</v>
      </c>
      <c r="C473" s="13" t="n">
        <v>0.3489711798388948</v>
      </c>
      <c r="D473" s="11" t="n">
        <v>542</v>
      </c>
      <c r="E473" s="13" t="n">
        <v>0.3771203141037435</v>
      </c>
      <c r="F473" s="11" t="n">
        <v>0</v>
      </c>
      <c r="G473" s="11" t="n">
        <v>7.7</v>
      </c>
      <c r="H473" s="12" t="n">
        <v>48695</v>
      </c>
      <c r="I473" s="11" t="n">
        <v>60</v>
      </c>
      <c r="J473" s="11" t="n">
        <v>0</v>
      </c>
      <c r="K473" s="2">
        <f>IF(D473&gt;=740,0,IF(D473&gt;=670,15,30))+IF(C473&lt;=25%,0,IF(C473&lt;=40%,15,30))+IF(E473&lt;=30%,0,IF(E473&lt;=60%,10,20))+IF(F473=0,0,IF(F473=1,10,25))+IF(G473&gt;=5,0,IF(G473&gt;=2,5,10))+IF(H473/B473&lt;=25%,0,IF(H473/B473&lt;=50%,10,20))+IF(I473=36,0,IF(I473=48,3,6))</f>
        <v/>
      </c>
      <c r="L473" s="2">
        <f>850-K473*3.5</f>
        <v/>
      </c>
      <c r="M473" s="9">
        <f>1/(1+EXP(-(-4.2+0.055*K473)))</f>
        <v/>
      </c>
      <c r="N473" s="2">
        <f>IF(K473&lt;20,"A",IF(K473&lt;40,"B",IF(K473&lt;60,"C",IF(K473&lt;80,"D","E"))))</f>
        <v/>
      </c>
      <c r="O473" s="2">
        <f>IF(OR(N473="D",N473="E"),"Enhanced Review",IF(N473="C","Conditional","Approve"))</f>
        <v/>
      </c>
      <c r="P473" s="8">
        <f>H473*M473*45%</f>
        <v/>
      </c>
      <c r="Q473" s="9">
        <f>H473/B473</f>
        <v/>
      </c>
    </row>
    <row r="474">
      <c r="A474" s="11" t="inlineStr">
        <is>
          <t>B0470</t>
        </is>
      </c>
      <c r="B474" s="12" t="n">
        <v>300000</v>
      </c>
      <c r="C474" s="13" t="n">
        <v>0.2130631649502731</v>
      </c>
      <c r="D474" s="11" t="n">
        <v>740</v>
      </c>
      <c r="E474" s="13" t="n">
        <v>0.3976635343724981</v>
      </c>
      <c r="F474" s="11" t="n">
        <v>4</v>
      </c>
      <c r="G474" s="11" t="n">
        <v>10.4</v>
      </c>
      <c r="H474" s="12" t="n">
        <v>13150</v>
      </c>
      <c r="I474" s="11" t="n">
        <v>60</v>
      </c>
      <c r="J474" s="11" t="n">
        <v>1</v>
      </c>
      <c r="K474" s="2">
        <f>IF(D474&gt;=740,0,IF(D474&gt;=670,15,30))+IF(C474&lt;=25%,0,IF(C474&lt;=40%,15,30))+IF(E474&lt;=30%,0,IF(E474&lt;=60%,10,20))+IF(F474=0,0,IF(F474=1,10,25))+IF(G474&gt;=5,0,IF(G474&gt;=2,5,10))+IF(H474/B474&lt;=25%,0,IF(H474/B474&lt;=50%,10,20))+IF(I474=36,0,IF(I474=48,3,6))</f>
        <v/>
      </c>
      <c r="L474" s="2">
        <f>850-K474*3.5</f>
        <v/>
      </c>
      <c r="M474" s="9">
        <f>1/(1+EXP(-(-4.2+0.055*K474)))</f>
        <v/>
      </c>
      <c r="N474" s="2">
        <f>IF(K474&lt;20,"A",IF(K474&lt;40,"B",IF(K474&lt;60,"C",IF(K474&lt;80,"D","E"))))</f>
        <v/>
      </c>
      <c r="O474" s="2">
        <f>IF(OR(N474="D",N474="E"),"Enhanced Review",IF(N474="C","Conditional","Approve"))</f>
        <v/>
      </c>
      <c r="P474" s="8">
        <f>H474*M474*45%</f>
        <v/>
      </c>
      <c r="Q474" s="9">
        <f>H474/B474</f>
        <v/>
      </c>
    </row>
    <row r="475">
      <c r="A475" s="11" t="inlineStr">
        <is>
          <t>B0471</t>
        </is>
      </c>
      <c r="B475" s="12" t="n">
        <v>50945</v>
      </c>
      <c r="C475" s="13" t="n">
        <v>0.1133097021497892</v>
      </c>
      <c r="D475" s="11" t="n">
        <v>674</v>
      </c>
      <c r="E475" s="13" t="n">
        <v>0.08958526534222506</v>
      </c>
      <c r="F475" s="11" t="n">
        <v>1</v>
      </c>
      <c r="G475" s="11" t="n">
        <v>5.6</v>
      </c>
      <c r="H475" s="12" t="n">
        <v>90000</v>
      </c>
      <c r="I475" s="11" t="n">
        <v>60</v>
      </c>
      <c r="J475" s="11" t="n">
        <v>0</v>
      </c>
      <c r="K475" s="2">
        <f>IF(D475&gt;=740,0,IF(D475&gt;=670,15,30))+IF(C475&lt;=25%,0,IF(C475&lt;=40%,15,30))+IF(E475&lt;=30%,0,IF(E475&lt;=60%,10,20))+IF(F475=0,0,IF(F475=1,10,25))+IF(G475&gt;=5,0,IF(G475&gt;=2,5,10))+IF(H475/B475&lt;=25%,0,IF(H475/B475&lt;=50%,10,20))+IF(I475=36,0,IF(I475=48,3,6))</f>
        <v/>
      </c>
      <c r="L475" s="2">
        <f>850-K475*3.5</f>
        <v/>
      </c>
      <c r="M475" s="9">
        <f>1/(1+EXP(-(-4.2+0.055*K475)))</f>
        <v/>
      </c>
      <c r="N475" s="2">
        <f>IF(K475&lt;20,"A",IF(K475&lt;40,"B",IF(K475&lt;60,"C",IF(K475&lt;80,"D","E"))))</f>
        <v/>
      </c>
      <c r="O475" s="2">
        <f>IF(OR(N475="D",N475="E"),"Enhanced Review",IF(N475="C","Conditional","Approve"))</f>
        <v/>
      </c>
      <c r="P475" s="8">
        <f>H475*M475*45%</f>
        <v/>
      </c>
      <c r="Q475" s="9">
        <f>H475/B475</f>
        <v/>
      </c>
    </row>
    <row r="476">
      <c r="A476" s="11" t="inlineStr">
        <is>
          <t>B0472</t>
        </is>
      </c>
      <c r="B476" s="12" t="n">
        <v>42027</v>
      </c>
      <c r="C476" s="13" t="n">
        <v>0.3360888093795203</v>
      </c>
      <c r="D476" s="11" t="n">
        <v>679</v>
      </c>
      <c r="E476" s="13" t="n">
        <v>0.2548677824207004</v>
      </c>
      <c r="F476" s="11" t="n">
        <v>0</v>
      </c>
      <c r="G476" s="11" t="n">
        <v>19.5</v>
      </c>
      <c r="H476" s="12" t="n">
        <v>16953</v>
      </c>
      <c r="I476" s="11" t="n">
        <v>36</v>
      </c>
      <c r="J476" s="11" t="n">
        <v>0</v>
      </c>
      <c r="K476" s="2">
        <f>IF(D476&gt;=740,0,IF(D476&gt;=670,15,30))+IF(C476&lt;=25%,0,IF(C476&lt;=40%,15,30))+IF(E476&lt;=30%,0,IF(E476&lt;=60%,10,20))+IF(F476=0,0,IF(F476=1,10,25))+IF(G476&gt;=5,0,IF(G476&gt;=2,5,10))+IF(H476/B476&lt;=25%,0,IF(H476/B476&lt;=50%,10,20))+IF(I476=36,0,IF(I476=48,3,6))</f>
        <v/>
      </c>
      <c r="L476" s="2">
        <f>850-K476*3.5</f>
        <v/>
      </c>
      <c r="M476" s="9">
        <f>1/(1+EXP(-(-4.2+0.055*K476)))</f>
        <v/>
      </c>
      <c r="N476" s="2">
        <f>IF(K476&lt;20,"A",IF(K476&lt;40,"B",IF(K476&lt;60,"C",IF(K476&lt;80,"D","E"))))</f>
        <v/>
      </c>
      <c r="O476" s="2">
        <f>IF(OR(N476="D",N476="E"),"Enhanced Review",IF(N476="C","Conditional","Approve"))</f>
        <v/>
      </c>
      <c r="P476" s="8">
        <f>H476*M476*45%</f>
        <v/>
      </c>
      <c r="Q476" s="9">
        <f>H476/B476</f>
        <v/>
      </c>
    </row>
    <row r="477">
      <c r="A477" s="11" t="inlineStr">
        <is>
          <t>B0473</t>
        </is>
      </c>
      <c r="B477" s="12" t="n">
        <v>79584</v>
      </c>
      <c r="C477" s="13" t="n">
        <v>0.2772014732638454</v>
      </c>
      <c r="D477" s="11" t="n">
        <v>761</v>
      </c>
      <c r="E477" s="13" t="n">
        <v>0.7086213370201925</v>
      </c>
      <c r="F477" s="11" t="n">
        <v>0</v>
      </c>
      <c r="G477" s="11" t="n">
        <v>3.9</v>
      </c>
      <c r="H477" s="12" t="n">
        <v>30035</v>
      </c>
      <c r="I477" s="11" t="n">
        <v>36</v>
      </c>
      <c r="J477" s="11" t="n">
        <v>0</v>
      </c>
      <c r="K477" s="2">
        <f>IF(D477&gt;=740,0,IF(D477&gt;=670,15,30))+IF(C477&lt;=25%,0,IF(C477&lt;=40%,15,30))+IF(E477&lt;=30%,0,IF(E477&lt;=60%,10,20))+IF(F477=0,0,IF(F477=1,10,25))+IF(G477&gt;=5,0,IF(G477&gt;=2,5,10))+IF(H477/B477&lt;=25%,0,IF(H477/B477&lt;=50%,10,20))+IF(I477=36,0,IF(I477=48,3,6))</f>
        <v/>
      </c>
      <c r="L477" s="2">
        <f>850-K477*3.5</f>
        <v/>
      </c>
      <c r="M477" s="9">
        <f>1/(1+EXP(-(-4.2+0.055*K477)))</f>
        <v/>
      </c>
      <c r="N477" s="2">
        <f>IF(K477&lt;20,"A",IF(K477&lt;40,"B",IF(K477&lt;60,"C",IF(K477&lt;80,"D","E"))))</f>
        <v/>
      </c>
      <c r="O477" s="2">
        <f>IF(OR(N477="D",N477="E"),"Enhanced Review",IF(N477="C","Conditional","Approve"))</f>
        <v/>
      </c>
      <c r="P477" s="8">
        <f>H477*M477*45%</f>
        <v/>
      </c>
      <c r="Q477" s="9">
        <f>H477/B477</f>
        <v/>
      </c>
    </row>
    <row r="478">
      <c r="A478" s="11" t="inlineStr">
        <is>
          <t>B0474</t>
        </is>
      </c>
      <c r="B478" s="12" t="n">
        <v>131065</v>
      </c>
      <c r="C478" s="13" t="n">
        <v>0.4503870581003773</v>
      </c>
      <c r="D478" s="11" t="n">
        <v>662</v>
      </c>
      <c r="E478" s="13" t="n">
        <v>0.5884117733548105</v>
      </c>
      <c r="F478" s="11" t="n">
        <v>0</v>
      </c>
      <c r="G478" s="11" t="n">
        <v>7.6</v>
      </c>
      <c r="H478" s="12" t="n">
        <v>10646</v>
      </c>
      <c r="I478" s="11" t="n">
        <v>60</v>
      </c>
      <c r="J478" s="11" t="n">
        <v>0</v>
      </c>
      <c r="K478" s="2">
        <f>IF(D478&gt;=740,0,IF(D478&gt;=670,15,30))+IF(C478&lt;=25%,0,IF(C478&lt;=40%,15,30))+IF(E478&lt;=30%,0,IF(E478&lt;=60%,10,20))+IF(F478=0,0,IF(F478=1,10,25))+IF(G478&gt;=5,0,IF(G478&gt;=2,5,10))+IF(H478/B478&lt;=25%,0,IF(H478/B478&lt;=50%,10,20))+IF(I478=36,0,IF(I478=48,3,6))</f>
        <v/>
      </c>
      <c r="L478" s="2">
        <f>850-K478*3.5</f>
        <v/>
      </c>
      <c r="M478" s="9">
        <f>1/(1+EXP(-(-4.2+0.055*K478)))</f>
        <v/>
      </c>
      <c r="N478" s="2">
        <f>IF(K478&lt;20,"A",IF(K478&lt;40,"B",IF(K478&lt;60,"C",IF(K478&lt;80,"D","E"))))</f>
        <v/>
      </c>
      <c r="O478" s="2">
        <f>IF(OR(N478="D",N478="E"),"Enhanced Review",IF(N478="C","Conditional","Approve"))</f>
        <v/>
      </c>
      <c r="P478" s="8">
        <f>H478*M478*45%</f>
        <v/>
      </c>
      <c r="Q478" s="9">
        <f>H478/B478</f>
        <v/>
      </c>
    </row>
    <row r="479">
      <c r="A479" s="11" t="inlineStr">
        <is>
          <t>B0475</t>
        </is>
      </c>
      <c r="B479" s="12" t="n">
        <v>101565</v>
      </c>
      <c r="C479" s="13" t="n">
        <v>0.3348880041485294</v>
      </c>
      <c r="D479" s="11" t="n">
        <v>755</v>
      </c>
      <c r="E479" s="13" t="n">
        <v>0.6108076698136276</v>
      </c>
      <c r="F479" s="11" t="n">
        <v>0</v>
      </c>
      <c r="G479" s="11" t="n">
        <v>16.2</v>
      </c>
      <c r="H479" s="12" t="n">
        <v>15008</v>
      </c>
      <c r="I479" s="11" t="n">
        <v>36</v>
      </c>
      <c r="J479" s="11" t="n">
        <v>0</v>
      </c>
      <c r="K479" s="2">
        <f>IF(D479&gt;=740,0,IF(D479&gt;=670,15,30))+IF(C479&lt;=25%,0,IF(C479&lt;=40%,15,30))+IF(E479&lt;=30%,0,IF(E479&lt;=60%,10,20))+IF(F479=0,0,IF(F479=1,10,25))+IF(G479&gt;=5,0,IF(G479&gt;=2,5,10))+IF(H479/B479&lt;=25%,0,IF(H479/B479&lt;=50%,10,20))+IF(I479=36,0,IF(I479=48,3,6))</f>
        <v/>
      </c>
      <c r="L479" s="2">
        <f>850-K479*3.5</f>
        <v/>
      </c>
      <c r="M479" s="9">
        <f>1/(1+EXP(-(-4.2+0.055*K479)))</f>
        <v/>
      </c>
      <c r="N479" s="2">
        <f>IF(K479&lt;20,"A",IF(K479&lt;40,"B",IF(K479&lt;60,"C",IF(K479&lt;80,"D","E"))))</f>
        <v/>
      </c>
      <c r="O479" s="2">
        <f>IF(OR(N479="D",N479="E"),"Enhanced Review",IF(N479="C","Conditional","Approve"))</f>
        <v/>
      </c>
      <c r="P479" s="8">
        <f>H479*M479*45%</f>
        <v/>
      </c>
      <c r="Q479" s="9">
        <f>H479/B479</f>
        <v/>
      </c>
    </row>
    <row r="480">
      <c r="A480" s="11" t="inlineStr">
        <is>
          <t>B0476</t>
        </is>
      </c>
      <c r="B480" s="12" t="n">
        <v>39065</v>
      </c>
      <c r="C480" s="13" t="n">
        <v>0.1269512158960281</v>
      </c>
      <c r="D480" s="11" t="n">
        <v>608</v>
      </c>
      <c r="E480" s="13" t="n">
        <v>0.4613416728338496</v>
      </c>
      <c r="F480" s="11" t="n">
        <v>1</v>
      </c>
      <c r="G480" s="11" t="n">
        <v>3.8</v>
      </c>
      <c r="H480" s="12" t="n">
        <v>20150</v>
      </c>
      <c r="I480" s="11" t="n">
        <v>60</v>
      </c>
      <c r="J480" s="11" t="n">
        <v>1</v>
      </c>
      <c r="K480" s="2">
        <f>IF(D480&gt;=740,0,IF(D480&gt;=670,15,30))+IF(C480&lt;=25%,0,IF(C480&lt;=40%,15,30))+IF(E480&lt;=30%,0,IF(E480&lt;=60%,10,20))+IF(F480=0,0,IF(F480=1,10,25))+IF(G480&gt;=5,0,IF(G480&gt;=2,5,10))+IF(H480/B480&lt;=25%,0,IF(H480/B480&lt;=50%,10,20))+IF(I480=36,0,IF(I480=48,3,6))</f>
        <v/>
      </c>
      <c r="L480" s="2">
        <f>850-K480*3.5</f>
        <v/>
      </c>
      <c r="M480" s="9">
        <f>1/(1+EXP(-(-4.2+0.055*K480)))</f>
        <v/>
      </c>
      <c r="N480" s="2">
        <f>IF(K480&lt;20,"A",IF(K480&lt;40,"B",IF(K480&lt;60,"C",IF(K480&lt;80,"D","E"))))</f>
        <v/>
      </c>
      <c r="O480" s="2">
        <f>IF(OR(N480="D",N480="E"),"Enhanced Review",IF(N480="C","Conditional","Approve"))</f>
        <v/>
      </c>
      <c r="P480" s="8">
        <f>H480*M480*45%</f>
        <v/>
      </c>
      <c r="Q480" s="9">
        <f>H480/B480</f>
        <v/>
      </c>
    </row>
    <row r="481">
      <c r="A481" s="11" t="inlineStr">
        <is>
          <t>B0477</t>
        </is>
      </c>
      <c r="B481" s="12" t="n">
        <v>117788</v>
      </c>
      <c r="C481" s="13" t="n">
        <v>0.2081603802248118</v>
      </c>
      <c r="D481" s="11" t="n">
        <v>688</v>
      </c>
      <c r="E481" s="13" t="n">
        <v>0.4400910028969459</v>
      </c>
      <c r="F481" s="11" t="n">
        <v>0</v>
      </c>
      <c r="G481" s="11" t="n">
        <v>14.6</v>
      </c>
      <c r="H481" s="12" t="n">
        <v>36354</v>
      </c>
      <c r="I481" s="11" t="n">
        <v>60</v>
      </c>
      <c r="J481" s="11" t="n">
        <v>0</v>
      </c>
      <c r="K481" s="2">
        <f>IF(D481&gt;=740,0,IF(D481&gt;=670,15,30))+IF(C481&lt;=25%,0,IF(C481&lt;=40%,15,30))+IF(E481&lt;=30%,0,IF(E481&lt;=60%,10,20))+IF(F481=0,0,IF(F481=1,10,25))+IF(G481&gt;=5,0,IF(G481&gt;=2,5,10))+IF(H481/B481&lt;=25%,0,IF(H481/B481&lt;=50%,10,20))+IF(I481=36,0,IF(I481=48,3,6))</f>
        <v/>
      </c>
      <c r="L481" s="2">
        <f>850-K481*3.5</f>
        <v/>
      </c>
      <c r="M481" s="9">
        <f>1/(1+EXP(-(-4.2+0.055*K481)))</f>
        <v/>
      </c>
      <c r="N481" s="2">
        <f>IF(K481&lt;20,"A",IF(K481&lt;40,"B",IF(K481&lt;60,"C",IF(K481&lt;80,"D","E"))))</f>
        <v/>
      </c>
      <c r="O481" s="2">
        <f>IF(OR(N481="D",N481="E"),"Enhanced Review",IF(N481="C","Conditional","Approve"))</f>
        <v/>
      </c>
      <c r="P481" s="8">
        <f>H481*M481*45%</f>
        <v/>
      </c>
      <c r="Q481" s="9">
        <f>H481/B481</f>
        <v/>
      </c>
    </row>
    <row r="482">
      <c r="A482" s="11" t="inlineStr">
        <is>
          <t>B0478</t>
        </is>
      </c>
      <c r="B482" s="12" t="n">
        <v>203108</v>
      </c>
      <c r="C482" s="13" t="n">
        <v>0.3109438308852008</v>
      </c>
      <c r="D482" s="11" t="n">
        <v>674</v>
      </c>
      <c r="E482" s="13" t="n">
        <v>0.7336875758898289</v>
      </c>
      <c r="F482" s="11" t="n">
        <v>0</v>
      </c>
      <c r="G482" s="11" t="n">
        <v>8</v>
      </c>
      <c r="H482" s="12" t="n">
        <v>17421</v>
      </c>
      <c r="I482" s="11" t="n">
        <v>36</v>
      </c>
      <c r="J482" s="11" t="n">
        <v>0</v>
      </c>
      <c r="K482" s="2">
        <f>IF(D482&gt;=740,0,IF(D482&gt;=670,15,30))+IF(C482&lt;=25%,0,IF(C482&lt;=40%,15,30))+IF(E482&lt;=30%,0,IF(E482&lt;=60%,10,20))+IF(F482=0,0,IF(F482=1,10,25))+IF(G482&gt;=5,0,IF(G482&gt;=2,5,10))+IF(H482/B482&lt;=25%,0,IF(H482/B482&lt;=50%,10,20))+IF(I482=36,0,IF(I482=48,3,6))</f>
        <v/>
      </c>
      <c r="L482" s="2">
        <f>850-K482*3.5</f>
        <v/>
      </c>
      <c r="M482" s="9">
        <f>1/(1+EXP(-(-4.2+0.055*K482)))</f>
        <v/>
      </c>
      <c r="N482" s="2">
        <f>IF(K482&lt;20,"A",IF(K482&lt;40,"B",IF(K482&lt;60,"C",IF(K482&lt;80,"D","E"))))</f>
        <v/>
      </c>
      <c r="O482" s="2">
        <f>IF(OR(N482="D",N482="E"),"Enhanced Review",IF(N482="C","Conditional","Approve"))</f>
        <v/>
      </c>
      <c r="P482" s="8">
        <f>H482*M482*45%</f>
        <v/>
      </c>
      <c r="Q482" s="9">
        <f>H482/B482</f>
        <v/>
      </c>
    </row>
    <row r="483">
      <c r="A483" s="11" t="inlineStr">
        <is>
          <t>B0479</t>
        </is>
      </c>
      <c r="B483" s="12" t="n">
        <v>55538</v>
      </c>
      <c r="C483" s="13" t="n">
        <v>0.4719423388958253</v>
      </c>
      <c r="D483" s="11" t="n">
        <v>756</v>
      </c>
      <c r="E483" s="13" t="n">
        <v>0.4785584247341552</v>
      </c>
      <c r="F483" s="11" t="n">
        <v>1</v>
      </c>
      <c r="G483" s="11" t="n">
        <v>2.1</v>
      </c>
      <c r="H483" s="12" t="n">
        <v>22264</v>
      </c>
      <c r="I483" s="11" t="n">
        <v>36</v>
      </c>
      <c r="J483" s="11" t="n">
        <v>1</v>
      </c>
      <c r="K483" s="2">
        <f>IF(D483&gt;=740,0,IF(D483&gt;=670,15,30))+IF(C483&lt;=25%,0,IF(C483&lt;=40%,15,30))+IF(E483&lt;=30%,0,IF(E483&lt;=60%,10,20))+IF(F483=0,0,IF(F483=1,10,25))+IF(G483&gt;=5,0,IF(G483&gt;=2,5,10))+IF(H483/B483&lt;=25%,0,IF(H483/B483&lt;=50%,10,20))+IF(I483=36,0,IF(I483=48,3,6))</f>
        <v/>
      </c>
      <c r="L483" s="2">
        <f>850-K483*3.5</f>
        <v/>
      </c>
      <c r="M483" s="9">
        <f>1/(1+EXP(-(-4.2+0.055*K483)))</f>
        <v/>
      </c>
      <c r="N483" s="2">
        <f>IF(K483&lt;20,"A",IF(K483&lt;40,"B",IF(K483&lt;60,"C",IF(K483&lt;80,"D","E"))))</f>
        <v/>
      </c>
      <c r="O483" s="2">
        <f>IF(OR(N483="D",N483="E"),"Enhanced Review",IF(N483="C","Conditional","Approve"))</f>
        <v/>
      </c>
      <c r="P483" s="8">
        <f>H483*M483*45%</f>
        <v/>
      </c>
      <c r="Q483" s="9">
        <f>H483/B483</f>
        <v/>
      </c>
    </row>
    <row r="484">
      <c r="A484" s="11" t="inlineStr">
        <is>
          <t>B0480</t>
        </is>
      </c>
      <c r="B484" s="12" t="n">
        <v>58397</v>
      </c>
      <c r="C484" s="13" t="n">
        <v>0.0751677222511771</v>
      </c>
      <c r="D484" s="11" t="n">
        <v>624</v>
      </c>
      <c r="E484" s="13" t="n">
        <v>0.2005424731551987</v>
      </c>
      <c r="F484" s="11" t="n">
        <v>0</v>
      </c>
      <c r="G484" s="11" t="n">
        <v>3.6</v>
      </c>
      <c r="H484" s="12" t="n">
        <v>18909</v>
      </c>
      <c r="I484" s="11" t="n">
        <v>60</v>
      </c>
      <c r="J484" s="11" t="n">
        <v>0</v>
      </c>
      <c r="K484" s="2">
        <f>IF(D484&gt;=740,0,IF(D484&gt;=670,15,30))+IF(C484&lt;=25%,0,IF(C484&lt;=40%,15,30))+IF(E484&lt;=30%,0,IF(E484&lt;=60%,10,20))+IF(F484=0,0,IF(F484=1,10,25))+IF(G484&gt;=5,0,IF(G484&gt;=2,5,10))+IF(H484/B484&lt;=25%,0,IF(H484/B484&lt;=50%,10,20))+IF(I484=36,0,IF(I484=48,3,6))</f>
        <v/>
      </c>
      <c r="L484" s="2">
        <f>850-K484*3.5</f>
        <v/>
      </c>
      <c r="M484" s="9">
        <f>1/(1+EXP(-(-4.2+0.055*K484)))</f>
        <v/>
      </c>
      <c r="N484" s="2">
        <f>IF(K484&lt;20,"A",IF(K484&lt;40,"B",IF(K484&lt;60,"C",IF(K484&lt;80,"D","E"))))</f>
        <v/>
      </c>
      <c r="O484" s="2">
        <f>IF(OR(N484="D",N484="E"),"Enhanced Review",IF(N484="C","Conditional","Approve"))</f>
        <v/>
      </c>
      <c r="P484" s="8">
        <f>H484*M484*45%</f>
        <v/>
      </c>
      <c r="Q484" s="9">
        <f>H484/B484</f>
        <v/>
      </c>
    </row>
    <row r="485">
      <c r="A485" s="11" t="inlineStr">
        <is>
          <t>B0481</t>
        </is>
      </c>
      <c r="B485" s="12" t="n">
        <v>140719</v>
      </c>
      <c r="C485" s="13" t="n">
        <v>0.33317467625724</v>
      </c>
      <c r="D485" s="11" t="n">
        <v>696</v>
      </c>
      <c r="E485" s="13" t="n">
        <v>0.6601221265438373</v>
      </c>
      <c r="F485" s="11" t="n">
        <v>0</v>
      </c>
      <c r="G485" s="11" t="n">
        <v>4.3</v>
      </c>
      <c r="H485" s="12" t="n">
        <v>12222</v>
      </c>
      <c r="I485" s="11" t="n">
        <v>36</v>
      </c>
      <c r="J485" s="11" t="n">
        <v>0</v>
      </c>
      <c r="K485" s="2">
        <f>IF(D485&gt;=740,0,IF(D485&gt;=670,15,30))+IF(C485&lt;=25%,0,IF(C485&lt;=40%,15,30))+IF(E485&lt;=30%,0,IF(E485&lt;=60%,10,20))+IF(F485=0,0,IF(F485=1,10,25))+IF(G485&gt;=5,0,IF(G485&gt;=2,5,10))+IF(H485/B485&lt;=25%,0,IF(H485/B485&lt;=50%,10,20))+IF(I485=36,0,IF(I485=48,3,6))</f>
        <v/>
      </c>
      <c r="L485" s="2">
        <f>850-K485*3.5</f>
        <v/>
      </c>
      <c r="M485" s="9">
        <f>1/(1+EXP(-(-4.2+0.055*K485)))</f>
        <v/>
      </c>
      <c r="N485" s="2">
        <f>IF(K485&lt;20,"A",IF(K485&lt;40,"B",IF(K485&lt;60,"C",IF(K485&lt;80,"D","E"))))</f>
        <v/>
      </c>
      <c r="O485" s="2">
        <f>IF(OR(N485="D",N485="E"),"Enhanced Review",IF(N485="C","Conditional","Approve"))</f>
        <v/>
      </c>
      <c r="P485" s="8">
        <f>H485*M485*45%</f>
        <v/>
      </c>
      <c r="Q485" s="9">
        <f>H485/B485</f>
        <v/>
      </c>
    </row>
    <row r="486">
      <c r="A486" s="11" t="inlineStr">
        <is>
          <t>B0482</t>
        </is>
      </c>
      <c r="B486" s="12" t="n">
        <v>88661</v>
      </c>
      <c r="C486" s="13" t="n">
        <v>0.2102642030264512</v>
      </c>
      <c r="D486" s="11" t="n">
        <v>610</v>
      </c>
      <c r="E486" s="13" t="n">
        <v>0.5043132971864123</v>
      </c>
      <c r="F486" s="11" t="n">
        <v>0</v>
      </c>
      <c r="G486" s="11" t="n">
        <v>1.6</v>
      </c>
      <c r="H486" s="12" t="n">
        <v>10008</v>
      </c>
      <c r="I486" s="11" t="n">
        <v>36</v>
      </c>
      <c r="J486" s="11" t="n">
        <v>0</v>
      </c>
      <c r="K486" s="2">
        <f>IF(D486&gt;=740,0,IF(D486&gt;=670,15,30))+IF(C486&lt;=25%,0,IF(C486&lt;=40%,15,30))+IF(E486&lt;=30%,0,IF(E486&lt;=60%,10,20))+IF(F486=0,0,IF(F486=1,10,25))+IF(G486&gt;=5,0,IF(G486&gt;=2,5,10))+IF(H486/B486&lt;=25%,0,IF(H486/B486&lt;=50%,10,20))+IF(I486=36,0,IF(I486=48,3,6))</f>
        <v/>
      </c>
      <c r="L486" s="2">
        <f>850-K486*3.5</f>
        <v/>
      </c>
      <c r="M486" s="9">
        <f>1/(1+EXP(-(-4.2+0.055*K486)))</f>
        <v/>
      </c>
      <c r="N486" s="2">
        <f>IF(K486&lt;20,"A",IF(K486&lt;40,"B",IF(K486&lt;60,"C",IF(K486&lt;80,"D","E"))))</f>
        <v/>
      </c>
      <c r="O486" s="2">
        <f>IF(OR(N486="D",N486="E"),"Enhanced Review",IF(N486="C","Conditional","Approve"))</f>
        <v/>
      </c>
      <c r="P486" s="8">
        <f>H486*M486*45%</f>
        <v/>
      </c>
      <c r="Q486" s="9">
        <f>H486/B486</f>
        <v/>
      </c>
    </row>
    <row r="487">
      <c r="A487" s="11" t="inlineStr">
        <is>
          <t>B0483</t>
        </is>
      </c>
      <c r="B487" s="12" t="n">
        <v>137432</v>
      </c>
      <c r="C487" s="13" t="n">
        <v>0.2527375233203978</v>
      </c>
      <c r="D487" s="11" t="n">
        <v>683</v>
      </c>
      <c r="E487" s="13" t="n">
        <v>0.309318729971826</v>
      </c>
      <c r="F487" s="11" t="n">
        <v>0</v>
      </c>
      <c r="G487" s="11" t="n">
        <v>5.9</v>
      </c>
      <c r="H487" s="12" t="n">
        <v>14524</v>
      </c>
      <c r="I487" s="11" t="n">
        <v>60</v>
      </c>
      <c r="J487" s="11" t="n">
        <v>0</v>
      </c>
      <c r="K487" s="2">
        <f>IF(D487&gt;=740,0,IF(D487&gt;=670,15,30))+IF(C487&lt;=25%,0,IF(C487&lt;=40%,15,30))+IF(E487&lt;=30%,0,IF(E487&lt;=60%,10,20))+IF(F487=0,0,IF(F487=1,10,25))+IF(G487&gt;=5,0,IF(G487&gt;=2,5,10))+IF(H487/B487&lt;=25%,0,IF(H487/B487&lt;=50%,10,20))+IF(I487=36,0,IF(I487=48,3,6))</f>
        <v/>
      </c>
      <c r="L487" s="2">
        <f>850-K487*3.5</f>
        <v/>
      </c>
      <c r="M487" s="9">
        <f>1/(1+EXP(-(-4.2+0.055*K487)))</f>
        <v/>
      </c>
      <c r="N487" s="2">
        <f>IF(K487&lt;20,"A",IF(K487&lt;40,"B",IF(K487&lt;60,"C",IF(K487&lt;80,"D","E"))))</f>
        <v/>
      </c>
      <c r="O487" s="2">
        <f>IF(OR(N487="D",N487="E"),"Enhanced Review",IF(N487="C","Conditional","Approve"))</f>
        <v/>
      </c>
      <c r="P487" s="8">
        <f>H487*M487*45%</f>
        <v/>
      </c>
      <c r="Q487" s="9">
        <f>H487/B487</f>
        <v/>
      </c>
    </row>
    <row r="488">
      <c r="A488" s="11" t="inlineStr">
        <is>
          <t>B0484</t>
        </is>
      </c>
      <c r="B488" s="12" t="n">
        <v>74861</v>
      </c>
      <c r="C488" s="13" t="n">
        <v>0.44835235028938</v>
      </c>
      <c r="D488" s="11" t="n">
        <v>709</v>
      </c>
      <c r="E488" s="13" t="n">
        <v>0.4520896545202958</v>
      </c>
      <c r="F488" s="11" t="n">
        <v>0</v>
      </c>
      <c r="G488" s="11" t="n">
        <v>5.4</v>
      </c>
      <c r="H488" s="12" t="n">
        <v>35012</v>
      </c>
      <c r="I488" s="11" t="n">
        <v>36</v>
      </c>
      <c r="J488" s="11" t="n">
        <v>0</v>
      </c>
      <c r="K488" s="2">
        <f>IF(D488&gt;=740,0,IF(D488&gt;=670,15,30))+IF(C488&lt;=25%,0,IF(C488&lt;=40%,15,30))+IF(E488&lt;=30%,0,IF(E488&lt;=60%,10,20))+IF(F488=0,0,IF(F488=1,10,25))+IF(G488&gt;=5,0,IF(G488&gt;=2,5,10))+IF(H488/B488&lt;=25%,0,IF(H488/B488&lt;=50%,10,20))+IF(I488=36,0,IF(I488=48,3,6))</f>
        <v/>
      </c>
      <c r="L488" s="2">
        <f>850-K488*3.5</f>
        <v/>
      </c>
      <c r="M488" s="9">
        <f>1/(1+EXP(-(-4.2+0.055*K488)))</f>
        <v/>
      </c>
      <c r="N488" s="2">
        <f>IF(K488&lt;20,"A",IF(K488&lt;40,"B",IF(K488&lt;60,"C",IF(K488&lt;80,"D","E"))))</f>
        <v/>
      </c>
      <c r="O488" s="2">
        <f>IF(OR(N488="D",N488="E"),"Enhanced Review",IF(N488="C","Conditional","Approve"))</f>
        <v/>
      </c>
      <c r="P488" s="8">
        <f>H488*M488*45%</f>
        <v/>
      </c>
      <c r="Q488" s="9">
        <f>H488/B488</f>
        <v/>
      </c>
    </row>
    <row r="489">
      <c r="A489" s="11" t="inlineStr">
        <is>
          <t>B0485</t>
        </is>
      </c>
      <c r="B489" s="12" t="n">
        <v>130661</v>
      </c>
      <c r="C489" s="13" t="n">
        <v>0.6244497072365179</v>
      </c>
      <c r="D489" s="11" t="n">
        <v>682</v>
      </c>
      <c r="E489" s="13" t="n">
        <v>0.2507203803711052</v>
      </c>
      <c r="F489" s="11" t="n">
        <v>0</v>
      </c>
      <c r="G489" s="11" t="n">
        <v>1.3</v>
      </c>
      <c r="H489" s="12" t="n">
        <v>26327</v>
      </c>
      <c r="I489" s="11" t="n">
        <v>36</v>
      </c>
      <c r="J489" s="11" t="n">
        <v>0</v>
      </c>
      <c r="K489" s="2">
        <f>IF(D489&gt;=740,0,IF(D489&gt;=670,15,30))+IF(C489&lt;=25%,0,IF(C489&lt;=40%,15,30))+IF(E489&lt;=30%,0,IF(E489&lt;=60%,10,20))+IF(F489=0,0,IF(F489=1,10,25))+IF(G489&gt;=5,0,IF(G489&gt;=2,5,10))+IF(H489/B489&lt;=25%,0,IF(H489/B489&lt;=50%,10,20))+IF(I489=36,0,IF(I489=48,3,6))</f>
        <v/>
      </c>
      <c r="L489" s="2">
        <f>850-K489*3.5</f>
        <v/>
      </c>
      <c r="M489" s="9">
        <f>1/(1+EXP(-(-4.2+0.055*K489)))</f>
        <v/>
      </c>
      <c r="N489" s="2">
        <f>IF(K489&lt;20,"A",IF(K489&lt;40,"B",IF(K489&lt;60,"C",IF(K489&lt;80,"D","E"))))</f>
        <v/>
      </c>
      <c r="O489" s="2">
        <f>IF(OR(N489="D",N489="E"),"Enhanced Review",IF(N489="C","Conditional","Approve"))</f>
        <v/>
      </c>
      <c r="P489" s="8">
        <f>H489*M489*45%</f>
        <v/>
      </c>
      <c r="Q489" s="9">
        <f>H489/B489</f>
        <v/>
      </c>
    </row>
    <row r="490">
      <c r="A490" s="11" t="inlineStr">
        <is>
          <t>B0486</t>
        </is>
      </c>
      <c r="B490" s="12" t="n">
        <v>64766</v>
      </c>
      <c r="C490" s="13" t="n">
        <v>0.1601684156363537</v>
      </c>
      <c r="D490" s="11" t="n">
        <v>694</v>
      </c>
      <c r="E490" s="13" t="n">
        <v>0.08839008666433769</v>
      </c>
      <c r="F490" s="11" t="n">
        <v>0</v>
      </c>
      <c r="G490" s="11" t="n">
        <v>3</v>
      </c>
      <c r="H490" s="12" t="n">
        <v>68984</v>
      </c>
      <c r="I490" s="11" t="n">
        <v>60</v>
      </c>
      <c r="J490" s="11" t="n">
        <v>0</v>
      </c>
      <c r="K490" s="2">
        <f>IF(D490&gt;=740,0,IF(D490&gt;=670,15,30))+IF(C490&lt;=25%,0,IF(C490&lt;=40%,15,30))+IF(E490&lt;=30%,0,IF(E490&lt;=60%,10,20))+IF(F490=0,0,IF(F490=1,10,25))+IF(G490&gt;=5,0,IF(G490&gt;=2,5,10))+IF(H490/B490&lt;=25%,0,IF(H490/B490&lt;=50%,10,20))+IF(I490=36,0,IF(I490=48,3,6))</f>
        <v/>
      </c>
      <c r="L490" s="2">
        <f>850-K490*3.5</f>
        <v/>
      </c>
      <c r="M490" s="9">
        <f>1/(1+EXP(-(-4.2+0.055*K490)))</f>
        <v/>
      </c>
      <c r="N490" s="2">
        <f>IF(K490&lt;20,"A",IF(K490&lt;40,"B",IF(K490&lt;60,"C",IF(K490&lt;80,"D","E"))))</f>
        <v/>
      </c>
      <c r="O490" s="2">
        <f>IF(OR(N490="D",N490="E"),"Enhanced Review",IF(N490="C","Conditional","Approve"))</f>
        <v/>
      </c>
      <c r="P490" s="8">
        <f>H490*M490*45%</f>
        <v/>
      </c>
      <c r="Q490" s="9">
        <f>H490/B490</f>
        <v/>
      </c>
    </row>
    <row r="491">
      <c r="A491" s="11" t="inlineStr">
        <is>
          <t>B0487</t>
        </is>
      </c>
      <c r="B491" s="12" t="n">
        <v>78044</v>
      </c>
      <c r="C491" s="13" t="n">
        <v>0.1022592405985024</v>
      </c>
      <c r="D491" s="11" t="n">
        <v>687</v>
      </c>
      <c r="E491" s="13" t="n">
        <v>0.2832828758593584</v>
      </c>
      <c r="F491" s="11" t="n">
        <v>1</v>
      </c>
      <c r="G491" s="11" t="n">
        <v>12.6</v>
      </c>
      <c r="H491" s="12" t="n">
        <v>32309</v>
      </c>
      <c r="I491" s="11" t="n">
        <v>48</v>
      </c>
      <c r="J491" s="11" t="n">
        <v>0</v>
      </c>
      <c r="K491" s="2">
        <f>IF(D491&gt;=740,0,IF(D491&gt;=670,15,30))+IF(C491&lt;=25%,0,IF(C491&lt;=40%,15,30))+IF(E491&lt;=30%,0,IF(E491&lt;=60%,10,20))+IF(F491=0,0,IF(F491=1,10,25))+IF(G491&gt;=5,0,IF(G491&gt;=2,5,10))+IF(H491/B491&lt;=25%,0,IF(H491/B491&lt;=50%,10,20))+IF(I491=36,0,IF(I491=48,3,6))</f>
        <v/>
      </c>
      <c r="L491" s="2">
        <f>850-K491*3.5</f>
        <v/>
      </c>
      <c r="M491" s="9">
        <f>1/(1+EXP(-(-4.2+0.055*K491)))</f>
        <v/>
      </c>
      <c r="N491" s="2">
        <f>IF(K491&lt;20,"A",IF(K491&lt;40,"B",IF(K491&lt;60,"C",IF(K491&lt;80,"D","E"))))</f>
        <v/>
      </c>
      <c r="O491" s="2">
        <f>IF(OR(N491="D",N491="E"),"Enhanced Review",IF(N491="C","Conditional","Approve"))</f>
        <v/>
      </c>
      <c r="P491" s="8">
        <f>H491*M491*45%</f>
        <v/>
      </c>
      <c r="Q491" s="9">
        <f>H491/B491</f>
        <v/>
      </c>
    </row>
    <row r="492">
      <c r="A492" s="11" t="inlineStr">
        <is>
          <t>B0488</t>
        </is>
      </c>
      <c r="B492" s="12" t="n">
        <v>134130</v>
      </c>
      <c r="C492" s="13" t="n">
        <v>0.3389385765465858</v>
      </c>
      <c r="D492" s="11" t="n">
        <v>673</v>
      </c>
      <c r="E492" s="13" t="n">
        <v>0.1844925610482551</v>
      </c>
      <c r="F492" s="11" t="n">
        <v>0</v>
      </c>
      <c r="G492" s="11" t="n">
        <v>0.7</v>
      </c>
      <c r="H492" s="12" t="n">
        <v>28060</v>
      </c>
      <c r="I492" s="11" t="n">
        <v>60</v>
      </c>
      <c r="J492" s="11" t="n">
        <v>0</v>
      </c>
      <c r="K492" s="2">
        <f>IF(D492&gt;=740,0,IF(D492&gt;=670,15,30))+IF(C492&lt;=25%,0,IF(C492&lt;=40%,15,30))+IF(E492&lt;=30%,0,IF(E492&lt;=60%,10,20))+IF(F492=0,0,IF(F492=1,10,25))+IF(G492&gt;=5,0,IF(G492&gt;=2,5,10))+IF(H492/B492&lt;=25%,0,IF(H492/B492&lt;=50%,10,20))+IF(I492=36,0,IF(I492=48,3,6))</f>
        <v/>
      </c>
      <c r="L492" s="2">
        <f>850-K492*3.5</f>
        <v/>
      </c>
      <c r="M492" s="9">
        <f>1/(1+EXP(-(-4.2+0.055*K492)))</f>
        <v/>
      </c>
      <c r="N492" s="2">
        <f>IF(K492&lt;20,"A",IF(K492&lt;40,"B",IF(K492&lt;60,"C",IF(K492&lt;80,"D","E"))))</f>
        <v/>
      </c>
      <c r="O492" s="2">
        <f>IF(OR(N492="D",N492="E"),"Enhanced Review",IF(N492="C","Conditional","Approve"))</f>
        <v/>
      </c>
      <c r="P492" s="8">
        <f>H492*M492*45%</f>
        <v/>
      </c>
      <c r="Q492" s="9">
        <f>H492/B492</f>
        <v/>
      </c>
    </row>
    <row r="493">
      <c r="A493" s="11" t="inlineStr">
        <is>
          <t>B0489</t>
        </is>
      </c>
      <c r="B493" s="12" t="n">
        <v>93395</v>
      </c>
      <c r="C493" s="13" t="n">
        <v>0.2634262332074474</v>
      </c>
      <c r="D493" s="11" t="n">
        <v>710</v>
      </c>
      <c r="E493" s="13" t="n">
        <v>0.6268856249360691</v>
      </c>
      <c r="F493" s="11" t="n">
        <v>0</v>
      </c>
      <c r="G493" s="11" t="n">
        <v>5.6</v>
      </c>
      <c r="H493" s="12" t="n">
        <v>18828</v>
      </c>
      <c r="I493" s="11" t="n">
        <v>60</v>
      </c>
      <c r="J493" s="11" t="n">
        <v>0</v>
      </c>
      <c r="K493" s="2">
        <f>IF(D493&gt;=740,0,IF(D493&gt;=670,15,30))+IF(C493&lt;=25%,0,IF(C493&lt;=40%,15,30))+IF(E493&lt;=30%,0,IF(E493&lt;=60%,10,20))+IF(F493=0,0,IF(F493=1,10,25))+IF(G493&gt;=5,0,IF(G493&gt;=2,5,10))+IF(H493/B493&lt;=25%,0,IF(H493/B493&lt;=50%,10,20))+IF(I493=36,0,IF(I493=48,3,6))</f>
        <v/>
      </c>
      <c r="L493" s="2">
        <f>850-K493*3.5</f>
        <v/>
      </c>
      <c r="M493" s="9">
        <f>1/(1+EXP(-(-4.2+0.055*K493)))</f>
        <v/>
      </c>
      <c r="N493" s="2">
        <f>IF(K493&lt;20,"A",IF(K493&lt;40,"B",IF(K493&lt;60,"C",IF(K493&lt;80,"D","E"))))</f>
        <v/>
      </c>
      <c r="O493" s="2">
        <f>IF(OR(N493="D",N493="E"),"Enhanced Review",IF(N493="C","Conditional","Approve"))</f>
        <v/>
      </c>
      <c r="P493" s="8">
        <f>H493*M493*45%</f>
        <v/>
      </c>
      <c r="Q493" s="9">
        <f>H493/B493</f>
        <v/>
      </c>
    </row>
    <row r="494">
      <c r="A494" s="11" t="inlineStr">
        <is>
          <t>B0490</t>
        </is>
      </c>
      <c r="B494" s="12" t="n">
        <v>76538</v>
      </c>
      <c r="C494" s="13" t="n">
        <v>0.4164844816326017</v>
      </c>
      <c r="D494" s="11" t="n">
        <v>750</v>
      </c>
      <c r="E494" s="13" t="n">
        <v>0.1559937090065112</v>
      </c>
      <c r="F494" s="11" t="n">
        <v>3</v>
      </c>
      <c r="G494" s="11" t="n">
        <v>8.699999999999999</v>
      </c>
      <c r="H494" s="12" t="n">
        <v>11938</v>
      </c>
      <c r="I494" s="11" t="n">
        <v>60</v>
      </c>
      <c r="J494" s="11" t="n">
        <v>0</v>
      </c>
      <c r="K494" s="2">
        <f>IF(D494&gt;=740,0,IF(D494&gt;=670,15,30))+IF(C494&lt;=25%,0,IF(C494&lt;=40%,15,30))+IF(E494&lt;=30%,0,IF(E494&lt;=60%,10,20))+IF(F494=0,0,IF(F494=1,10,25))+IF(G494&gt;=5,0,IF(G494&gt;=2,5,10))+IF(H494/B494&lt;=25%,0,IF(H494/B494&lt;=50%,10,20))+IF(I494=36,0,IF(I494=48,3,6))</f>
        <v/>
      </c>
      <c r="L494" s="2">
        <f>850-K494*3.5</f>
        <v/>
      </c>
      <c r="M494" s="9">
        <f>1/(1+EXP(-(-4.2+0.055*K494)))</f>
        <v/>
      </c>
      <c r="N494" s="2">
        <f>IF(K494&lt;20,"A",IF(K494&lt;40,"B",IF(K494&lt;60,"C",IF(K494&lt;80,"D","E"))))</f>
        <v/>
      </c>
      <c r="O494" s="2">
        <f>IF(OR(N494="D",N494="E"),"Enhanced Review",IF(N494="C","Conditional","Approve"))</f>
        <v/>
      </c>
      <c r="P494" s="8">
        <f>H494*M494*45%</f>
        <v/>
      </c>
      <c r="Q494" s="9">
        <f>H494/B494</f>
        <v/>
      </c>
    </row>
    <row r="495">
      <c r="A495" s="11" t="inlineStr">
        <is>
          <t>B0491</t>
        </is>
      </c>
      <c r="B495" s="12" t="n">
        <v>75162</v>
      </c>
      <c r="C495" s="13" t="n">
        <v>0.1560850547463976</v>
      </c>
      <c r="D495" s="11" t="n">
        <v>701</v>
      </c>
      <c r="E495" s="13" t="n">
        <v>0.07464400563124665</v>
      </c>
      <c r="F495" s="11" t="n">
        <v>0</v>
      </c>
      <c r="G495" s="11" t="n">
        <v>7</v>
      </c>
      <c r="H495" s="12" t="n">
        <v>25667</v>
      </c>
      <c r="I495" s="11" t="n">
        <v>60</v>
      </c>
      <c r="J495" s="11" t="n">
        <v>0</v>
      </c>
      <c r="K495" s="2">
        <f>IF(D495&gt;=740,0,IF(D495&gt;=670,15,30))+IF(C495&lt;=25%,0,IF(C495&lt;=40%,15,30))+IF(E495&lt;=30%,0,IF(E495&lt;=60%,10,20))+IF(F495=0,0,IF(F495=1,10,25))+IF(G495&gt;=5,0,IF(G495&gt;=2,5,10))+IF(H495/B495&lt;=25%,0,IF(H495/B495&lt;=50%,10,20))+IF(I495=36,0,IF(I495=48,3,6))</f>
        <v/>
      </c>
      <c r="L495" s="2">
        <f>850-K495*3.5</f>
        <v/>
      </c>
      <c r="M495" s="9">
        <f>1/(1+EXP(-(-4.2+0.055*K495)))</f>
        <v/>
      </c>
      <c r="N495" s="2">
        <f>IF(K495&lt;20,"A",IF(K495&lt;40,"B",IF(K495&lt;60,"C",IF(K495&lt;80,"D","E"))))</f>
        <v/>
      </c>
      <c r="O495" s="2">
        <f>IF(OR(N495="D",N495="E"),"Enhanced Review",IF(N495="C","Conditional","Approve"))</f>
        <v/>
      </c>
      <c r="P495" s="8">
        <f>H495*M495*45%</f>
        <v/>
      </c>
      <c r="Q495" s="9">
        <f>H495/B495</f>
        <v/>
      </c>
    </row>
    <row r="496">
      <c r="A496" s="11" t="inlineStr">
        <is>
          <t>B0492</t>
        </is>
      </c>
      <c r="B496" s="12" t="n">
        <v>39630</v>
      </c>
      <c r="C496" s="13" t="n">
        <v>0.1322223811195838</v>
      </c>
      <c r="D496" s="11" t="n">
        <v>721</v>
      </c>
      <c r="E496" s="13" t="n">
        <v>0.7062380690970385</v>
      </c>
      <c r="F496" s="11" t="n">
        <v>1</v>
      </c>
      <c r="G496" s="11" t="n">
        <v>13.9</v>
      </c>
      <c r="H496" s="12" t="n">
        <v>20775</v>
      </c>
      <c r="I496" s="11" t="n">
        <v>36</v>
      </c>
      <c r="J496" s="11" t="n">
        <v>0</v>
      </c>
      <c r="K496" s="2">
        <f>IF(D496&gt;=740,0,IF(D496&gt;=670,15,30))+IF(C496&lt;=25%,0,IF(C496&lt;=40%,15,30))+IF(E496&lt;=30%,0,IF(E496&lt;=60%,10,20))+IF(F496=0,0,IF(F496=1,10,25))+IF(G496&gt;=5,0,IF(G496&gt;=2,5,10))+IF(H496/B496&lt;=25%,0,IF(H496/B496&lt;=50%,10,20))+IF(I496=36,0,IF(I496=48,3,6))</f>
        <v/>
      </c>
      <c r="L496" s="2">
        <f>850-K496*3.5</f>
        <v/>
      </c>
      <c r="M496" s="9">
        <f>1/(1+EXP(-(-4.2+0.055*K496)))</f>
        <v/>
      </c>
      <c r="N496" s="2">
        <f>IF(K496&lt;20,"A",IF(K496&lt;40,"B",IF(K496&lt;60,"C",IF(K496&lt;80,"D","E"))))</f>
        <v/>
      </c>
      <c r="O496" s="2">
        <f>IF(OR(N496="D",N496="E"),"Enhanced Review",IF(N496="C","Conditional","Approve"))</f>
        <v/>
      </c>
      <c r="P496" s="8">
        <f>H496*M496*45%</f>
        <v/>
      </c>
      <c r="Q496" s="9">
        <f>H496/B496</f>
        <v/>
      </c>
    </row>
    <row r="497">
      <c r="A497" s="11" t="inlineStr">
        <is>
          <t>B0493</t>
        </is>
      </c>
      <c r="B497" s="12" t="n">
        <v>87523</v>
      </c>
      <c r="C497" s="13" t="n">
        <v>0.1897421212136348</v>
      </c>
      <c r="D497" s="11" t="n">
        <v>636</v>
      </c>
      <c r="E497" s="13" t="n">
        <v>0.9611589409757573</v>
      </c>
      <c r="F497" s="11" t="n">
        <v>0</v>
      </c>
      <c r="G497" s="11" t="n">
        <v>2.7</v>
      </c>
      <c r="H497" s="12" t="n">
        <v>51001</v>
      </c>
      <c r="I497" s="11" t="n">
        <v>36</v>
      </c>
      <c r="J497" s="11" t="n">
        <v>0</v>
      </c>
      <c r="K497" s="2">
        <f>IF(D497&gt;=740,0,IF(D497&gt;=670,15,30))+IF(C497&lt;=25%,0,IF(C497&lt;=40%,15,30))+IF(E497&lt;=30%,0,IF(E497&lt;=60%,10,20))+IF(F497=0,0,IF(F497=1,10,25))+IF(G497&gt;=5,0,IF(G497&gt;=2,5,10))+IF(H497/B497&lt;=25%,0,IF(H497/B497&lt;=50%,10,20))+IF(I497=36,0,IF(I497=48,3,6))</f>
        <v/>
      </c>
      <c r="L497" s="2">
        <f>850-K497*3.5</f>
        <v/>
      </c>
      <c r="M497" s="9">
        <f>1/(1+EXP(-(-4.2+0.055*K497)))</f>
        <v/>
      </c>
      <c r="N497" s="2">
        <f>IF(K497&lt;20,"A",IF(K497&lt;40,"B",IF(K497&lt;60,"C",IF(K497&lt;80,"D","E"))))</f>
        <v/>
      </c>
      <c r="O497" s="2">
        <f>IF(OR(N497="D",N497="E"),"Enhanced Review",IF(N497="C","Conditional","Approve"))</f>
        <v/>
      </c>
      <c r="P497" s="8">
        <f>H497*M497*45%</f>
        <v/>
      </c>
      <c r="Q497" s="9">
        <f>H497/B497</f>
        <v/>
      </c>
    </row>
    <row r="498">
      <c r="A498" s="11" t="inlineStr">
        <is>
          <t>B0494</t>
        </is>
      </c>
      <c r="B498" s="12" t="n">
        <v>52932</v>
      </c>
      <c r="C498" s="13" t="n">
        <v>0.323938435421847</v>
      </c>
      <c r="D498" s="11" t="n">
        <v>684</v>
      </c>
      <c r="E498" s="13" t="n">
        <v>0.7150270320529426</v>
      </c>
      <c r="F498" s="11" t="n">
        <v>0</v>
      </c>
      <c r="G498" s="11" t="n">
        <v>4.6</v>
      </c>
      <c r="H498" s="12" t="n">
        <v>19341</v>
      </c>
      <c r="I498" s="11" t="n">
        <v>36</v>
      </c>
      <c r="J498" s="11" t="n">
        <v>1</v>
      </c>
      <c r="K498" s="2">
        <f>IF(D498&gt;=740,0,IF(D498&gt;=670,15,30))+IF(C498&lt;=25%,0,IF(C498&lt;=40%,15,30))+IF(E498&lt;=30%,0,IF(E498&lt;=60%,10,20))+IF(F498=0,0,IF(F498=1,10,25))+IF(G498&gt;=5,0,IF(G498&gt;=2,5,10))+IF(H498/B498&lt;=25%,0,IF(H498/B498&lt;=50%,10,20))+IF(I498=36,0,IF(I498=48,3,6))</f>
        <v/>
      </c>
      <c r="L498" s="2">
        <f>850-K498*3.5</f>
        <v/>
      </c>
      <c r="M498" s="9">
        <f>1/(1+EXP(-(-4.2+0.055*K498)))</f>
        <v/>
      </c>
      <c r="N498" s="2">
        <f>IF(K498&lt;20,"A",IF(K498&lt;40,"B",IF(K498&lt;60,"C",IF(K498&lt;80,"D","E"))))</f>
        <v/>
      </c>
      <c r="O498" s="2">
        <f>IF(OR(N498="D",N498="E"),"Enhanced Review",IF(N498="C","Conditional","Approve"))</f>
        <v/>
      </c>
      <c r="P498" s="8">
        <f>H498*M498*45%</f>
        <v/>
      </c>
      <c r="Q498" s="9">
        <f>H498/B498</f>
        <v/>
      </c>
    </row>
    <row r="499">
      <c r="A499" s="11" t="inlineStr">
        <is>
          <t>B0495</t>
        </is>
      </c>
      <c r="B499" s="12" t="n">
        <v>114892</v>
      </c>
      <c r="C499" s="13" t="n">
        <v>0.1760696356661169</v>
      </c>
      <c r="D499" s="11" t="n">
        <v>638</v>
      </c>
      <c r="E499" s="13" t="n">
        <v>0.2154771391071197</v>
      </c>
      <c r="F499" s="11" t="n">
        <v>1</v>
      </c>
      <c r="G499" s="11" t="n">
        <v>13.4</v>
      </c>
      <c r="H499" s="12" t="n">
        <v>31727</v>
      </c>
      <c r="I499" s="11" t="n">
        <v>36</v>
      </c>
      <c r="J499" s="11" t="n">
        <v>0</v>
      </c>
      <c r="K499" s="2">
        <f>IF(D499&gt;=740,0,IF(D499&gt;=670,15,30))+IF(C499&lt;=25%,0,IF(C499&lt;=40%,15,30))+IF(E499&lt;=30%,0,IF(E499&lt;=60%,10,20))+IF(F499=0,0,IF(F499=1,10,25))+IF(G499&gt;=5,0,IF(G499&gt;=2,5,10))+IF(H499/B499&lt;=25%,0,IF(H499/B499&lt;=50%,10,20))+IF(I499=36,0,IF(I499=48,3,6))</f>
        <v/>
      </c>
      <c r="L499" s="2">
        <f>850-K499*3.5</f>
        <v/>
      </c>
      <c r="M499" s="9">
        <f>1/(1+EXP(-(-4.2+0.055*K499)))</f>
        <v/>
      </c>
      <c r="N499" s="2">
        <f>IF(K499&lt;20,"A",IF(K499&lt;40,"B",IF(K499&lt;60,"C",IF(K499&lt;80,"D","E"))))</f>
        <v/>
      </c>
      <c r="O499" s="2">
        <f>IF(OR(N499="D",N499="E"),"Enhanced Review",IF(N499="C","Conditional","Approve"))</f>
        <v/>
      </c>
      <c r="P499" s="8">
        <f>H499*M499*45%</f>
        <v/>
      </c>
      <c r="Q499" s="9">
        <f>H499/B499</f>
        <v/>
      </c>
    </row>
    <row r="500">
      <c r="A500" s="11" t="inlineStr">
        <is>
          <t>B0496</t>
        </is>
      </c>
      <c r="B500" s="12" t="n">
        <v>123112</v>
      </c>
      <c r="C500" s="13" t="n">
        <v>0.2886137482522947</v>
      </c>
      <c r="D500" s="11" t="n">
        <v>734</v>
      </c>
      <c r="E500" s="13" t="n">
        <v>0.6050391919599261</v>
      </c>
      <c r="F500" s="11" t="n">
        <v>0</v>
      </c>
      <c r="G500" s="11" t="n">
        <v>15.8</v>
      </c>
      <c r="H500" s="12" t="n">
        <v>13993</v>
      </c>
      <c r="I500" s="11" t="n">
        <v>36</v>
      </c>
      <c r="J500" s="11" t="n">
        <v>0</v>
      </c>
      <c r="K500" s="2">
        <f>IF(D500&gt;=740,0,IF(D500&gt;=670,15,30))+IF(C500&lt;=25%,0,IF(C500&lt;=40%,15,30))+IF(E500&lt;=30%,0,IF(E500&lt;=60%,10,20))+IF(F500=0,0,IF(F500=1,10,25))+IF(G500&gt;=5,0,IF(G500&gt;=2,5,10))+IF(H500/B500&lt;=25%,0,IF(H500/B500&lt;=50%,10,20))+IF(I500=36,0,IF(I500=48,3,6))</f>
        <v/>
      </c>
      <c r="L500" s="2">
        <f>850-K500*3.5</f>
        <v/>
      </c>
      <c r="M500" s="9">
        <f>1/(1+EXP(-(-4.2+0.055*K500)))</f>
        <v/>
      </c>
      <c r="N500" s="2">
        <f>IF(K500&lt;20,"A",IF(K500&lt;40,"B",IF(K500&lt;60,"C",IF(K500&lt;80,"D","E"))))</f>
        <v/>
      </c>
      <c r="O500" s="2">
        <f>IF(OR(N500="D",N500="E"),"Enhanced Review",IF(N500="C","Conditional","Approve"))</f>
        <v/>
      </c>
      <c r="P500" s="8">
        <f>H500*M500*45%</f>
        <v/>
      </c>
      <c r="Q500" s="9">
        <f>H500/B500</f>
        <v/>
      </c>
    </row>
    <row r="501">
      <c r="A501" s="11" t="inlineStr">
        <is>
          <t>B0497</t>
        </is>
      </c>
      <c r="B501" s="12" t="n">
        <v>180105</v>
      </c>
      <c r="C501" s="13" t="n">
        <v>0.2311710077689673</v>
      </c>
      <c r="D501" s="11" t="n">
        <v>623</v>
      </c>
      <c r="E501" s="13" t="n">
        <v>0.6328595449661821</v>
      </c>
      <c r="F501" s="11" t="n">
        <v>0</v>
      </c>
      <c r="G501" s="11" t="n">
        <v>2.1</v>
      </c>
      <c r="H501" s="12" t="n">
        <v>41800</v>
      </c>
      <c r="I501" s="11" t="n">
        <v>60</v>
      </c>
      <c r="J501" s="11" t="n">
        <v>1</v>
      </c>
      <c r="K501" s="2">
        <f>IF(D501&gt;=740,0,IF(D501&gt;=670,15,30))+IF(C501&lt;=25%,0,IF(C501&lt;=40%,15,30))+IF(E501&lt;=30%,0,IF(E501&lt;=60%,10,20))+IF(F501=0,0,IF(F501=1,10,25))+IF(G501&gt;=5,0,IF(G501&gt;=2,5,10))+IF(H501/B501&lt;=25%,0,IF(H501/B501&lt;=50%,10,20))+IF(I501=36,0,IF(I501=48,3,6))</f>
        <v/>
      </c>
      <c r="L501" s="2">
        <f>850-K501*3.5</f>
        <v/>
      </c>
      <c r="M501" s="9">
        <f>1/(1+EXP(-(-4.2+0.055*K501)))</f>
        <v/>
      </c>
      <c r="N501" s="2">
        <f>IF(K501&lt;20,"A",IF(K501&lt;40,"B",IF(K501&lt;60,"C",IF(K501&lt;80,"D","E"))))</f>
        <v/>
      </c>
      <c r="O501" s="2">
        <f>IF(OR(N501="D",N501="E"),"Enhanced Review",IF(N501="C","Conditional","Approve"))</f>
        <v/>
      </c>
      <c r="P501" s="8">
        <f>H501*M501*45%</f>
        <v/>
      </c>
      <c r="Q501" s="9">
        <f>H501/B501</f>
        <v/>
      </c>
    </row>
    <row r="502">
      <c r="A502" s="11" t="inlineStr">
        <is>
          <t>B0498</t>
        </is>
      </c>
      <c r="B502" s="12" t="n">
        <v>78676</v>
      </c>
      <c r="C502" s="13" t="n">
        <v>0.2934171704338538</v>
      </c>
      <c r="D502" s="11" t="n">
        <v>757</v>
      </c>
      <c r="E502" s="13" t="n">
        <v>0.5086428327230093</v>
      </c>
      <c r="F502" s="11" t="n">
        <v>0</v>
      </c>
      <c r="G502" s="11" t="n">
        <v>16.5</v>
      </c>
      <c r="H502" s="12" t="n">
        <v>26216</v>
      </c>
      <c r="I502" s="11" t="n">
        <v>48</v>
      </c>
      <c r="J502" s="11" t="n">
        <v>0</v>
      </c>
      <c r="K502" s="2">
        <f>IF(D502&gt;=740,0,IF(D502&gt;=670,15,30))+IF(C502&lt;=25%,0,IF(C502&lt;=40%,15,30))+IF(E502&lt;=30%,0,IF(E502&lt;=60%,10,20))+IF(F502=0,0,IF(F502=1,10,25))+IF(G502&gt;=5,0,IF(G502&gt;=2,5,10))+IF(H502/B502&lt;=25%,0,IF(H502/B502&lt;=50%,10,20))+IF(I502=36,0,IF(I502=48,3,6))</f>
        <v/>
      </c>
      <c r="L502" s="2">
        <f>850-K502*3.5</f>
        <v/>
      </c>
      <c r="M502" s="9">
        <f>1/(1+EXP(-(-4.2+0.055*K502)))</f>
        <v/>
      </c>
      <c r="N502" s="2">
        <f>IF(K502&lt;20,"A",IF(K502&lt;40,"B",IF(K502&lt;60,"C",IF(K502&lt;80,"D","E"))))</f>
        <v/>
      </c>
      <c r="O502" s="2">
        <f>IF(OR(N502="D",N502="E"),"Enhanced Review",IF(N502="C","Conditional","Approve"))</f>
        <v/>
      </c>
      <c r="P502" s="8">
        <f>H502*M502*45%</f>
        <v/>
      </c>
      <c r="Q502" s="9">
        <f>H502/B502</f>
        <v/>
      </c>
    </row>
    <row r="503">
      <c r="A503" s="11" t="inlineStr">
        <is>
          <t>B0499</t>
        </is>
      </c>
      <c r="B503" s="12" t="n">
        <v>68744</v>
      </c>
      <c r="C503" s="13" t="n">
        <v>0.2453431809000907</v>
      </c>
      <c r="D503" s="11" t="n">
        <v>727</v>
      </c>
      <c r="E503" s="13" t="n">
        <v>0.5920740035556407</v>
      </c>
      <c r="F503" s="11" t="n">
        <v>1</v>
      </c>
      <c r="G503" s="11" t="n">
        <v>2.8</v>
      </c>
      <c r="H503" s="12" t="n">
        <v>62043</v>
      </c>
      <c r="I503" s="11" t="n">
        <v>60</v>
      </c>
      <c r="J503" s="11" t="n">
        <v>0</v>
      </c>
      <c r="K503" s="2">
        <f>IF(D503&gt;=740,0,IF(D503&gt;=670,15,30))+IF(C503&lt;=25%,0,IF(C503&lt;=40%,15,30))+IF(E503&lt;=30%,0,IF(E503&lt;=60%,10,20))+IF(F503=0,0,IF(F503=1,10,25))+IF(G503&gt;=5,0,IF(G503&gt;=2,5,10))+IF(H503/B503&lt;=25%,0,IF(H503/B503&lt;=50%,10,20))+IF(I503=36,0,IF(I503=48,3,6))</f>
        <v/>
      </c>
      <c r="L503" s="2">
        <f>850-K503*3.5</f>
        <v/>
      </c>
      <c r="M503" s="9">
        <f>1/(1+EXP(-(-4.2+0.055*K503)))</f>
        <v/>
      </c>
      <c r="N503" s="2">
        <f>IF(K503&lt;20,"A",IF(K503&lt;40,"B",IF(K503&lt;60,"C",IF(K503&lt;80,"D","E"))))</f>
        <v/>
      </c>
      <c r="O503" s="2">
        <f>IF(OR(N503="D",N503="E"),"Enhanced Review",IF(N503="C","Conditional","Approve"))</f>
        <v/>
      </c>
      <c r="P503" s="8">
        <f>H503*M503*45%</f>
        <v/>
      </c>
      <c r="Q503" s="9">
        <f>H503/B503</f>
        <v/>
      </c>
    </row>
    <row r="504">
      <c r="A504" s="11" t="inlineStr">
        <is>
          <t>B0500</t>
        </is>
      </c>
      <c r="B504" s="12" t="n">
        <v>48930</v>
      </c>
      <c r="C504" s="13" t="n">
        <v>0.1799735573618182</v>
      </c>
      <c r="D504" s="11" t="n">
        <v>783</v>
      </c>
      <c r="E504" s="13" t="n">
        <v>0.6259126666007353</v>
      </c>
      <c r="F504" s="11" t="n">
        <v>2</v>
      </c>
      <c r="G504" s="11" t="n">
        <v>4.8</v>
      </c>
      <c r="H504" s="12" t="n">
        <v>51307</v>
      </c>
      <c r="I504" s="11" t="n">
        <v>60</v>
      </c>
      <c r="J504" s="11" t="n">
        <v>0</v>
      </c>
      <c r="K504" s="2">
        <f>IF(D504&gt;=740,0,IF(D504&gt;=670,15,30))+IF(C504&lt;=25%,0,IF(C504&lt;=40%,15,30))+IF(E504&lt;=30%,0,IF(E504&lt;=60%,10,20))+IF(F504=0,0,IF(F504=1,10,25))+IF(G504&gt;=5,0,IF(G504&gt;=2,5,10))+IF(H504/B504&lt;=25%,0,IF(H504/B504&lt;=50%,10,20))+IF(I504=36,0,IF(I504=48,3,6))</f>
        <v/>
      </c>
      <c r="L504" s="2">
        <f>850-K504*3.5</f>
        <v/>
      </c>
      <c r="M504" s="9">
        <f>1/(1+EXP(-(-4.2+0.055*K504)))</f>
        <v/>
      </c>
      <c r="N504" s="2">
        <f>IF(K504&lt;20,"A",IF(K504&lt;40,"B",IF(K504&lt;60,"C",IF(K504&lt;80,"D","E"))))</f>
        <v/>
      </c>
      <c r="O504" s="2">
        <f>IF(OR(N504="D",N504="E"),"Enhanced Review",IF(N504="C","Conditional","Approve"))</f>
        <v/>
      </c>
      <c r="P504" s="8">
        <f>H504*M504*45%</f>
        <v/>
      </c>
      <c r="Q504" s="9">
        <f>H504/B504</f>
        <v/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8" customWidth="1" min="3" max="3"/>
    <col width="35" customWidth="1" min="4" max="4"/>
  </cols>
  <sheetData>
    <row r="1" ht="28" customHeight="1">
      <c r="A1" s="1" t="inlineStr">
        <is>
          <t>Model Performance &amp; Credit Portfolio Analytics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Portfolio Metrics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Metric</t>
        </is>
      </c>
      <c r="B4" s="4" t="inlineStr">
        <is>
          <t>Result</t>
        </is>
      </c>
      <c r="C4" s="4" t="inlineStr">
        <is>
          <t>Context</t>
        </is>
      </c>
      <c r="D4" s="4" t="inlineStr">
        <is>
          <t>Interpretation</t>
        </is>
      </c>
      <c r="E4" s="2" t="n"/>
      <c r="F4" s="2" t="n"/>
      <c r="G4" s="2" t="n"/>
      <c r="H4" s="2" t="n"/>
    </row>
    <row r="5">
      <c r="A5" s="2" t="inlineStr">
        <is>
          <t>Borrowers</t>
        </is>
      </c>
      <c r="B5" s="2">
        <f>COUNTA('Loan Data'!A5:A504)</f>
        <v/>
      </c>
      <c r="C5" s="2" t="inlineStr">
        <is>
          <t>Synthetic dataset</t>
        </is>
      </c>
      <c r="D5" s="2" t="inlineStr">
        <is>
          <t>Sample size</t>
        </is>
      </c>
      <c r="E5" s="2" t="n"/>
      <c r="F5" s="2" t="n"/>
      <c r="G5" s="2" t="n"/>
      <c r="H5" s="2" t="n"/>
    </row>
    <row r="6">
      <c r="A6" s="2" t="inlineStr">
        <is>
          <t>Total Exposure</t>
        </is>
      </c>
      <c r="B6" s="8">
        <f>SUM('Loan Data'!H5:H504)</f>
        <v/>
      </c>
      <c r="C6" s="2" t="inlineStr">
        <is>
          <t>Principal balance</t>
        </is>
      </c>
      <c r="D6" s="2" t="inlineStr">
        <is>
          <t>Gross exposure</t>
        </is>
      </c>
      <c r="E6" s="2" t="n"/>
      <c r="F6" s="2" t="n"/>
      <c r="G6" s="2" t="n"/>
      <c r="H6" s="2" t="n"/>
    </row>
    <row r="7">
      <c r="A7" s="2" t="inlineStr">
        <is>
          <t>Observed Default Rate</t>
        </is>
      </c>
      <c r="B7" s="9">
        <f>AVERAGE('Loan Data'!J5:J504)</f>
        <v/>
      </c>
      <c r="C7" s="2" t="inlineStr">
        <is>
          <t>Synthetic outcome</t>
        </is>
      </c>
      <c r="D7" s="2" t="inlineStr">
        <is>
          <t>Realized scenario bad rate</t>
        </is>
      </c>
      <c r="E7" s="2" t="n"/>
      <c r="F7" s="2" t="n"/>
      <c r="G7" s="2" t="n"/>
      <c r="H7" s="2" t="n"/>
    </row>
    <row r="8">
      <c r="A8" s="2" t="inlineStr">
        <is>
          <t>Average Estimated PD</t>
        </is>
      </c>
      <c r="B8" s="9">
        <f>AVERAGE('Loan Data'!M5:M504)</f>
        <v/>
      </c>
      <c r="C8" s="2" t="inlineStr">
        <is>
          <t>Model output</t>
        </is>
      </c>
      <c r="D8" s="2" t="inlineStr">
        <is>
          <t>Forward-looking risk estimate</t>
        </is>
      </c>
      <c r="E8" s="2" t="n"/>
      <c r="F8" s="2" t="n"/>
      <c r="G8" s="2" t="n"/>
      <c r="H8" s="2" t="n"/>
    </row>
    <row r="9">
      <c r="A9" s="2" t="inlineStr">
        <is>
          <t>Expected Loss</t>
        </is>
      </c>
      <c r="B9" s="8">
        <f>SUM('Loan Data'!P5:P504)</f>
        <v/>
      </c>
      <c r="C9" s="2" t="inlineStr">
        <is>
          <t>PD × EAD × 45% LGD</t>
        </is>
      </c>
      <c r="D9" s="2" t="inlineStr">
        <is>
          <t>Expected dollar loss</t>
        </is>
      </c>
      <c r="E9" s="2" t="n"/>
      <c r="F9" s="2" t="n"/>
      <c r="G9" s="2" t="n"/>
      <c r="H9" s="2" t="n"/>
    </row>
    <row r="10">
      <c r="A10" s="2" t="inlineStr">
        <is>
          <t>Expected Loss % Exposure</t>
        </is>
      </c>
      <c r="B10" s="9">
        <f>B9/B6</f>
        <v/>
      </c>
      <c r="C10" s="2" t="inlineStr">
        <is>
          <t>Portfolio credit cost</t>
        </is>
      </c>
      <c r="D10" s="2" t="inlineStr">
        <is>
          <t>Loss intensity</t>
        </is>
      </c>
      <c r="E10" s="2" t="n"/>
      <c r="F10" s="2" t="n"/>
      <c r="G10" s="2" t="n"/>
      <c r="H10" s="2" t="n"/>
    </row>
    <row r="11">
      <c r="A11" s="2" t="inlineStr">
        <is>
          <t>Average Risk Points</t>
        </is>
      </c>
      <c r="B11" s="2">
        <f>AVERAGE('Loan Data'!K5:K504)</f>
        <v/>
      </c>
      <c r="C11" s="2" t="inlineStr">
        <is>
          <t>0 = best</t>
        </is>
      </c>
      <c r="D11" s="2" t="inlineStr">
        <is>
          <t>Higher = riskier</t>
        </is>
      </c>
      <c r="E11" s="2" t="n"/>
      <c r="F11" s="2" t="n"/>
      <c r="G11" s="2" t="n"/>
      <c r="H11" s="2" t="n"/>
    </row>
    <row r="12">
      <c r="A12" s="2" t="inlineStr">
        <is>
          <t>Average Credit Score</t>
        </is>
      </c>
      <c r="B12" s="2">
        <f>AVERAGE('Loan Data'!L5:L504)</f>
        <v/>
      </c>
      <c r="C12" s="2" t="inlineStr">
        <is>
          <t>850 = best</t>
        </is>
      </c>
      <c r="D12" s="2" t="inlineStr">
        <is>
          <t>Presentation score</t>
        </is>
      </c>
      <c r="E12" s="2" t="n"/>
      <c r="F12" s="2" t="n"/>
      <c r="G12" s="2" t="n"/>
      <c r="H12" s="2" t="n"/>
    </row>
    <row r="13">
      <c r="A13" s="2" t="inlineStr">
        <is>
          <t>High-Risk Exposure (D/E)</t>
        </is>
      </c>
      <c r="B13" s="8">
        <f>SUMIF('Loan Data'!N5:N504,"D",'Loan Data'!H5:H504)+SUMIF('Loan Data'!N5:N504,"E",'Loan Data'!H5:H504)</f>
        <v/>
      </c>
      <c r="C13" s="2" t="inlineStr">
        <is>
          <t>D/E exposure</t>
        </is>
      </c>
      <c r="D13" s="2" t="inlineStr">
        <is>
          <t>Weakest tiers</t>
        </is>
      </c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inlineStr">
        <is>
          <t>Risk Tier Distribution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Tier</t>
        </is>
      </c>
      <c r="B16" s="4" t="inlineStr">
        <is>
          <t>Borrowers</t>
        </is>
      </c>
      <c r="C16" s="4" t="inlineStr">
        <is>
          <t>Exposure</t>
        </is>
      </c>
      <c r="D16" s="4" t="inlineStr">
        <is>
          <t>Default Rate</t>
        </is>
      </c>
      <c r="E16" s="2" t="n"/>
      <c r="F16" s="2" t="n"/>
      <c r="G16" s="2" t="n"/>
      <c r="H16" s="2" t="n"/>
    </row>
    <row r="17">
      <c r="A17" s="2" t="inlineStr">
        <is>
          <t>A</t>
        </is>
      </c>
      <c r="B17" s="2">
        <f>COUNTIF('Loan Data'!N5:N504,A17)</f>
        <v/>
      </c>
      <c r="C17" s="8">
        <f>SUMIF('Loan Data'!N5:N504,A17,'Loan Data'!H5:H504)</f>
        <v/>
      </c>
      <c r="D17" s="9">
        <f>IFERROR(SUMIFS('Loan Data'!J5:J504,'Loan Data'!N5:N504,A17)/B17,0)</f>
        <v/>
      </c>
      <c r="E17" s="2" t="n"/>
      <c r="F17" s="2" t="n"/>
      <c r="G17" s="2" t="n"/>
      <c r="H17" s="2" t="n"/>
    </row>
    <row r="18">
      <c r="A18" s="2" t="inlineStr">
        <is>
          <t>B</t>
        </is>
      </c>
      <c r="B18" s="2">
        <f>COUNTIF('Loan Data'!N5:N504,A18)</f>
        <v/>
      </c>
      <c r="C18" s="8">
        <f>SUMIF('Loan Data'!N5:N504,A18,'Loan Data'!H5:H504)</f>
        <v/>
      </c>
      <c r="D18" s="9">
        <f>IFERROR(SUMIFS('Loan Data'!J5:J504,'Loan Data'!N5:N504,A18)/B18,0)</f>
        <v/>
      </c>
      <c r="E18" s="2" t="n"/>
      <c r="F18" s="2" t="n"/>
      <c r="G18" s="2" t="n"/>
      <c r="H18" s="2" t="n"/>
    </row>
    <row r="19">
      <c r="A19" s="2" t="inlineStr">
        <is>
          <t>C</t>
        </is>
      </c>
      <c r="B19" s="2">
        <f>COUNTIF('Loan Data'!N5:N504,A19)</f>
        <v/>
      </c>
      <c r="C19" s="8">
        <f>SUMIF('Loan Data'!N5:N504,A19,'Loan Data'!H5:H504)</f>
        <v/>
      </c>
      <c r="D19" s="9">
        <f>IFERROR(SUMIFS('Loan Data'!J5:J504,'Loan Data'!N5:N504,A19)/B19,0)</f>
        <v/>
      </c>
      <c r="E19" s="2" t="n"/>
      <c r="F19" s="2" t="n"/>
      <c r="G19" s="2" t="n"/>
      <c r="H19" s="2" t="n"/>
    </row>
    <row r="20">
      <c r="A20" s="2" t="inlineStr">
        <is>
          <t>D</t>
        </is>
      </c>
      <c r="B20" s="2">
        <f>COUNTIF('Loan Data'!N5:N504,A20)</f>
        <v/>
      </c>
      <c r="C20" s="8">
        <f>SUMIF('Loan Data'!N5:N504,A20,'Loan Data'!H5:H504)</f>
        <v/>
      </c>
      <c r="D20" s="9">
        <f>IFERROR(SUMIFS('Loan Data'!J5:J504,'Loan Data'!N5:N504,A20)/B20,0)</f>
        <v/>
      </c>
      <c r="E20" s="2" t="n"/>
      <c r="F20" s="2" t="n"/>
      <c r="G20" s="2" t="n"/>
      <c r="H20" s="2" t="n"/>
    </row>
    <row r="21">
      <c r="A21" s="2" t="inlineStr">
        <is>
          <t>E</t>
        </is>
      </c>
      <c r="B21" s="2">
        <f>COUNTIF('Loan Data'!N5:N504,A21)</f>
        <v/>
      </c>
      <c r="C21" s="8">
        <f>SUMIF('Loan Data'!N5:N504,A21,'Loan Data'!H5:H504)</f>
        <v/>
      </c>
      <c r="D21" s="9">
        <f>IFERROR(SUMIFS('Loan Data'!J5:J504,'Loan Data'!N5:N504,A21)/B21,0)</f>
        <v/>
      </c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Simple Validation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4" t="inlineStr">
        <is>
          <t>Measure</t>
        </is>
      </c>
      <c r="B24" s="4" t="inlineStr">
        <is>
          <t>Result</t>
        </is>
      </c>
      <c r="C24" s="4" t="inlineStr">
        <is>
          <t>Purpose</t>
        </is>
      </c>
      <c r="D24" s="4" t="inlineStr">
        <is>
          <t>Interpretation</t>
        </is>
      </c>
      <c r="E24" s="2" t="n"/>
      <c r="F24" s="2" t="n"/>
      <c r="G24" s="2" t="n"/>
      <c r="H24" s="2" t="n"/>
    </row>
    <row r="25">
      <c r="A25" s="2" t="inlineStr">
        <is>
          <t>Default Rate: Score &lt;650</t>
        </is>
      </c>
      <c r="B25" s="9">
        <f>IFERROR(AVERAGEIF('Loan Data'!L5:L504,"&lt;650",'Loan Data'!J5:J504),0)</f>
        <v/>
      </c>
      <c r="C25" s="2" t="inlineStr">
        <is>
          <t>High-risk cohort</t>
        </is>
      </c>
      <c r="D25" s="2" t="inlineStr">
        <is>
          <t>Should be higher</t>
        </is>
      </c>
      <c r="E25" s="2" t="n"/>
      <c r="F25" s="2" t="n"/>
      <c r="G25" s="2" t="n"/>
      <c r="H25" s="2" t="n"/>
    </row>
    <row r="26">
      <c r="A26" s="2" t="inlineStr">
        <is>
          <t>Default Rate: Score &gt;=650</t>
        </is>
      </c>
      <c r="B26" s="9">
        <f>IFERROR(AVERAGEIF('Loan Data'!L5:L504,"&gt;=650",'Loan Data'!J5:J504),0)</f>
        <v/>
      </c>
      <c r="C26" s="2" t="inlineStr">
        <is>
          <t>Lower-risk cohort</t>
        </is>
      </c>
      <c r="D26" s="2" t="inlineStr">
        <is>
          <t>Should be lower</t>
        </is>
      </c>
      <c r="E26" s="2" t="n"/>
      <c r="F26" s="2" t="n"/>
      <c r="G26" s="2" t="n"/>
      <c r="H26" s="2" t="n"/>
    </row>
    <row r="27">
      <c r="A27" s="2" t="inlineStr">
        <is>
          <t>Risk Separation</t>
        </is>
      </c>
      <c r="B27" s="9">
        <f>B25-B26</f>
        <v/>
      </c>
      <c r="C27" s="2" t="inlineStr">
        <is>
          <t>Score differentiation</t>
        </is>
      </c>
      <c r="D27" s="2" t="inlineStr">
        <is>
          <t>Positive is desirable</t>
        </is>
      </c>
      <c r="E27" s="2" t="n"/>
      <c r="F27" s="2" t="n"/>
      <c r="G27" s="2" t="n"/>
      <c r="H27" s="2" t="n"/>
    </row>
  </sheetData>
  <mergeCells count="4">
    <mergeCell ref="A15:H15"/>
    <mergeCell ref="A3:H3"/>
    <mergeCell ref="A23:H2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50" customWidth="1" min="4" max="4"/>
  </cols>
  <sheetData>
    <row r="1" ht="28" customHeight="1">
      <c r="A1" s="1" t="inlineStr">
        <is>
          <t>Methodology, Assumptions &amp; Limitations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Item</t>
        </is>
      </c>
      <c r="B3" s="4" t="inlineStr">
        <is>
          <t>Method</t>
        </is>
      </c>
      <c r="C3" s="4" t="inlineStr">
        <is>
          <t>Purpose</t>
        </is>
      </c>
      <c r="D3" s="4" t="inlineStr">
        <is>
          <t>Limitation</t>
        </is>
      </c>
    </row>
    <row r="4">
      <c r="A4" s="2" t="inlineStr">
        <is>
          <t>Dataset</t>
        </is>
      </c>
      <c r="B4" s="2" t="inlineStr">
        <is>
          <t>500 synthetic borrowers</t>
        </is>
      </c>
      <c r="C4" s="2" t="inlineStr">
        <is>
          <t>Demonstrate scoring and analytics</t>
        </is>
      </c>
      <c r="D4" s="2" t="inlineStr">
        <is>
          <t>No real customer/PII data</t>
        </is>
      </c>
    </row>
    <row r="5">
      <c r="A5" s="2" t="inlineStr">
        <is>
          <t>Scorecard</t>
        </is>
      </c>
      <c r="B5" s="2" t="inlineStr">
        <is>
          <t>Transparent additive points</t>
        </is>
      </c>
      <c r="C5" s="2" t="inlineStr">
        <is>
          <t>Auditable underwriting logic</t>
        </is>
      </c>
      <c r="D5" s="2" t="inlineStr">
        <is>
          <t>Not a production model</t>
        </is>
      </c>
    </row>
    <row r="6">
      <c r="A6" s="2" t="inlineStr">
        <is>
          <t>Estimated PD</t>
        </is>
      </c>
      <c r="B6" s="2" t="inlineStr">
        <is>
          <t>Logistic transform of risk points</t>
        </is>
      </c>
      <c r="C6" s="2" t="inlineStr">
        <is>
          <t>Probability of default</t>
        </is>
      </c>
      <c r="D6" s="2" t="inlineStr">
        <is>
          <t>Illustrative calibration</t>
        </is>
      </c>
    </row>
    <row r="7">
      <c r="A7" s="2" t="inlineStr">
        <is>
          <t>Expected Loss</t>
        </is>
      </c>
      <c r="B7" s="2" t="inlineStr">
        <is>
          <t>PD × EAD × 45% LGD</t>
        </is>
      </c>
      <c r="C7" s="2" t="inlineStr">
        <is>
          <t>Quantify credit loss</t>
        </is>
      </c>
      <c r="D7" s="2" t="inlineStr">
        <is>
          <t>LGD is illustrative</t>
        </is>
      </c>
    </row>
    <row r="8">
      <c r="A8" s="2" t="inlineStr">
        <is>
          <t>Validation</t>
        </is>
      </c>
      <c r="B8" s="2" t="inlineStr">
        <is>
          <t>Default-rate separation by score</t>
        </is>
      </c>
      <c r="C8" s="2" t="inlineStr">
        <is>
          <t>Basic discriminatory check</t>
        </is>
      </c>
      <c r="D8" s="2" t="inlineStr">
        <is>
          <t>Not independent validation</t>
        </is>
      </c>
    </row>
    <row r="9">
      <c r="A9" s="2" t="inlineStr">
        <is>
          <t>Fair lending</t>
        </is>
      </c>
      <c r="B9" s="2" t="inlineStr">
        <is>
          <t>No protected attributes included</t>
        </is>
      </c>
      <c r="C9" s="2" t="inlineStr">
        <is>
          <t>Reduce direct sensitive-variable use</t>
        </is>
      </c>
      <c r="D9" s="2" t="inlineStr">
        <is>
          <t>Production requires proxy/disparate-impact testing</t>
        </is>
      </c>
    </row>
    <row r="10">
      <c r="A10" s="2" t="n"/>
      <c r="B10" s="2" t="n"/>
      <c r="C10" s="2" t="n"/>
      <c r="D10" s="2" t="n"/>
    </row>
    <row r="11">
      <c r="A11" s="3" t="inlineStr">
        <is>
          <t>Important Note</t>
        </is>
      </c>
      <c r="B11" s="2" t="n"/>
      <c r="C11" s="2" t="n"/>
      <c r="D11" s="2" t="n"/>
    </row>
    <row r="12">
      <c r="A12" s="14" t="inlineStr">
        <is>
          <t>For educational and recruiting use only. This workbook must not be used to approve or deny real credit applications. Production models require representative historical performance data, independent validation, model-risk governance, fair-lending testing, adverse-action reason codes, drift monitoring, and compliance review.</t>
        </is>
      </c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</sheetData>
  <mergeCells count="3">
    <mergeCell ref="A12:D17"/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2026-09-15T20:32:58Z</dcterms:created>
  <dcterms:modified xmlns:dcterms="http://purl.org/dc/terms/" xmlns:xsi="http://www.w3.org/2001/XMLSchema-instance" xsi:type="dcterms:W3CDTF">2026-09-15T20:32:59Z</dcterms:modified>
</cp:coreProperties>
</file>