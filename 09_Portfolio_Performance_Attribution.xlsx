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Portfolio Performance Attribution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Allocation + selection contribution vs benchmark</t>
        </is>
      </c>
    </row>
    <row r="4">
      <c r="A4" t="inlineStr">
        <is>
          <t>Sector</t>
        </is>
      </c>
      <c r="B4" t="inlineStr">
        <is>
          <t>Portfolio Wt</t>
        </is>
      </c>
      <c r="C4" t="inlineStr">
        <is>
          <t>Benchmark Wt</t>
        </is>
      </c>
      <c r="D4" t="inlineStr">
        <is>
          <t>Portfolio Return</t>
        </is>
      </c>
      <c r="E4" t="inlineStr">
        <is>
          <t>Benchmark Return</t>
        </is>
      </c>
      <c r="F4" t="inlineStr">
        <is>
          <t>Allocation Effect</t>
        </is>
      </c>
      <c r="G4" t="inlineStr">
        <is>
          <t>Selection Effect</t>
        </is>
      </c>
      <c r="H4" t="inlineStr">
        <is>
          <t>Total Effect</t>
        </is>
      </c>
    </row>
    <row r="5">
      <c r="A5" t="inlineStr">
        <is>
          <t>Technology</t>
        </is>
      </c>
      <c r="B5" s="3" t="n">
        <v>0.32</v>
      </c>
      <c r="C5" s="3" t="n">
        <v>0.28</v>
      </c>
      <c r="D5" s="3" t="n">
        <v>0.16</v>
      </c>
      <c r="E5" s="3" t="n">
        <v>0.13</v>
      </c>
      <c r="F5" s="3">
        <f>(B5-C5)*(E5-SUMPRODUCT($C$5:$C$10,$E$5:$E$10))</f>
        <v/>
      </c>
      <c r="G5" s="3">
        <f>C5*(D5-E5)</f>
        <v/>
      </c>
      <c r="H5" s="3">
        <f>F5+G5</f>
        <v/>
      </c>
    </row>
    <row r="6">
      <c r="A6" t="inlineStr">
        <is>
          <t>Financials</t>
        </is>
      </c>
      <c r="B6" s="3" t="n">
        <v>0.18</v>
      </c>
      <c r="C6" s="3" t="n">
        <v>0.16</v>
      </c>
      <c r="D6" s="3" t="n">
        <v>0.1</v>
      </c>
      <c r="E6" s="3" t="n">
        <v>0.09</v>
      </c>
      <c r="F6" s="3">
        <f>(B6-C6)*(E6-SUMPRODUCT($C$5:$C$10,$E$5:$E$10))</f>
        <v/>
      </c>
      <c r="G6" s="3">
        <f>C6*(D6-E6)</f>
        <v/>
      </c>
      <c r="H6" s="3">
        <f>F6+G6</f>
        <v/>
      </c>
    </row>
    <row r="7">
      <c r="A7" t="inlineStr">
        <is>
          <t>Health Care</t>
        </is>
      </c>
      <c r="B7" s="3" t="n">
        <v>0.14</v>
      </c>
      <c r="C7" s="3" t="n">
        <v>0.16</v>
      </c>
      <c r="D7" s="3" t="n">
        <v>0.08</v>
      </c>
      <c r="E7" s="3" t="n">
        <v>0.07000000000000001</v>
      </c>
      <c r="F7" s="3">
        <f>(B7-C7)*(E7-SUMPRODUCT($C$5:$C$10,$E$5:$E$10))</f>
        <v/>
      </c>
      <c r="G7" s="3">
        <f>C7*(D7-E7)</f>
        <v/>
      </c>
      <c r="H7" s="3">
        <f>F7+G7</f>
        <v/>
      </c>
    </row>
    <row r="8">
      <c r="A8" t="inlineStr">
        <is>
          <t>Consumer</t>
        </is>
      </c>
      <c r="B8" s="3" t="n">
        <v>0.16</v>
      </c>
      <c r="C8" s="3" t="n">
        <v>0.18</v>
      </c>
      <c r="D8" s="3" t="n">
        <v>0.11</v>
      </c>
      <c r="E8" s="3" t="n">
        <v>0.09</v>
      </c>
      <c r="F8" s="3">
        <f>(B8-C8)*(E8-SUMPRODUCT($C$5:$C$10,$E$5:$E$10))</f>
        <v/>
      </c>
      <c r="G8" s="3">
        <f>C8*(D8-E8)</f>
        <v/>
      </c>
      <c r="H8" s="3">
        <f>F8+G8</f>
        <v/>
      </c>
    </row>
    <row r="9">
      <c r="A9" t="inlineStr">
        <is>
          <t>Energy</t>
        </is>
      </c>
      <c r="B9" s="3" t="n">
        <v>0.1</v>
      </c>
      <c r="C9" s="3" t="n">
        <v>0.09</v>
      </c>
      <c r="D9" s="3" t="n">
        <v>0.06</v>
      </c>
      <c r="E9" s="3" t="n">
        <v>0.05</v>
      </c>
      <c r="F9" s="3">
        <f>(B9-C9)*(E9-SUMPRODUCT($C$5:$C$10,$E$5:$E$10))</f>
        <v/>
      </c>
      <c r="G9" s="3">
        <f>C9*(D9-E9)</f>
        <v/>
      </c>
      <c r="H9" s="3">
        <f>F9+G9</f>
        <v/>
      </c>
    </row>
    <row r="10">
      <c r="A10" t="inlineStr">
        <is>
          <t>Industrials</t>
        </is>
      </c>
      <c r="B10" s="3" t="n">
        <v>0.1</v>
      </c>
      <c r="C10" s="3" t="n">
        <v>0.13</v>
      </c>
      <c r="D10" s="3" t="n">
        <v>0.09</v>
      </c>
      <c r="E10" s="3" t="n">
        <v>0.08</v>
      </c>
      <c r="F10" s="3">
        <f>(B10-C10)*(E10-SUMPRODUCT($C$5:$C$10,$E$5:$E$10))</f>
        <v/>
      </c>
      <c r="G10" s="3">
        <f>C10*(D10-E10)</f>
        <v/>
      </c>
      <c r="H10" s="3">
        <f>F10+G10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2026-09-15T20:44:04Z</dcterms:created>
  <dcterms:modified xmlns:dcterms="http://purl.org/dc/terms/" xmlns:xsi="http://www.w3.org/2001/XMLSchema-instance" xsi:type="dcterms:W3CDTF">2026-09-15T20:44:04Z</dcterms:modified>
</cp:coreProperties>
</file>