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b2d07cd55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49eeb7f94c4492c"/>
    <x:sheet xmlns:r="http://schemas.openxmlformats.org/officeDocument/2006/relationships" name="Historical" sheetId="2" r:id="R86c4a6e9cd6045d5"/>
    <x:sheet xmlns:r="http://schemas.openxmlformats.org/officeDocument/2006/relationships" name="Assumptions" sheetId="3" r:id="Ra8df7402ea0c4cf0"/>
    <x:sheet xmlns:r="http://schemas.openxmlformats.org/officeDocument/2006/relationships" name="FCFE DCF" sheetId="4" r:id="R80e1304663a646a7"/>
    <x:sheet xmlns:r="http://schemas.openxmlformats.org/officeDocument/2006/relationships" name="Sensitivity" sheetId="5" r:id="R943aeb391fb04fc9"/>
    <x:sheet xmlns:r="http://schemas.openxmlformats.org/officeDocument/2006/relationships" name="Sources" sheetId="6" r:id="Rb47dc7ada8344428"/>
    <x:sheet xmlns:r="http://schemas.openxmlformats.org/officeDocument/2006/relationships" name="Portfolio Summary" sheetId="7" r:id="R067cc7785cf3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$0.00"/>
    <x:numFmt numFmtId="202" formatCode="0.0%"/>
    <x:numFmt numFmtId="203" formatCode="#,##0.0"/>
    <x:numFmt numFmtId="204" formatCode="0.000x"/>
    <x:numFmt numFmtId="205" formatCode="$#,##0"/>
    <x:numFmt numFmtId="206" formatCode="#,##0;[Red](#,##0);-"/>
  </x:numFmts>
  <x:fonts count="19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i/>
      <x:sz val="10"/>
      <x:color rgb="FF555555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8"/>
      <x:color rgb="FFFFFFFF"/>
      <x:name val="Arial"/>
    </x:font>
    <x:font>
      <x:i/>
      <x:sz val="10"/>
      <x:color rgb="FF555555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1"/>
      <x:color rgb="FF0000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10"/>
      <x:color rgb="FF0000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B1F3A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0" fillId="5" borderId="1" xfId="0" applyNumberFormat="1" applyFont="1" applyFill="1" applyBorder="1"/>
    <x:xf numFmtId="202" fontId="0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201" fontId="0" fillId="6" borderId="1" xfId="0" applyNumberFormat="1" applyFont="1" applyFill="1" applyBorder="1"/>
    <x:xf numFmtId="202" fontId="0" fillId="6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206" fontId="8" fillId="0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vertical="top"/>
    </x:xf>
    <x:xf numFmtId="0" fontId="6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8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201" fontId="8" fillId="0" borderId="0" xfId="0" applyNumberFormat="1" applyFont="1" applyFill="1" applyBorder="1" applyAlignment="1">
      <x:alignment vertical="top"/>
    </x:xf>
    <x:xf numFmtId="206" fontId="8" fillId="0" borderId="0" xfId="0" applyNumberFormat="1" applyFont="1" applyFill="1" applyBorder="1" applyAlignment="1">
      <x:alignment vertical="top"/>
    </x:xf>
    <x:xf numFmtId="202" fontId="8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horizontal="left" vertical="top"/>
    </x:xf>
    <x:xf numFmtId="0" fontId="10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2" fillId="8" borderId="0" xfId="0" applyNumberFormat="1" applyFont="1" applyFill="1" applyBorder="1" applyAlignment="1">
      <x:alignment vertical="top"/>
    </x:xf>
    <x:xf numFmtId="0" fontId="13" fillId="0" borderId="0" xfId="0" applyNumberFormat="1" applyFont="1" applyFill="1" applyBorder="1" applyAlignment="1">
      <x:alignment vertical="top"/>
    </x:xf>
    <x:xf numFmtId="201" fontId="14" fillId="0" borderId="0" xfId="0" applyNumberFormat="1" applyFont="1" applyFill="1" applyBorder="1" applyAlignment="1">
      <x:alignment vertical="top"/>
    </x:xf>
    <x:xf numFmtId="206" fontId="14" fillId="0" borderId="0" xfId="0" applyNumberFormat="1" applyFont="1" applyFill="1" applyBorder="1" applyAlignment="1">
      <x:alignment vertical="top"/>
    </x:xf>
    <x:xf numFmtId="202" fontId="14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12" fillId="8" borderId="0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 applyAlignment="1">
      <x:alignment horizontal="left" vertical="top"/>
    </x:xf>
    <x:xf numFmtId="0" fontId="16" fillId="0" borderId="0" xfId="0" applyNumberFormat="1" applyFont="1" applyFill="1" applyBorder="1" applyAlignment="1">
      <x:alignment vertical="top"/>
    </x:xf>
    <x:xf numFmtId="0" fontId="15" fillId="8" borderId="0" xfId="0" applyNumberFormat="1" applyFont="1" applyFill="1" applyBorder="1" applyAlignment="1">
      <x:alignment vertical="top"/>
    </x:xf>
    <x:xf numFmtId="0" fontId="17" fillId="0" borderId="0" xfId="0" applyNumberFormat="1" applyFont="1" applyFill="1" applyBorder="1" applyAlignment="1">
      <x:alignment vertical="top"/>
    </x:xf>
    <x:xf numFmtId="201" fontId="18" fillId="0" borderId="0" xfId="0" applyNumberFormat="1" applyFont="1" applyFill="1" applyBorder="1" applyAlignment="1">
      <x:alignment vertical="top"/>
    </x:xf>
    <x:xf numFmtId="206" fontId="18" fillId="0" borderId="0" xfId="0" applyNumberFormat="1" applyFont="1" applyFill="1" applyBorder="1" applyAlignment="1">
      <x:alignment vertical="top"/>
    </x:xf>
    <x:xf numFmtId="202" fontId="18" fillId="0" borderId="0" xfId="0" applyNumberFormat="1" applyFont="1" applyFill="1" applyBorder="1" applyAlignment="1">
      <x:alignment vertical="top"/>
    </x:xf>
    <x:xf numFmtId="0" fontId="16" fillId="0" borderId="0" xfId="0" applyNumberFormat="1" applyFont="1" applyFill="1" applyBorder="1" applyAlignment="1">
      <x:alignment vertical="top" wrapText="1"/>
    </x:xf>
    <x:xf numFmtId="0" fontId="15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089dd9a954741" /><Relationship Type="http://schemas.openxmlformats.org/officeDocument/2006/relationships/theme" Target="/xl/theme/theme1.xml" Id="R7c5fc72c7eb34a6c" /><Relationship Type="http://schemas.openxmlformats.org/officeDocument/2006/relationships/sharedStrings" Target="/xl/sharedStrings.xml" Id="R51c727c119f04b3e" /><Relationship Type="http://schemas.openxmlformats.org/officeDocument/2006/relationships/worksheet" Target="/xl/worksheets/sheet1.xml" Id="R149eeb7f94c4492c" /><Relationship Type="http://schemas.openxmlformats.org/officeDocument/2006/relationships/worksheet" Target="/xl/worksheets/sheet2.xml" Id="R86c4a6e9cd6045d5" /><Relationship Type="http://schemas.openxmlformats.org/officeDocument/2006/relationships/worksheet" Target="/xl/worksheets/sheet3.xml" Id="Ra8df7402ea0c4cf0" /><Relationship Type="http://schemas.openxmlformats.org/officeDocument/2006/relationships/worksheet" Target="/xl/worksheets/sheet4.xml" Id="R80e1304663a646a7" /><Relationship Type="http://schemas.openxmlformats.org/officeDocument/2006/relationships/worksheet" Target="/xl/worksheets/sheet5.xml" Id="R943aeb391fb04fc9" /><Relationship Type="http://schemas.openxmlformats.org/officeDocument/2006/relationships/worksheet" Target="/xl/worksheets/sheet6.xml" Id="Rb47dc7ada8344428" /><Relationship Type="http://schemas.openxmlformats.org/officeDocument/2006/relationships/worksheet" Target="/xl/worksheets/sheet7.xml" Id="R067cc7785cf34e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ceea28b12a4761" /><Relationship Type="http://schemas.openxmlformats.org/officeDocument/2006/relationships/chart" Target="/xl/drawings/charts/chart2.xml" Id="R9f2d6ab2040e4f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2025 Earnings Snapshot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'Portfolio Summary'!$D$6:$D$8</c:f>
              <c:strCache>
                <c:ptCount val="0"/>
              </c:strCache>
            </c:strRef>
          </c:cat>
          <c:val>
            <c:numRef>
              <c:f>'Portfolio Summary'!$E$6:$E$8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Implied Value vs. Market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$/share</c:v>
          </c:tx>
          <c:cat>
            <c:strRef>
              <c:f>'Portfolio Summary'!$L$21:$L$22</c:f>
              <c:strCache>
                <c:ptCount val="0"/>
              </c:strCache>
            </c:strRef>
          </c:cat>
          <c:val>
            <c:numRef>
              <c:f>'Portfolio Summary'!$M$21:$M$22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ceea28b12a476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2d6ab2040e4f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fa267a6d94f54e7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</x:cols>
  <x:sheetData>
    <x:row r="1">
      <x:c r="A1" s="4" t="str">
        <x:v>JPMorgan Chase &amp; Co. (NYSE: JPM) — FCFE DCF Valuation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Project</x:v>
      </x:c>
      <x:c r="B4" s="12" t="str">
        <x:v>Independent Equity Valuation</x:v>
      </x:c>
    </x:row>
    <x:row r="5">
      <x:c r="A5" s="9" t="str">
        <x:v>Valuation Date</x:v>
      </x:c>
      <x:c r="B5" s="12" t="str">
        <x:v>September 15, 2026</x:v>
      </x:c>
    </x:row>
    <x:row r="6">
      <x:c r="A6" s="9" t="str">
        <x:v>Method</x:v>
      </x:c>
      <x:c r="B6" s="12" t="str">
        <x:v>Free Cash Flow to Equity (FCFE) DCF</x:v>
      </x:c>
    </x:row>
    <x:row r="7">
      <x:c r="A7" s="9" t="str">
        <x:v>Why FCFE?</x:v>
      </x:c>
      <x:c r="B7" s="12" t="str">
        <x:v>For banks, debt/deposits are operating funding; FCFE is more meaningful than enterprise-value FCFF.</x:v>
      </x:c>
    </x:row>
    <x:row r="8">
      <x:c r="A8" s="9" t="str">
        <x:v>Forecast Period</x:v>
      </x:c>
      <x:c r="B8" s="12" t="str">
        <x:v>2026E–2030E</x:v>
      </x:c>
    </x:row>
    <x:row r="9">
      <x:c r="A9" s="9" t="str">
        <x:v>Terminal Method</x:v>
      </x:c>
      <x:c r="B9" s="12" t="str">
        <x:v>Gordon Growth</x:v>
      </x:c>
    </x:row>
    <x:row r="10">
      <x:c r="A10" s="9" t="str">
        <x:v>Currency</x:v>
      </x:c>
      <x:c r="B10" s="12" t="str">
        <x:v>USD millions, except per-share data</x:v>
      </x:c>
    </x:row>
    <x:row r="12">
      <x:c r="A12" s="16" t="str">
        <x:v>Portfolio note: Internship-ready bank valuation using reported JPMorgan financials through FY2025, a current-market reference price, and transparent analyst assumptions. Forecast cells are formula-driven and editable.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</x:sheetData>
  <x:mergeCells>
    <x:mergeCell ref="A1:H2"/>
    <x:mergeCell ref="A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0" t="str">
        <x:v>Historical Financials ($mm except per share)</x:v>
      </x:c>
      <x:c r="B1" s="20" t="str">
        <x:v>2022A</x:v>
      </x:c>
      <x:c r="C1" s="20" t="str">
        <x:v>2023A</x:v>
      </x:c>
      <x:c r="D1" s="20" t="str">
        <x:v>2024A</x:v>
      </x:c>
      <x:c r="E1" s="20" t="str">
        <x:v>2025A</x:v>
      </x:c>
    </x:row>
    <x:row r="3">
      <x:c r="A3" t="str">
        <x:v>Total net revenue</x:v>
      </x:c>
      <x:c r="B3" s="22" t="n">
        <x:v>128695</x:v>
      </x:c>
      <x:c r="C3" s="22" t="n">
        <x:v>158104</x:v>
      </x:c>
      <x:c r="D3" s="22" t="n">
        <x:v>177556</x:v>
      </x:c>
      <x:c r="E3" s="22" t="n">
        <x:v>182447</x:v>
      </x:c>
    </x:row>
    <x:row r="4">
      <x:c r="A4" t="str">
        <x:v>Net income</x:v>
      </x:c>
      <x:c r="B4" s="22" t="n">
        <x:v>37676</x:v>
      </x:c>
      <x:c r="C4" s="22" t="n">
        <x:v>49552</x:v>
      </x:c>
      <x:c r="D4" s="22" t="n">
        <x:v>58471</x:v>
      </x:c>
      <x:c r="E4" s="22" t="n">
        <x:v>57048</x:v>
      </x:c>
    </x:row>
    <x:row r="5">
      <x:c r="A5" t="str">
        <x:v>Net income to common</x:v>
      </x:c>
      <x:c r="B5" s="22"/>
      <x:c r="C5" s="22" t="n">
        <x:v>47760</x:v>
      </x:c>
      <x:c r="D5" s="22" t="n">
        <x:v>56868</x:v>
      </x:c>
      <x:c r="E5" s="22" t="n">
        <x:v>55681</x:v>
      </x:c>
    </x:row>
    <x:row r="6">
      <x:c r="A6" t="str">
        <x:v>Diluted EPS</x:v>
      </x:c>
      <x:c r="B6" s="24" t="n">
        <x:v>12.09</x:v>
      </x:c>
      <x:c r="C6" s="24" t="n">
        <x:v>16.23</x:v>
      </x:c>
      <x:c r="D6" s="24" t="n">
        <x:v>19.75</x:v>
      </x:c>
      <x:c r="E6" s="24" t="n">
        <x:v>20.02</x:v>
      </x:c>
    </x:row>
    <x:row r="7">
      <x:c r="A7" t="str">
        <x:v>Common equity</x:v>
      </x:c>
      <x:c r="B7" s="24"/>
      <x:c r="C7" s="24" t="n">
        <x:v>300474</x:v>
      </x:c>
      <x:c r="D7" s="24" t="n">
        <x:v>324708</x:v>
      </x:c>
      <x:c r="E7" s="24" t="n">
        <x:v>342393</x:v>
      </x:c>
    </x:row>
    <x:row r="8">
      <x:c r="A8" t="str">
        <x:v>Book value / share</x:v>
      </x:c>
      <x:c r="B8" s="24"/>
      <x:c r="C8" s="24" t="n">
        <x:v>104.45</x:v>
      </x:c>
      <x:c r="D8" s="24" t="n">
        <x:v>116.07</x:v>
      </x:c>
      <x:c r="E8" s="24" t="n">
        <x:v>126.99</x:v>
      </x:c>
    </x:row>
    <x:row r="9">
      <x:c r="A9" t="str">
        <x:v>Tangible book value / share</x:v>
      </x:c>
      <x:c r="B9" s="26"/>
      <x:c r="C9" s="26" t="n">
        <x:v>86.08</x:v>
      </x:c>
      <x:c r="D9" s="26" t="n">
        <x:v>97.3</x:v>
      </x:c>
      <x:c r="E9" s="26" t="n">
        <x:v>107.56</x:v>
      </x:c>
    </x:row>
    <x:row r="10">
      <x:c r="A10" t="str">
        <x:v>ROTCE</x:v>
      </x:c>
      <x:c r="B10" s="28"/>
      <x:c r="C10" s="28" t="n">
        <x:v>0.21</x:v>
      </x:c>
      <x:c r="D10" s="28" t="n">
        <x:v>0.22</x:v>
      </x:c>
      <x:c r="E10" s="28" t="n">
        <x:v>0.2</x:v>
      </x:c>
    </x:row>
    <x:row r="11">
      <x:c r="A11" t="str">
        <x:v>Period-end common shares (mm)</x:v>
      </x:c>
      <x:c r="B11" s="28"/>
      <x:c r="C11" s="28" t="n">
        <x:v>2876.6</x:v>
      </x:c>
      <x:c r="D11" s="28" t="n">
        <x:v>2797.6</x:v>
      </x:c>
      <x:c r="E11" s="28" t="n">
        <x:v>2696.2</x:v>
      </x:c>
    </x:row>
    <x:row r="13">
      <x:c r="A13" s="9" t="str">
        <x:v>Key observation</x:v>
      </x:c>
      <x:c r="B13" s="9" t="str">
        <x:v>2022→23</x:v>
      </x:c>
      <x:c r="C13" s="9" t="str">
        <x:v>2023→24</x:v>
      </x:c>
      <x:c r="D13" s="9" t="str">
        <x:v>2024→25</x:v>
      </x:c>
      <x:c r="E13" s="9" t="str"/>
    </x:row>
    <x:row r="14">
      <x:c r="A14" t="str">
        <x:v>Revenue growth</x:v>
      </x:c>
      <x:c r="B14" s="26" t="n">
        <x:f>C3/B3-1</x:f>
        <x:v>0.22851703640390064</x:v>
      </x:c>
      <x:c r="C14" s="26" t="n">
        <x:f>D3/C3-1</x:f>
        <x:v>0.12303294034306522</x:v>
      </x:c>
      <x:c r="D14" s="26" t="n">
        <x:f>E3/D3-1</x:f>
        <x:v>0.027546238933068956</x:v>
      </x:c>
      <x:c r="E14" t="str"/>
    </x:row>
    <x:row r="15">
      <x:c r="A15" t="str">
        <x:v>Net income growth</x:v>
      </x:c>
      <x:c r="B15" s="26" t="n">
        <x:f>C4/B4-1</x:f>
        <x:v>0.315213929291857</x:v>
      </x:c>
      <x:c r="C15" s="26" t="n">
        <x:f>D4/C4-1</x:f>
        <x:v>0.17999273490474654</x:v>
      </x:c>
      <x:c r="D15" s="26" t="n">
        <x:f>E4/D4-1</x:f>
        <x:v>-0.02433685074652392</x:v>
      </x:c>
      <x:c r="E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4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0" t="str">
        <x:v>DCF Assumptions</x:v>
      </x:c>
      <x:c r="B1" s="20" t="str">
        <x:v>2026E</x:v>
      </x:c>
      <x:c r="C1" s="20" t="str">
        <x:v>2027E</x:v>
      </x:c>
      <x:c r="D1" s="20" t="str">
        <x:v>2028E</x:v>
      </x:c>
      <x:c r="E1" s="20" t="str">
        <x:v>2029E</x:v>
      </x:c>
      <x:c r="F1" s="20" t="str">
        <x:v>2030E</x:v>
      </x:c>
      <x:c r="G1" s="20" t="str">
        <x:v>Terminal</x:v>
      </x:c>
    </x:row>
    <x:row r="3">
      <x:c r="A3" t="str">
        <x:v>Net income to common ($mm)</x:v>
      </x:c>
      <x:c r="B3" s="30" t="n">
        <x:v>63000</x:v>
      </x:c>
      <x:c r="C3" s="30" t="n">
        <x:f>B3*(1+C4)</x:f>
        <x:v>67410</x:v>
      </x:c>
      <x:c r="D3" s="30" t="n">
        <x:f>C3*(1+D4)</x:f>
        <x:v>71454.6</x:v>
      </x:c>
      <x:c r="E3" s="30" t="n">
        <x:f>D3*(1+E4)</x:f>
        <x:v>75027.33000000002</x:v>
      </x:c>
      <x:c r="F3" s="30" t="n">
        <x:f>E3*(1+F4)</x:f>
        <x:v>78028.42320000002</x:v>
      </x:c>
      <x:c r="G3" s="30"/>
    </x:row>
    <x:row r="4">
      <x:c r="A4" t="str">
        <x:v>Net income growth</x:v>
      </x:c>
      <x:c r="B4" s="31" t="n">
        <x:f>B3/Historical!E5-1</x:f>
        <x:v>0.13144519674574817</x:v>
      </x:c>
      <x:c r="C4" s="31" t="n">
        <x:v>0.07</x:v>
      </x:c>
      <x:c r="D4" s="31" t="n">
        <x:v>0.06</x:v>
      </x:c>
      <x:c r="E4" s="31" t="n">
        <x:v>0.05</x:v>
      </x:c>
      <x:c r="F4" s="31" t="n">
        <x:v>0.04</x:v>
      </x:c>
      <x:c r="G4" s="31" t="n">
        <x:v>0.03</x:v>
      </x:c>
    </x:row>
    <x:row r="5">
      <x:c r="A5" t="str">
        <x:v>Target ROE</x:v>
      </x:c>
      <x:c r="B5" s="31" t="n">
        <x:v>0.18</x:v>
      </x:c>
      <x:c r="C5" s="31" t="n">
        <x:v>0.18</x:v>
      </x:c>
      <x:c r="D5" s="31" t="n">
        <x:v>0.175</x:v>
      </x:c>
      <x:c r="E5" s="31" t="n">
        <x:v>0.17</x:v>
      </x:c>
      <x:c r="F5" s="31" t="n">
        <x:v>0.165</x:v>
      </x:c>
      <x:c r="G5" s="31" t="n">
        <x:v>0.15</x:v>
      </x:c>
    </x:row>
    <x:row r="6">
      <x:c r="A6" t="str">
        <x:v>Retention ratio</x:v>
      </x:c>
      <x:c r="B6" s="31" t="n">
        <x:f>B4/B5</x:f>
        <x:v>0.7302510930319344</x:v>
      </x:c>
      <x:c r="C6" s="31" t="n">
        <x:f>C4/C5</x:f>
        <x:v>0.38888888888888895</x:v>
      </x:c>
      <x:c r="D6" s="31" t="n">
        <x:f>D4/D5</x:f>
        <x:v>0.34285714285714286</x:v>
      </x:c>
      <x:c r="E6" s="31" t="n">
        <x:f>E4/E5</x:f>
        <x:v>0.29411764705882354</x:v>
      </x:c>
      <x:c r="F6" s="31" t="n">
        <x:f>F4/F5</x:f>
        <x:v>0.24242424242424243</x:v>
      </x:c>
      <x:c r="G6" s="31" t="n">
        <x:f>G4/G5</x:f>
        <x:v>0.2</x:v>
      </x:c>
    </x:row>
    <x:row r="7">
      <x:c r="A7" t="str">
        <x:v>Equity payout ratio</x:v>
      </x:c>
      <x:c r="B7" s="31" t="n">
        <x:f>1-B6</x:f>
        <x:v>0.26974890696806564</x:v>
      </x:c>
      <x:c r="C7" s="31" t="n">
        <x:f>1-C6</x:f>
        <x:v>0.611111111111111</x:v>
      </x:c>
      <x:c r="D7" s="31" t="n">
        <x:f>1-D6</x:f>
        <x:v>0.6571428571428571</x:v>
      </x:c>
      <x:c r="E7" s="31" t="n">
        <x:f>1-E6</x:f>
        <x:v>0.7058823529411764</x:v>
      </x:c>
      <x:c r="F7" s="31" t="n">
        <x:f>1-F6</x:f>
        <x:v>0.7575757575757576</x:v>
      </x:c>
      <x:c r="G7" s="31" t="n">
        <x:f>1-G6</x:f>
        <x:v>0.8</x:v>
      </x:c>
    </x:row>
    <x:row r="8">
      <x:c r="A8" t="str">
        <x:v>Cost of equity</x:v>
      </x:c>
      <x:c r="B8" s="31" t="n">
        <x:v>0.095</x:v>
      </x:c>
      <x:c r="C8" s="31"/>
      <x:c r="D8" s="31"/>
      <x:c r="E8" s="31"/>
      <x:c r="F8" s="31"/>
      <x:c r="G8" s="31" t="n">
        <x:v>0.095</x:v>
      </x:c>
    </x:row>
    <x:row r="9">
      <x:c r="A9" t="str">
        <x:v>Terminal growth</x:v>
      </x:c>
      <x:c r="B9" s="31"/>
      <x:c r="C9" s="31"/>
      <x:c r="D9" s="31"/>
      <x:c r="E9" s="31"/>
      <x:c r="F9" s="31"/>
      <x:c r="G9" s="31" t="n">
        <x:v>0.03</x:v>
      </x:c>
    </x:row>
    <x:row r="11">
      <x:c r="A11" s="9" t="str">
        <x:v>Market / Capital Inputs</x:v>
      </x:c>
      <x:c r="B11" s="9" t="str">
        <x:v>Value</x:v>
      </x:c>
      <x:c r="C11" s="9" t="str">
        <x:v>Notes</x:v>
      </x:c>
    </x:row>
    <x:row r="12">
      <x:c r="A12" t="str">
        <x:v>Current JPM share price</x:v>
      </x:c>
      <x:c r="B12" s="24" t="n">
        <x:v>345.4</x:v>
      </x:c>
      <x:c r="C12" t="str">
        <x:v>Intraday reference, Sep. 15, 2026</x:v>
      </x:c>
    </x:row>
    <x:row r="13">
      <x:c r="A13" t="str">
        <x:v>Diluted shares outstanding (mm)</x:v>
      </x:c>
      <x:c r="B13" s="28" t="n">
        <x:v>2696.2</x:v>
      </x:c>
      <x:c r="C13" t="str">
        <x:v>FY2025 period-end shares; conservative base</x:v>
      </x:c>
    </x:row>
    <x:row r="14">
      <x:c r="A14" t="str">
        <x:v>Valuation date</x:v>
      </x:c>
      <x:c r="B14" t="str">
        <x:v>9/15/2026</x:v>
      </x:c>
      <x:c r="C14" t="str">
        <x:v>Model reference date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0" t="str">
        <x:v>FCFE DCF Valuation</x:v>
      </x:c>
      <x:c r="B1" s="20" t="str">
        <x:v>2026E</x:v>
      </x:c>
      <x:c r="C1" s="20" t="str">
        <x:v>2027E</x:v>
      </x:c>
      <x:c r="D1" s="20" t="str">
        <x:v>2028E</x:v>
      </x:c>
      <x:c r="E1" s="20" t="str">
        <x:v>2029E</x:v>
      </x:c>
      <x:c r="F1" s="20" t="str">
        <x:v>2030E</x:v>
      </x:c>
      <x:c r="G1" s="20" t="str">
        <x:v>Terminal</x:v>
      </x:c>
    </x:row>
    <x:row r="3">
      <x:c r="A3" t="str">
        <x:v>Net income to common</x:v>
      </x:c>
      <x:c r="B3" s="22" t="n">
        <x:f>Assumptions!B3</x:f>
        <x:v>63000</x:v>
      </x:c>
      <x:c r="C3" s="22" t="n">
        <x:f>Assumptions!C3</x:f>
        <x:v>67410</x:v>
      </x:c>
      <x:c r="D3" s="22" t="n">
        <x:f>Assumptions!D3</x:f>
        <x:v>71454.6</x:v>
      </x:c>
      <x:c r="E3" s="22" t="n">
        <x:f>Assumptions!E3</x:f>
        <x:v>75027.33000000002</x:v>
      </x:c>
      <x:c r="F3" s="22" t="n">
        <x:f>Assumptions!F3</x:f>
        <x:v>78028.42320000002</x:v>
      </x:c>
      <x:c r="G3" s="22" t="n">
        <x:f>F3*(1+G4)</x:f>
        <x:v>80369.27589600002</x:v>
      </x:c>
    </x:row>
    <x:row r="4">
      <x:c r="A4" t="str">
        <x:v>Growth</x:v>
      </x:c>
      <x:c r="B4" s="26" t="n">
        <x:f>Assumptions!B4</x:f>
        <x:v>0.13144519674574817</x:v>
      </x:c>
      <x:c r="C4" s="26" t="n">
        <x:f>Assumptions!C4</x:f>
        <x:v>0.07</x:v>
      </x:c>
      <x:c r="D4" s="26" t="n">
        <x:f>Assumptions!D4</x:f>
        <x:v>0.06</x:v>
      </x:c>
      <x:c r="E4" s="26" t="n">
        <x:f>Assumptions!E4</x:f>
        <x:v>0.05</x:v>
      </x:c>
      <x:c r="F4" s="26" t="n">
        <x:f>Assumptions!F4</x:f>
        <x:v>0.04</x:v>
      </x:c>
      <x:c r="G4" s="26" t="n">
        <x:f>Assumptions!G4</x:f>
        <x:v>0.03</x:v>
      </x:c>
    </x:row>
    <x:row r="5">
      <x:c r="A5" t="str">
        <x:v>Target ROE</x:v>
      </x:c>
      <x:c r="B5" s="26" t="n">
        <x:f>Assumptions!B5</x:f>
        <x:v>0.18</x:v>
      </x:c>
      <x:c r="C5" s="26" t="n">
        <x:f>Assumptions!C5</x:f>
        <x:v>0.18</x:v>
      </x:c>
      <x:c r="D5" s="26" t="n">
        <x:f>Assumptions!D5</x:f>
        <x:v>0.175</x:v>
      </x:c>
      <x:c r="E5" s="26" t="n">
        <x:f>Assumptions!E5</x:f>
        <x:v>0.17</x:v>
      </x:c>
      <x:c r="F5" s="26" t="n">
        <x:f>Assumptions!F5</x:f>
        <x:v>0.165</x:v>
      </x:c>
      <x:c r="G5" s="26" t="n">
        <x:f>Assumptions!G5</x:f>
        <x:v>0.15</x:v>
      </x:c>
    </x:row>
    <x:row r="6">
      <x:c r="A6" t="str">
        <x:v>Retention ratio</x:v>
      </x:c>
      <x:c r="B6" s="26" t="n">
        <x:f>Assumptions!B6</x:f>
        <x:v>0.7302510930319344</x:v>
      </x:c>
      <x:c r="C6" s="26" t="n">
        <x:f>Assumptions!C6</x:f>
        <x:v>0.38888888888888895</x:v>
      </x:c>
      <x:c r="D6" s="26" t="n">
        <x:f>Assumptions!D6</x:f>
        <x:v>0.34285714285714286</x:v>
      </x:c>
      <x:c r="E6" s="26" t="n">
        <x:f>Assumptions!E6</x:f>
        <x:v>0.29411764705882354</x:v>
      </x:c>
      <x:c r="F6" s="26" t="n">
        <x:f>Assumptions!F6</x:f>
        <x:v>0.24242424242424243</x:v>
      </x:c>
      <x:c r="G6" s="26" t="n">
        <x:f>Assumptions!G6</x:f>
        <x:v>0.2</x:v>
      </x:c>
    </x:row>
    <x:row r="7">
      <x:c r="A7" t="str">
        <x:v>FCFE / distributable equity cash flow</x:v>
      </x:c>
      <x:c r="B7" s="22" t="n">
        <x:f>B3*(1-B6)</x:f>
        <x:v>16994.181138988137</x:v>
      </x:c>
      <x:c r="C7" s="22" t="n">
        <x:f>C3*(1-C6)</x:f>
        <x:v>41194.99999999999</x:v>
      </x:c>
      <x:c r="D7" s="22" t="n">
        <x:f>D3*(1-D6)</x:f>
        <x:v>46955.880000000005</x:v>
      </x:c>
      <x:c r="E7" s="22" t="n">
        <x:f>E3*(1-E6)</x:f>
        <x:v>52960.46823529412</x:v>
      </x:c>
      <x:c r="F7" s="22" t="n">
        <x:f>F3*(1-F6)</x:f>
        <x:v>59112.44181818183</x:v>
      </x:c>
      <x:c r="G7" s="22" t="n">
        <x:f>G3*(1-G6)</x:f>
        <x:v>64295.42071680002</x:v>
      </x:c>
    </x:row>
    <x:row r="8">
      <x:c r="A8" t="str">
        <x:v>Discount factor</x:v>
      </x:c>
      <x:c r="B8" s="34" t="n">
        <x:f>1/(1+Assumptions!$B$8)^1</x:f>
        <x:v>0.9132420091324202</x:v>
      </x:c>
      <x:c r="C8" s="34" t="n">
        <x:f>1/(1+Assumptions!$B$8)^2</x:f>
        <x:v>0.8340109672442193</x:v>
      </x:c>
      <x:c r="D8" s="34" t="n">
        <x:f>1/(1+Assumptions!$B$8)^3</x:f>
        <x:v>0.7616538513645839</x:v>
      </x:c>
      <x:c r="E8" s="34" t="n">
        <x:f>1/(1+Assumptions!$B$8)^4</x:f>
        <x:v>0.6955742934836382</x:v>
      </x:c>
      <x:c r="F8" s="34" t="n">
        <x:f>1/(1+Assumptions!$B$8)^5</x:f>
        <x:v>0.6352276652818614</x:v>
      </x:c>
      <x:c r="G8"/>
    </x:row>
    <x:row r="9">
      <x:c r="A9" t="str">
        <x:v>PV of FCFE</x:v>
      </x:c>
      <x:c r="B9" s="22" t="n">
        <x:f>B7*B8</x:f>
        <x:v>15519.800126929806</x:v>
      </x:c>
      <x:c r="C9" s="22" t="n">
        <x:f>C7*C8</x:f>
        <x:v>34357.08179562561</x:v>
      </x:c>
      <x:c r="D9" s="22" t="n">
        <x:f>D7*D8</x:f>
        <x:v>35764.12684621324</x:v>
      </x:c>
      <x:c r="E9" s="22" t="n">
        <x:f>E7*E8</x:f>
        <x:v>36837.940275327375</x:v>
      </x:c>
      <x:c r="F9" s="22" t="n">
        <x:f>F7*F8</x:f>
        <x:v>37549.85840527352</x:v>
      </x:c>
      <x:c r="G9" s="22"/>
    </x:row>
    <x:row r="10">
      <x:c r="A10" t="str">
        <x:v>Terminal value</x:v>
      </x:c>
      <x:c r="B10" s="22"/>
      <x:c r="C10" s="22"/>
      <x:c r="D10" s="22"/>
      <x:c r="E10" s="22"/>
      <x:c r="F10" s="22"/>
      <x:c r="G10" s="22" t="n">
        <x:f>G7/(Assumptions!G8-Assumptions!G9)</x:f>
        <x:v>989160.3187200003</x:v>
      </x:c>
    </x:row>
    <x:row r="12">
      <x:c r="A12" s="9" t="str">
        <x:v>Valuation Summary</x:v>
      </x:c>
      <x:c r="B12" s="9" t="str">
        <x:v>Value</x:v>
      </x:c>
    </x:row>
    <x:row r="13">
      <x:c r="A13" t="str">
        <x:v>PV of explicit FCFE</x:v>
      </x:c>
      <x:c r="B13" s="36" t="n">
        <x:f>SUM(B9:F9)</x:f>
        <x:v>160028.80744936955</x:v>
      </x:c>
    </x:row>
    <x:row r="14">
      <x:c r="A14" t="str">
        <x:v>PV of terminal value</x:v>
      </x:c>
      <x:c r="B14" s="36" t="n">
        <x:f>G10*F8</x:f>
        <x:v>628341.9998499677</x:v>
      </x:c>
    </x:row>
    <x:row r="15">
      <x:c r="A15" t="str">
        <x:v>Implied equity value</x:v>
      </x:c>
      <x:c r="B15" s="36" t="n">
        <x:f>B13+B14</x:f>
        <x:v>788370.8072993372</x:v>
      </x:c>
    </x:row>
    <x:row r="16">
      <x:c r="A16" t="str">
        <x:v>Implied value / share</x:v>
      </x:c>
      <x:c r="B16" s="38" t="n">
        <x:f>B15/Assumptions!B13</x:f>
        <x:v>292.4007148206132</x:v>
      </x:c>
    </x:row>
    <x:row r="17">
      <x:c r="A17" t="str">
        <x:v>Current market price</x:v>
      </x:c>
      <x:c r="B17" s="38" t="n">
        <x:f>Assumptions!B12</x:f>
        <x:v>345.4</x:v>
      </x:c>
    </x:row>
    <x:row r="18">
      <x:c r="A18" t="str">
        <x:v>Upside / (Downside)</x:v>
      </x:c>
      <x:c r="B18" s="39" t="n">
        <x:f>B16/B17-1</x:f>
        <x:v>-0.15344321128948113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2" t="str">
        <x:v>Sensitivity Analysis — Implied Value Per Share</x:v>
      </x:c>
      <x:c r="B1" s="42"/>
      <x:c r="C1" s="42"/>
      <x:c r="D1" s="42"/>
      <x:c r="E1" s="42"/>
      <x:c r="F1" s="42"/>
    </x:row>
    <x:row r="3">
      <x:c r="A3" t="str">
        <x:v>Terminal Growth ↓ / Cost of Equity →</x:v>
      </x:c>
      <x:c r="B3" s="26" t="n">
        <x:v>0.085</x:v>
      </x:c>
      <x:c r="C3" s="26" t="n">
        <x:v>0.09</x:v>
      </x:c>
      <x:c r="D3" s="26" t="n">
        <x:v>0.095</x:v>
      </x:c>
      <x:c r="E3" s="26" t="n">
        <x:v>0.1</x:v>
      </x:c>
      <x:c r="F3" s="26" t="n">
        <x:v>0.105</x:v>
      </x:c>
    </x:row>
    <x:row r="4">
      <x:c r="A4" s="26" t="n">
        <x:v>0.02</x:v>
      </x:c>
      <x:c r="B4" s="24" t="n">
        <x:f>(('FCFE DCF'!B7/(1+B$3)^1)+('FCFE DCF'!C7/(1+B$3)^2)+('FCFE DCF'!D7/(1+B$3)^3)+('FCFE DCF'!E7/(1+B$3)^4)+('FCFE DCF'!F7/(1+B$3)^5)+((('FCFE DCF'!F3*(1+$A4))*(1-$A4/Assumptions!G5))/(B$3-$A4))/(1+B$3)^5)/Assumptions!B13</x:f>
        <x:v>322.9296498315237</x:v>
      </x:c>
      <x:c r="C4" s="24" t="n">
        <x:f>(('FCFE DCF'!B7/(1+C$3)^1)+('FCFE DCF'!C7/(1+C$3)^2)+('FCFE DCF'!D7/(1+C$3)^3)+('FCFE DCF'!E7/(1+C$3)^4)+('FCFE DCF'!F7/(1+C$3)^5)+((('FCFE DCF'!F3*(1+$A4))*(1-$A4/Assumptions!G5))/(C$3-$A4))/(1+C$3)^5)/Assumptions!B13</x:f>
        <x:v>297.78740092649736</x:v>
      </x:c>
      <x:c r="D4" s="24" t="n">
        <x:f>(('FCFE DCF'!B7/(1+D$3)^1)+('FCFE DCF'!C7/(1+D$3)^2)+('FCFE DCF'!D7/(1+D$3)^3)+('FCFE DCF'!E7/(1+D$3)^4)+('FCFE DCF'!F7/(1+D$3)^5)+((('FCFE DCF'!F3*(1+$A4))*(1-$A4/Assumptions!G5))/(D$3-$A4))/(1+D$3)^5)/Assumptions!B13</x:f>
        <x:v>276.03461333060494</x:v>
      </x:c>
      <x:c r="E4" s="24" t="n">
        <x:f>(('FCFE DCF'!B7/(1+E$3)^1)+('FCFE DCF'!C7/(1+E$3)^2)+('FCFE DCF'!D7/(1+E$3)^3)+('FCFE DCF'!E7/(1+E$3)^4)+('FCFE DCF'!F7/(1+E$3)^5)+((('FCFE DCF'!F3*(1+$A4))*(1-$A4/Assumptions!G5))/(E$3-$A4))/(1+E$3)^5)/Assumptions!B13</x:f>
        <x:v>257.0348456359072</x:v>
      </x:c>
      <x:c r="F4" s="24" t="n">
        <x:f>(('FCFE DCF'!B7/(1+F$3)^1)+('FCFE DCF'!C7/(1+F$3)^2)+('FCFE DCF'!D7/(1+F$3)^3)+('FCFE DCF'!E7/(1+F$3)^4)+('FCFE DCF'!F7/(1+F$3)^5)+((('FCFE DCF'!F3*(1+$A4))*(1-$A4/Assumptions!G5))/(F$3-$A4))/(1+F$3)^5)/Assumptions!B13</x:f>
        <x:v>240.30143514674393</x:v>
      </x:c>
    </x:row>
    <x:row r="5">
      <x:c r="A5" s="26" t="n">
        <x:v>0.025</x:v>
      </x:c>
      <x:c r="B5" s="24" t="n">
        <x:f>(('FCFE DCF'!B7/(1+B$3)^1)+('FCFE DCF'!C7/(1+B$3)^2)+('FCFE DCF'!D7/(1+B$3)^3)+('FCFE DCF'!E7/(1+B$3)^4)+('FCFE DCF'!F7/(1+B$3)^5)+((('FCFE DCF'!F3*(1+$A5))*(1-$A5/Assumptions!G5))/(B$3-$A5))/(1+B$3)^5)/Assumptions!B13</x:f>
        <x:v>335.1725699840081</x:v>
      </x:c>
      <x:c r="C5" s="24" t="n">
        <x:f>(('FCFE DCF'!B7/(1+C$3)^1)+('FCFE DCF'!C7/(1+C$3)^2)+('FCFE DCF'!D7/(1+C$3)^3)+('FCFE DCF'!E7/(1+C$3)^4)+('FCFE DCF'!F7/(1+C$3)^5)+((('FCFE DCF'!F3*(1+$A5))*(1-$A5/Assumptions!G5))/(C$3-$A5))/(1+C$3)^5)/Assumptions!B13</x:f>
        <x:v>307.4262083654582</x:v>
      </x:c>
      <x:c r="D5" s="24" t="n">
        <x:f>(('FCFE DCF'!B7/(1+D$3)^1)+('FCFE DCF'!C7/(1+D$3)^2)+('FCFE DCF'!D7/(1+D$3)^3)+('FCFE DCF'!E7/(1+D$3)^4)+('FCFE DCF'!F7/(1+D$3)^5)+((('FCFE DCF'!F3*(1+$A5))*(1-$A5/Assumptions!G5))/(D$3-$A5))/(1+D$3)^5)/Assumptions!B13</x:f>
        <x:v>283.6769308836868</x:v>
      </x:c>
      <x:c r="E5" s="24" t="n">
        <x:f>(('FCFE DCF'!B7/(1+E$3)^1)+('FCFE DCF'!C7/(1+E$3)^2)+('FCFE DCF'!D7/(1+E$3)^3)+('FCFE DCF'!E7/(1+E$3)^4)+('FCFE DCF'!F7/(1+E$3)^5)+((('FCFE DCF'!F3*(1+$A5))*(1-$A5/Assumptions!G5))/(E$3-$A5))/(1+E$3)^5)/Assumptions!B13</x:f>
        <x:v>263.1245278593314</x:v>
      </x:c>
      <x:c r="F5" s="24" t="n">
        <x:f>(('FCFE DCF'!B7/(1+F$3)^1)+('FCFE DCF'!C7/(1+F$3)^2)+('FCFE DCF'!D7/(1+F$3)^3)+('FCFE DCF'!E7/(1+F$3)^4)+('FCFE DCF'!F7/(1+F$3)^5)+((('FCFE DCF'!F3*(1+$A5))*(1-$A5/Assumptions!G5))/(F$3-$A5))/(1+F$3)^5)/Assumptions!B13</x:f>
        <x:v>245.16886543122945</x:v>
      </x:c>
    </x:row>
    <x:row r="6">
      <x:c r="A6" s="26" t="n">
        <x:v>0.03</x:v>
      </x:c>
      <x:c r="B6" s="24" t="n">
        <x:f>(('FCFE DCF'!B7/(1+B$3)^1)+('FCFE DCF'!C7/(1+B$3)^2)+('FCFE DCF'!D7/(1+B$3)^3)+('FCFE DCF'!E7/(1+B$3)^4)+('FCFE DCF'!F7/(1+B$3)^5)+((('FCFE DCF'!F3*(1+$A6))*(1-$A6/Assumptions!G5))/(B$3-$A6))/(1+B$3)^5)/Assumptions!B13</x:f>
        <x:v>349.52483009130725</x:v>
      </x:c>
      <x:c r="C6" s="24" t="n">
        <x:f>(('FCFE DCF'!B7/(1+C$3)^1)+('FCFE DCF'!C7/(1+C$3)^2)+('FCFE DCF'!D7/(1+C$3)^3)+('FCFE DCF'!E7/(1+C$3)^4)+('FCFE DCF'!F7/(1+C$3)^5)+((('FCFE DCF'!F3*(1+$A6))*(1-$A6/Assumptions!G5))/(C$3-$A6))/(1+C$3)^5)/Assumptions!B13</x:f>
        <x:v>318.5669886576668</x:v>
      </x:c>
      <x:c r="D6" s="24" t="n">
        <x:f>(('FCFE DCF'!B7/(1+D$3)^1)+('FCFE DCF'!C7/(1+D$3)^2)+('FCFE DCF'!D7/(1+D$3)^3)+('FCFE DCF'!E7/(1+D$3)^4)+('FCFE DCF'!F7/(1+D$3)^5)+((('FCFE DCF'!F3*(1+$A6))*(1-$A6/Assumptions!G5))/(D$3-$A6))/(1+D$3)^5)/Assumptions!B13</x:f>
        <x:v>292.40071482061313</x:v>
      </x:c>
      <x:c r="E6" s="24" t="n">
        <x:f>(('FCFE DCF'!B7/(1+E$3)^1)+('FCFE DCF'!C7/(1+E$3)^2)+('FCFE DCF'!D7/(1+E$3)^3)+('FCFE DCF'!E7/(1+E$3)^4)+('FCFE DCF'!F7/(1+E$3)^5)+((('FCFE DCF'!F3*(1+$A6))*(1-$A6/Assumptions!G5))/(E$3-$A6))/(1+E$3)^5)/Assumptions!B13</x:f>
        <x:v>269.9985953808549</x:v>
      </x:c>
      <x:c r="F6" s="24" t="n">
        <x:f>(('FCFE DCF'!B7/(1+F$3)^1)+('FCFE DCF'!C7/(1+F$3)^2)+('FCFE DCF'!D7/(1+F$3)^3)+('FCFE DCF'!E7/(1+F$3)^4)+('FCFE DCF'!F7/(1+F$3)^5)+((('FCFE DCF'!F3*(1+$A6))*(1-$A6/Assumptions!G5))/(F$3-$A6))/(1+F$3)^5)/Assumptions!B13</x:f>
        <x:v>250.607212350587</x:v>
      </x:c>
    </x:row>
    <x:row r="7">
      <x:c r="A7" s="26" t="n">
        <x:v>0.035</x:v>
      </x:c>
      <x:c r="B7" s="24" t="n">
        <x:f>(('FCFE DCF'!B7/(1+B$3)^1)+('FCFE DCF'!C7/(1+B$3)^2)+('FCFE DCF'!D7/(1+B$3)^3)+('FCFE DCF'!E7/(1+B$3)^4)+('FCFE DCF'!F7/(1+B$3)^5)+((('FCFE DCF'!F3*(1+$A7))*(1-$A7/Assumptions!G5))/(B$3-$A7))/(1+B$3)^5)/Assumptions!B13</x:f>
        <x:v>366.61923213986546</x:v>
      </x:c>
      <x:c r="C7" s="24" t="n">
        <x:f>(('FCFE DCF'!B7/(1+C$3)^1)+('FCFE DCF'!C7/(1+C$3)^2)+('FCFE DCF'!D7/(1+C$3)^3)+('FCFE DCF'!E7/(1+C$3)^4)+('FCFE DCF'!F7/(1+C$3)^5)+((('FCFE DCF'!F3*(1+$A7))*(1-$A7/Assumptions!G5))/(C$3-$A7))/(1+C$3)^5)/Assumptions!B13</x:f>
        <x:v>331.61937076309954</x:v>
      </x:c>
      <x:c r="D7" s="24" t="n">
        <x:f>(('FCFE DCF'!B7/(1+D$3)^1)+('FCFE DCF'!C7/(1+D$3)^2)+('FCFE DCF'!D7/(1+D$3)^3)+('FCFE DCF'!E7/(1+D$3)^4)+('FCFE DCF'!F7/(1+D$3)^5)+((('FCFE DCF'!F3*(1+$A7))*(1-$A7/Assumptions!G5))/(D$3-$A7))/(1+D$3)^5)/Assumptions!B13</x:f>
        <x:v>302.4763317373448</x:v>
      </x:c>
      <x:c r="E7" s="24" t="n">
        <x:f>(('FCFE DCF'!B7/(1+E$3)^1)+('FCFE DCF'!C7/(1+E$3)^2)+('FCFE DCF'!D7/(1+E$3)^3)+('FCFE DCF'!E7/(1+E$3)^4)+('FCFE DCF'!F7/(1+E$3)^5)+((('FCFE DCF'!F3*(1+$A7))*(1-$A7/Assumptions!G5))/(E$3-$A7))/(1+E$3)^5)/Assumptions!B13</x:f>
        <x:v>277.8380601923465</x:v>
      </x:c>
      <x:c r="F7" s="24" t="n">
        <x:f>(('FCFE DCF'!B7/(1+F$3)^1)+('FCFE DCF'!C7/(1+F$3)^2)+('FCFE DCF'!D7/(1+F$3)^3)+('FCFE DCF'!E7/(1+F$3)^4)+('FCFE DCF'!F7/(1+F$3)^5)+((('FCFE DCF'!F3*(1+$A7))*(1-$A7/Assumptions!G5))/(F$3-$A7))/(1+F$3)^5)/Assumptions!B13</x:f>
        <x:v>256.73881518371763</x:v>
      </x:c>
    </x:row>
    <x:row r="8">
      <x:c r="A8" s="26" t="n">
        <x:v>0.04</x:v>
      </x:c>
      <x:c r="B8" s="24" t="n">
        <x:f>(('FCFE DCF'!B7/(1+B$3)^1)+('FCFE DCF'!C7/(1+B$3)^2)+('FCFE DCF'!D7/(1+B$3)^3)+('FCFE DCF'!E7/(1+B$3)^4)+('FCFE DCF'!F7/(1+B$3)^5)+((('FCFE DCF'!F3*(1+$A8))*(1-$A8/Assumptions!G5))/(B$3-$A8))/(1+B$3)^5)/Assumptions!B13</x:f>
        <x:v>387.36982344343596</x:v>
      </x:c>
      <x:c r="C8" s="24" t="n">
        <x:f>(('FCFE DCF'!B7/(1+C$3)^1)+('FCFE DCF'!C7/(1+C$3)^2)+('FCFE DCF'!D7/(1+C$3)^3)+('FCFE DCF'!E7/(1+C$3)^4)+('FCFE DCF'!F7/(1+C$3)^5)+((('FCFE DCF'!F3*(1+$A8))*(1-$A8/Assumptions!G5))/(C$3-$A8))/(1+C$3)^5)/Assumptions!B13</x:f>
        <x:v>347.1568352257241</x:v>
      </x:c>
      <x:c r="D8" s="24" t="n">
        <x:f>(('FCFE DCF'!B7/(1+D$3)^1)+('FCFE DCF'!C7/(1+D$3)^2)+('FCFE DCF'!D7/(1+D$3)^3)+('FCFE DCF'!E7/(1+D$3)^4)+('FCFE DCF'!F7/(1+D$3)^5)+((('FCFE DCF'!F3*(1+$A8))*(1-$A8/Assumptions!G5))/(D$3-$A8))/(1+D$3)^5)/Assumptions!B13</x:f>
        <x:v>314.2724633556473</x:v>
      </x:c>
      <x:c r="E8" s="24" t="n">
        <x:f>(('FCFE DCF'!B7/(1+E$3)^1)+('FCFE DCF'!C7/(1+E$3)^2)+('FCFE DCF'!D7/(1+E$3)^3)+('FCFE DCF'!E7/(1+E$3)^4)+('FCFE DCF'!F7/(1+E$3)^5)+((('FCFE DCF'!F3*(1+$A8))*(1-$A8/Assumptions!G5))/(E$3-$A8))/(1+E$3)^5)/Assumptions!B13</x:f>
        <x:v>286.8842716162984</x:v>
      </x:c>
      <x:c r="F8" s="24" t="n">
        <x:f>(('FCFE DCF'!B7/(1+F$3)^1)+('FCFE DCF'!C7/(1+F$3)^2)+('FCFE DCF'!D7/(1+F$3)^3)+('FCFE DCF'!E7/(1+F$3)^4)+('FCFE DCF'!F7/(1+F$3)^5)+((('FCFE DCF'!F3*(1+$A8))*(1-$A8/Assumptions!G5))/(F$3-$A8))/(1+F$3)^5)/Assumptions!B13</x:f>
        <x:v>263.7236560645691</x:v>
      </x:c>
    </x:row>
  </x:sheetData>
  <x:mergeCells>
    <x:mergeCell ref="A1:F1"/>
  </x:mergeCells>
  <x:conditionalFormatting sqref="B4:F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62" hidden="0" customWidth="1"/>
    <x:col min="4" max="4" width="38" hidden="0" customWidth="1"/>
  </x:cols>
  <x:sheetData>
    <x:row r="1">
      <x:c r="A1" s="20" t="str">
        <x:v>Source</x:v>
      </x:c>
      <x:c r="B1" s="20" t="str">
        <x:v>Used For</x:v>
      </x:c>
      <x:c r="C1" s="20" t="str">
        <x:v>URL</x:v>
      </x:c>
      <x:c r="D1" s="20" t="str">
        <x:v>Notes</x:v>
      </x:c>
    </x:row>
    <x:row r="2">
      <x:c r="A2" s="12" t="str">
        <x:v>JPMorgan Chase 2025 Annual Report</x:v>
      </x:c>
      <x:c r="B2" s="12" t="str">
        <x:v>FY2023–FY2025 financials, capital, shares</x:v>
      </x:c>
      <x:c r="C2" s="12" t="str">
        <x:v>https://www.jpmorganchase.com/ir/annual-report</x:v>
      </x:c>
      <x:c r="D2" s="12" t="str">
        <x:v>Primary company source</x:v>
      </x:c>
    </x:row>
    <x:row r="3">
      <x:c r="A3" s="12" t="str">
        <x:v>SEC 2025 Form 10-K</x:v>
      </x:c>
      <x:c r="B3" s="12" t="str">
        <x:v>Income statement and company disclosures</x:v>
      </x:c>
      <x:c r="C3" s="12" t="str">
        <x:v>https://www.sec.gov/Archives/edgar/data/19617/000162828026008131/jpm-20251231.htm</x:v>
      </x:c>
      <x:c r="D3" s="12" t="str">
        <x:v>Primary regulatory filing</x:v>
      </x:c>
    </x:row>
    <x:row r="4">
      <x:c r="A4" s="12" t="str">
        <x:v>JPMorgan 4Q25 Earnings Release</x:v>
      </x:c>
      <x:c r="B4" s="12" t="str">
        <x:v>2025 net income, ROTCE, CET1</x:v>
      </x:c>
      <x:c r="C4" s="12" t="str">
        <x:v>https://www.sec.gov/Archives/edgar/data/19617/000162828026001902/a4q25erfexhibit991narrative.htm</x:v>
      </x:c>
      <x:c r="D4" s="12" t="str">
        <x:v>Primary company filing</x:v>
      </x:c>
    </x:row>
    <x:row r="5">
      <x:c r="A5" s="12" t="str">
        <x:v>MarketBeat JPM quote</x:v>
      </x:c>
      <x:c r="B5" s="12" t="str">
        <x:v>Reference share price</x:v>
      </x:c>
      <x:c r="C5" s="12" t="str">
        <x:v>https://www.marketbeat.com/stocks/NYSE/JPM/</x:v>
      </x:c>
      <x:c r="D5" s="12" t="str">
        <x:v>9/14/2026 close $350.32</x:v>
      </x:c>
    </x:row>
    <x:row r="6">
      <x:c r="A6" s="12" t="str">
        <x:v>Investing.com JPM quote</x:v>
      </x:c>
      <x:c r="B6" s="12" t="str">
        <x:v>Cross-check market price / TTM metrics</x:v>
      </x:c>
      <x:c r="C6" s="12" t="str">
        <x:v>https://www.investing.com/equities/jp-morgan-chase</x:v>
      </x:c>
      <x:c r="D6" s="12" t="str">
        <x:v>Around $349.60 on 9/15/2026</x:v>
      </x:c>
    </x:row>
    <x:row r="7">
      <x:c r="A7" t="str">
        <x:v>Market price reference</x:v>
      </x:c>
      <x:c r="B7" t="str">
        <x:v>Sep. 15, 2026</x:v>
      </x:c>
      <x:c r="C7" t="str">
        <x:v>https://www.statmuse.com/money/ask/jpmorgan-chase-stock-price</x:v>
      </x:c>
      <x:c r="D7" t="str">
        <x:v>Reference market price used in model</x:v>
      </x:c>
    </x:row>
    <x:row r="8">
      <x:c r="A8" t="str">
        <x:v>2Q26 Earnings Release</x:v>
      </x:c>
      <x:c r="B8" t="str">
        <x:v>Jul. 14, 2026</x:v>
      </x:c>
      <x:c r="C8" t="str">
        <x:v>https://www.jpmorganchase.com/content/dam/jpmc/jpmorgan-chase-and-co/investor-relations/documents/quarterly-earnings/2026/2nd-quarter/6cded9fd-a164-4e6c-8cff-377357cf105c.pdf</x:v>
      </x:c>
      <x:c r="D8" t="str">
        <x:v>2Q26 reported and adjusted metrics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78" t="str">
        <x:v>JPMorgan Chase &amp; Co. (NYSE: JPM) - FCFE Valuation</x:v>
      </x:c>
      <x:c r="B1" s="78"/>
      <x:c r="C1" s="78"/>
      <x:c r="D1" s="78"/>
      <x:c r="E1" s="78"/>
      <x:c r="F1" s="78"/>
      <x:c r="G1" s="78"/>
      <x:c r="H1" s="78"/>
      <x:c r="I1" s="78"/>
      <x:c r="J1" s="78"/>
    </x:row>
    <x:row r="2">
      <x:c r="A2" s="78"/>
      <x:c r="B2" s="78"/>
      <x:c r="C2" s="78"/>
      <x:c r="D2" s="78"/>
      <x:c r="E2" s="78"/>
      <x:c r="F2" s="78"/>
      <x:c r="G2" s="78"/>
      <x:c r="H2" s="78"/>
      <x:c r="I2" s="78"/>
      <x:c r="J2" s="78"/>
    </x:row>
    <x:row r="3">
      <x:c r="A3" s="69" t="str">
        <x:v>Independent Finance Portfolio Project | Valuation date: September 15, 2026 | $ in millions except per-share data</x:v>
      </x:c>
      <x:c r="B3" s="69"/>
      <x:c r="C3" s="69"/>
      <x:c r="D3" s="69"/>
      <x:c r="E3" s="69"/>
      <x:c r="F3" s="69"/>
      <x:c r="G3" s="69"/>
      <x:c r="H3" s="69"/>
      <x:c r="I3" s="69"/>
      <x:c r="J3" s="69"/>
    </x:row>
    <x:row r="4">
      <x:c r="A4" s="79"/>
      <x:c r="B4" s="79"/>
      <x:c r="C4" s="79"/>
      <x:c r="D4" s="79"/>
      <x:c r="E4" s="79"/>
      <x:c r="F4" s="79"/>
      <x:c r="G4" s="79"/>
      <x:c r="H4" s="79"/>
      <x:c r="I4" s="79"/>
      <x:c r="J4" s="79"/>
    </x:row>
    <x:row r="5">
      <x:c r="A5" s="80" t="str">
        <x:v>VALUATION SNAPSHOT</x:v>
      </x:c>
      <x:c r="B5" s="80"/>
      <x:c r="C5" s="79"/>
      <x:c r="D5" s="80" t="str">
        <x:v>2025 FUNDAMENTALS</x:v>
      </x:c>
      <x:c r="E5" s="80"/>
      <x:c r="F5" s="79"/>
      <x:c r="G5" s="80" t="str">
        <x:v>2Q26 UPDATE</x:v>
      </x:c>
      <x:c r="H5" s="80"/>
      <x:c r="I5" s="79"/>
      <x:c r="J5" s="79"/>
    </x:row>
    <x:row r="6">
      <x:c r="A6" s="81" t="str">
        <x:v>Implied value / share</x:v>
      </x:c>
      <x:c r="B6" s="82" t="n">
        <x:v>292.4007148206132</x:v>
      </x:c>
      <x:c r="C6" s="79"/>
      <x:c r="D6" s="81" t="str">
        <x:v>Net revenue ($mm)</x:v>
      </x:c>
      <x:c r="E6" s="83" t="n">
        <x:v>182447</x:v>
      </x:c>
      <x:c r="F6" s="79"/>
      <x:c r="G6" s="81" t="str">
        <x:v>Reported net income ($mm)</x:v>
      </x:c>
      <x:c r="H6" s="83" t="n">
        <x:v>21200</x:v>
      </x:c>
      <x:c r="I6" s="79"/>
      <x:c r="J6" s="79"/>
    </x:row>
    <x:row r="7">
      <x:c r="A7" s="81" t="str">
        <x:v>Reference market price</x:v>
      </x:c>
      <x:c r="B7" s="82" t="n">
        <x:v>345.4</x:v>
      </x:c>
      <x:c r="C7" s="79"/>
      <x:c r="D7" s="81" t="str">
        <x:v>Net income ($mm)</x:v>
      </x:c>
      <x:c r="E7" s="83" t="n">
        <x:v>57048</x:v>
      </x:c>
      <x:c r="F7" s="79"/>
      <x:c r="G7" s="81" t="str">
        <x:v>Reported EPS</x:v>
      </x:c>
      <x:c r="H7" s="82" t="n">
        <x:v>7.7</x:v>
      </x:c>
      <x:c r="I7" s="79"/>
      <x:c r="J7" s="79"/>
    </x:row>
    <x:row r="8">
      <x:c r="A8" s="81" t="str">
        <x:v>Upside / (Downside)</x:v>
      </x:c>
      <x:c r="B8" s="84" t="n">
        <x:v>-0.15344321128948113</x:v>
      </x:c>
      <x:c r="C8" s="79"/>
      <x:c r="D8" s="81" t="str">
        <x:v>Diluted EPS</x:v>
      </x:c>
      <x:c r="E8" s="82" t="n">
        <x:v>20.02</x:v>
      </x:c>
      <x:c r="F8" s="79"/>
      <x:c r="G8" s="81" t="str">
        <x:v>Adj. EPS ex. significant items</x:v>
      </x:c>
      <x:c r="H8" s="82" t="n">
        <x:v>6.14</x:v>
      </x:c>
      <x:c r="I8" s="79"/>
      <x:c r="J8" s="79"/>
    </x:row>
    <x:row r="9">
      <x:c r="A9" s="81" t="str">
        <x:v>Cost of equity</x:v>
      </x:c>
      <x:c r="B9" s="84" t="n">
        <x:v>0.095</x:v>
      </x:c>
      <x:c r="C9" s="79"/>
      <x:c r="D9" s="81" t="str">
        <x:v>ROE</x:v>
      </x:c>
      <x:c r="E9" s="84" t="n">
        <x:v>0.17</x:v>
      </x:c>
      <x:c r="F9" s="79"/>
      <x:c r="G9" s="81" t="str">
        <x:v>Adj. ROTCE</x:v>
      </x:c>
      <x:c r="H9" s="84" t="n">
        <x:v>0.23</x:v>
      </x:c>
      <x:c r="I9" s="79"/>
      <x:c r="J9" s="79"/>
    </x:row>
    <x:row r="10">
      <x:c r="A10" s="81" t="str">
        <x:v>Terminal growth</x:v>
      </x:c>
      <x:c r="B10" s="84" t="n">
        <x:v>0.03</x:v>
      </x:c>
      <x:c r="C10" s="79"/>
      <x:c r="D10" s="81" t="str">
        <x:v>ROTCE</x:v>
      </x:c>
      <x:c r="E10" s="84" t="n">
        <x:v>0.2</x:v>
      </x:c>
      <x:c r="F10" s="79"/>
      <x:c r="G10" s="81" t="str">
        <x:v>CET1 ratio</x:v>
      </x:c>
      <x:c r="H10" s="84" t="n">
        <x:v>0.141</x:v>
      </x:c>
      <x:c r="I10" s="79"/>
      <x:c r="J10" s="79"/>
    </x:row>
    <x:row r="11">
      <x:c r="A11" s="79"/>
      <x:c r="B11" s="79"/>
      <x:c r="C11" s="79"/>
      <x:c r="D11" s="79"/>
      <x:c r="E11" s="79"/>
      <x:c r="F11" s="79"/>
      <x:c r="G11" s="79"/>
      <x:c r="H11" s="79"/>
      <x:c r="I11" s="79"/>
      <x:c r="J11" s="79"/>
    </x:row>
    <x:row r="12">
      <x:c r="A12" s="80" t="str">
        <x:v>INVESTMENT THESIS</x:v>
      </x:c>
      <x:c r="B12" s="80"/>
      <x:c r="C12" s="80"/>
      <x:c r="D12" s="80"/>
      <x:c r="E12" s="80"/>
      <x:c r="F12" s="80"/>
      <x:c r="G12" s="80"/>
      <x:c r="H12" s="80"/>
      <x:c r="I12" s="80"/>
      <x:c r="J12" s="80"/>
    </x:row>
    <x:row r="13">
      <x:c r="A13" s="85" t="str">
        <x:v>1. Scale &amp; diversification</x:v>
      </x:c>
      <x:c r="B13" s="85" t="str">
        <x:v>JPM combines leading consumer banking, payments, investment banking, markets, commercial banking and asset/wealth management, supporting resilient earnings across cycles.</x:v>
      </x:c>
      <x:c r="C13" s="85"/>
      <x:c r="D13" s="85"/>
      <x:c r="E13" s="85"/>
      <x:c r="F13" s="85"/>
      <x:c r="G13" s="85"/>
      <x:c r="H13" s="85"/>
      <x:c r="I13" s="85"/>
      <x:c r="J13" s="85"/>
    </x:row>
    <x:row r="14">
      <x:c r="A14" s="85" t="str">
        <x:v>2. Profitability</x:v>
      </x:c>
      <x:c r="B14" s="85" t="str">
        <x:v>2025 ROTCE remained 20%; 2Q26 adjusted ROTCE was 23%, demonstrating strong earnings power despite normalization in rates and credit.</x:v>
      </x:c>
      <x:c r="C14" s="85"/>
      <x:c r="D14" s="85"/>
      <x:c r="E14" s="85"/>
      <x:c r="F14" s="85"/>
      <x:c r="G14" s="85"/>
      <x:c r="H14" s="85"/>
      <x:c r="I14" s="85"/>
      <x:c r="J14" s="85"/>
    </x:row>
    <x:row r="15">
      <x:c r="A15" s="85" t="str">
        <x:v>3. Capital strength</x:v>
      </x:c>
      <x:c r="B15" s="85" t="str">
        <x:v>A 14.1% standardized CET1 ratio in 2Q26 provides a substantial capital base while supporting dividends, repurchases and organic growth.</x:v>
      </x:c>
      <x:c r="C15" s="85"/>
      <x:c r="D15" s="85"/>
      <x:c r="E15" s="85"/>
      <x:c r="F15" s="85"/>
      <x:c r="G15" s="85"/>
      <x:c r="H15" s="85"/>
      <x:c r="I15" s="85"/>
      <x:c r="J15" s="85"/>
    </x:row>
    <x:row r="16">
      <x:c r="A16" s="85" t="str">
        <x:v>4. Valuation discipline</x:v>
      </x:c>
      <x:c r="B16" s="85" t="str">
        <x:v>The base-case FCFE model implies ~$292/share, below the ~$345 reference price, suggesting the market embeds stronger long-term growth, profitability or a lower required return than the base case.</x:v>
      </x:c>
      <x:c r="C16" s="85"/>
      <x:c r="D16" s="85"/>
      <x:c r="E16" s="85"/>
      <x:c r="F16" s="85"/>
      <x:c r="G16" s="85"/>
      <x:c r="H16" s="85"/>
      <x:c r="I16" s="85"/>
      <x:c r="J16" s="85"/>
    </x:row>
    <x:row r="17">
      <x:c r="A17" s="85" t="str">
        <x:v>5. Portfolio conclusion</x:v>
      </x:c>
      <x:c r="B17" s="85" t="str">
        <x:v>High-quality franchise, but the modeled risk/reward is less compelling at the reference price. The key debate is whether premium profitability can persist long enough to justify the valuation.</x:v>
      </x:c>
      <x:c r="C17" s="85"/>
      <x:c r="D17" s="85"/>
      <x:c r="E17" s="85"/>
      <x:c r="F17" s="85"/>
      <x:c r="G17" s="85"/>
      <x:c r="H17" s="85"/>
      <x:c r="I17" s="85"/>
      <x:c r="J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</x:row>
    <x:row r="20">
      <x:c r="A20" s="86" t="str">
        <x:v>KEY RISKS &amp; CATALYSTS</x:v>
      </x:c>
      <x:c r="B20" s="86"/>
      <x:c r="C20" s="86"/>
      <x:c r="D20" s="86"/>
      <x:c r="E20" s="86"/>
      <x:c r="F20" s="86"/>
      <x:c r="G20" s="86"/>
      <x:c r="H20" s="86"/>
      <x:c r="I20" s="86"/>
      <x:c r="J20" s="86"/>
      <x:c r="L20" t="str">
        <x:v>Valuation</x:v>
      </x:c>
      <x:c r="M20" t="str">
        <x:v>$/share</x:v>
      </x:c>
    </x:row>
    <x:row r="21">
      <x:c r="A21" s="85" t="str">
        <x:v>Risks</x:v>
      </x:c>
      <x:c r="B21" s="85"/>
      <x:c r="C21" s="85"/>
      <x:c r="D21" s="85"/>
      <x:c r="E21" s="85"/>
      <x:c r="F21" s="85" t="str">
        <x:v>Catalysts</x:v>
      </x:c>
      <x:c r="G21" s="85"/>
      <x:c r="H21" s="85"/>
      <x:c r="I21" s="85"/>
      <x:c r="J21" s="85"/>
      <x:c r="L21" t="str">
        <x:v>FCFE Implied</x:v>
      </x:c>
      <x:c r="M21" t="n">
        <x:v>292.4007148206132</x:v>
      </x:c>
    </x:row>
    <x:row r="22">
      <x:c r="A22" s="85" t="str">
        <x:v>Net interest income / rate sensitivity</x:v>
      </x:c>
      <x:c r="B22" s="85"/>
      <x:c r="C22" s="85"/>
      <x:c r="D22" s="85"/>
      <x:c r="E22" s="85"/>
      <x:c r="F22" s="85" t="str">
        <x:v>Sustained loan and deposit growth</x:v>
      </x:c>
      <x:c r="G22" s="85"/>
      <x:c r="H22" s="85"/>
      <x:c r="I22" s="85"/>
      <x:c r="J22" s="85"/>
      <x:c r="L22" t="str">
        <x:v>Market Reference</x:v>
      </x:c>
      <x:c r="M22" t="n">
        <x:v>345.4</x:v>
      </x:c>
    </x:row>
    <x:row r="23">
      <x:c r="A23" s="85" t="str">
        <x:v>Credit normalization and higher charge-offs</x:v>
      </x:c>
      <x:c r="B23" s="85"/>
      <x:c r="C23" s="85"/>
      <x:c r="D23" s="85"/>
      <x:c r="E23" s="85"/>
      <x:c r="F23" s="85" t="str">
        <x:v>Investment banking / markets strength</x:v>
      </x:c>
      <x:c r="G23" s="85"/>
      <x:c r="H23" s="85"/>
      <x:c r="I23" s="85"/>
      <x:c r="J23" s="85"/>
    </x:row>
    <x:row r="24">
      <x:c r="A24" s="85" t="str">
        <x:v>Regulatory and capital requirement changes</x:v>
      </x:c>
      <x:c r="B24" s="85"/>
      <x:c r="C24" s="85"/>
      <x:c r="D24" s="85"/>
      <x:c r="E24" s="85"/>
      <x:c r="F24" s="85" t="str">
        <x:v>Capital returns and buybacks</x:v>
      </x:c>
      <x:c r="G24" s="85"/>
      <x:c r="H24" s="85"/>
      <x:c r="I24" s="85"/>
      <x:c r="J24" s="85"/>
    </x:row>
    <x:row r="25">
      <x:c r="A25" s="85" t="str">
        <x:v>Premium valuation / multiple compression</x:v>
      </x:c>
      <x:c r="B25" s="85"/>
      <x:c r="C25" s="85"/>
      <x:c r="D25" s="85"/>
      <x:c r="E25" s="85"/>
      <x:c r="F25" s="85" t="str">
        <x:v>Better-than-modeled ROE / earnings growth</x:v>
      </x:c>
      <x:c r="G25" s="85"/>
      <x:c r="H25" s="85"/>
      <x:c r="I25" s="85"/>
      <x:c r="J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</x:row>
    <x:row r="27">
      <x:c r="A27" s="86" t="str">
        <x:v>MODELING APPROACH</x:v>
      </x:c>
      <x:c r="B27" s="86"/>
      <x:c r="C27" s="86"/>
      <x:c r="D27" s="86"/>
      <x:c r="E27" s="86"/>
      <x:c r="F27" s="86"/>
      <x:c r="G27" s="86"/>
      <x:c r="H27" s="86"/>
      <x:c r="I27" s="86"/>
      <x:c r="J27" s="86"/>
    </x:row>
    <x:row r="28">
      <x:c r="A28" s="85" t="str">
        <x:v>Why FCFE instead of FCFF/WACC?</x:v>
      </x:c>
      <x:c r="B28" s="85" t="str">
        <x:v>For banks, debt and deposits are operating funding rather than conventional financing. FCFE / excess-capital style valuation is therefore more intuitive than treating interest-bearing liabilities like industrial-company debt.</x:v>
      </x:c>
      <x:c r="C28" s="85"/>
      <x:c r="D28" s="85"/>
      <x:c r="E28" s="85"/>
      <x:c r="F28" s="85"/>
      <x:c r="G28" s="85"/>
      <x:c r="H28" s="85"/>
      <x:c r="I28" s="85"/>
      <x:c r="J28" s="85"/>
    </x:row>
    <x:row r="29">
      <x:c r="A29" s="85" t="str">
        <x:v>Forecast horizon</x:v>
      </x:c>
      <x:c r="B29" s="85" t="str">
        <x:v>2026E-2030E plus terminal value.</x:v>
      </x:c>
      <x:c r="C29" s="85"/>
      <x:c r="D29" s="85"/>
      <x:c r="E29" s="85"/>
      <x:c r="F29" s="85"/>
      <x:c r="G29" s="85"/>
      <x:c r="H29" s="85"/>
      <x:c r="I29" s="85"/>
      <x:c r="J29" s="85"/>
    </x:row>
    <x:row r="30">
      <x:c r="A30" s="85" t="str">
        <x:v>Core driver</x:v>
      </x:c>
      <x:c r="B30" s="85" t="str">
        <x:v>Net income to common is converted to distributable equity cash flow using a retention ratio tied to growth and target ROE.</x:v>
      </x:c>
      <x:c r="C30" s="85"/>
      <x:c r="D30" s="85"/>
      <x:c r="E30" s="85"/>
      <x:c r="F30" s="85"/>
      <x:c r="G30" s="85"/>
      <x:c r="H30" s="85"/>
      <x:c r="I30" s="85"/>
      <x:c r="J30" s="85"/>
    </x:row>
    <x:row r="31">
      <x:c r="A31" s="85" t="str">
        <x:v>Terminal value</x:v>
      </x:c>
      <x:c r="B31" s="85" t="str">
        <x:v>Gordon Growth Method using 3.0% perpetual growth and 9.5% cost of equity.</x:v>
      </x:c>
      <x:c r="C31" s="85"/>
      <x:c r="D31" s="85"/>
      <x:c r="E31" s="85"/>
      <x:c r="F31" s="85"/>
      <x:c r="G31" s="85"/>
      <x:c r="H31" s="85"/>
      <x:c r="I31" s="85"/>
      <x:c r="J31" s="85"/>
    </x:row>
    <x:row r="32">
      <x:c r="A32" s="85" t="str">
        <x:v>Sensitivity</x:v>
      </x:c>
      <x:c r="B32" s="85" t="str">
        <x:v>The Sensitivity tab tests implied value per share across cost-of-equity and terminal-growth assumptions.</x:v>
      </x:c>
      <x:c r="C32" s="85"/>
      <x:c r="D32" s="85"/>
      <x:c r="E32" s="85"/>
      <x:c r="F32" s="85"/>
      <x:c r="G32" s="85"/>
      <x:c r="H32" s="85"/>
      <x:c r="I32" s="85"/>
      <x:c r="J32" s="85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</x:row>
  </x:sheetData>
  <x:mergeCells>
    <x:mergeCell ref="A1:J2"/>
    <x:mergeCell ref="A3:J3"/>
    <x:mergeCell ref="A5:B5"/>
    <x:mergeCell ref="D5:E5"/>
    <x:mergeCell ref="G5:H5"/>
    <x:mergeCell ref="A12:J12"/>
    <x:mergeCell ref="A20:J20"/>
    <x:mergeCell ref="A27:J27"/>
    <x:mergeCell ref="B13:J13"/>
    <x:mergeCell ref="B14:J14"/>
    <x:mergeCell ref="B15:J15"/>
    <x:mergeCell ref="B16:J16"/>
    <x:mergeCell ref="B17:J17"/>
    <x:mergeCell ref="A21:E21"/>
    <x:mergeCell ref="F21:J21"/>
    <x:mergeCell ref="A22:E22"/>
    <x:mergeCell ref="F22:J22"/>
    <x:mergeCell ref="A23:E23"/>
    <x:mergeCell ref="F23:J23"/>
    <x:mergeCell ref="A24:E24"/>
    <x:mergeCell ref="F24:J24"/>
    <x:mergeCell ref="A25:E25"/>
    <x:mergeCell ref="F25:J25"/>
    <x:mergeCell ref="B28:J28"/>
    <x:mergeCell ref="B29:J29"/>
    <x:mergeCell ref="B30:J30"/>
    <x:mergeCell ref="B31:J31"/>
    <x:mergeCell ref="B32:J32"/>
  </x:mergeCells>
  <x:pageMargins left="0.7" right="0.7" top="0.75" bottom="0.75" header="0.3" footer="0.3"/>
  <x:drawing xmlns:r="http://schemas.openxmlformats.org/officeDocument/2006/relationships" r:id="Rfa267a6d94f54e7e"/>
</x:worksheet>
</file>