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faca358e5c4739" /></Relationships>
</file>

<file path=xl/workbook.xml><?xml version="1.0" encoding="utf-8"?>
<x:workbook xmlns:x="http://schemas.openxmlformats.org/spreadsheetml/2006/main">
  <x:sheets>
    <x:sheet xmlns:r="http://schemas.openxmlformats.org/officeDocument/2006/relationships" name="LBO Summary" sheetId="1" r:id="Ra8c68a95d32a4416"/>
    <x:sheet xmlns:r="http://schemas.openxmlformats.org/officeDocument/2006/relationships" name="Assumptions" sheetId="2" r:id="R7b8fe5df9b724400"/>
    <x:sheet xmlns:r="http://schemas.openxmlformats.org/officeDocument/2006/relationships" name="Sources &amp; Uses" sheetId="3" r:id="Rb09d7b5957f44efd"/>
    <x:sheet xmlns:r="http://schemas.openxmlformats.org/officeDocument/2006/relationships" name="Operating Model" sheetId="4" r:id="R92c290ca965c4e2d"/>
    <x:sheet xmlns:r="http://schemas.openxmlformats.org/officeDocument/2006/relationships" name="Debt Schedule" sheetId="5" r:id="R9efec8b4004a4aab"/>
    <x:sheet xmlns:r="http://schemas.openxmlformats.org/officeDocument/2006/relationships" name="Returns" sheetId="6" r:id="R8024cbf73fa24d0d"/>
    <x:sheet xmlns:r="http://schemas.openxmlformats.org/officeDocument/2006/relationships" name="Sensitivity" sheetId="7" r:id="R7882b528e60547e0"/>
    <x:sheet xmlns:r="http://schemas.openxmlformats.org/officeDocument/2006/relationships" name="Sources" sheetId="8" r:id="R06ff535d2fa6409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Red](0.0%);-"/>
    <x:numFmt numFmtId="202" formatCode="#,##0.0;[Red](#,##0.0);-"/>
    <x:numFmt numFmtId="203" formatCode="0.0x;[Red](0.0x);-"/>
    <x:numFmt numFmtId="204" formatCode="$#,##0.0;[Red]($#,##0.0);-"/>
  </x:numFmts>
  <x:fonts count="8">
    <x:font>
      <x:sz val="11"/>
      <x:name val="Carlito"/>
    </x:font>
    <x:font>
      <x:b/>
      <x:sz val="15"/>
      <x:color rgb="FFFFFFFF"/>
      <x:name val="Carlito"/>
    </x:font>
    <x:font>
      <x:i/>
      <x:sz val="11"/>
      <x:color rgb="FF666666"/>
      <x:name val="Carlito"/>
    </x:font>
    <x:font>
      <x:b/>
      <x:sz val="11"/>
      <x:color rgb="FFFFFFFF"/>
      <x:name val="Carlito"/>
    </x:font>
    <x:font>
      <x:b/>
      <x:sz val="11"/>
      <x:name val="Carlito"/>
    </x:font>
    <x:font>
      <x:sz val="11"/>
      <x:color rgb="FF0000FF"/>
      <x:name val="Carlito"/>
    </x:font>
    <x:font>
      <x:sz val="11"/>
      <x:color rgb="FF008000"/>
      <x:name val="Carlito"/>
    </x:font>
    <x:font>
      <x:sz val="11"/>
      <x:color rgb="FF0563C1"/>
      <x:name val="Carlito"/>
    </x:font>
  </x:fonts>
  <x:fills count="7">
    <x:fill>
      <x:patternFill patternType="none"/>
    </x:fill>
    <x:fill>
      <x:patternFill patternType="gray125"/>
    </x:fill>
    <x:fill>
      <x:patternFill patternType="solid">
        <x:fgColor rgb="FF0B1F3A"/>
      </x:patternFill>
    </x:fill>
    <x:fill>
      <x:patternFill patternType="solid">
        <x:fgColor rgb="FF17365D"/>
      </x:patternFill>
    </x:fill>
    <x:fill>
      <x:patternFill patternType="solid">
        <x:fgColor rgb="FFE7E6E6"/>
      </x:patternFill>
    </x:fill>
    <x:fill>
      <x:patternFill patternType="solid">
        <x:fgColor rgb="FFFFFF00"/>
      </x:patternFill>
    </x:fill>
    <x:fill>
      <x:patternFill patternType="solid">
        <x:fgColor rgb="FFE2F0D9"/>
      </x:patternFill>
    </x:fill>
  </x:fills>
  <x:borders count="4">
    <x:border/>
    <x:border/>
    <x:border>
      <x:top style="thin">
        <x:color rgb="FF000000"/>
      </x:top>
    </x:border>
    <x:border>
      <x:top style="thin">
        <x:color rgb="FF000000"/>
      </x:top>
    </x:border>
  </x:borders>
  <x:cellStyleXfs count="1">
    <x:xf numFmtId="0" fontId="0" fillId="0" borderId="0"/>
  </x:cellStyleXfs>
  <x:cellXfs count="9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0" fillId="5" borderId="1" xfId="0" applyNumberFormat="1" applyFont="1" applyFill="1" applyBorder="1"/>
    <x:xf numFmtId="0" fontId="5" fillId="5" borderId="1" xfId="0" applyNumberFormat="1" applyFont="1" applyFill="1" applyBorder="1"/>
    <x:xf numFmtId="200" fontId="5" fillId="5" borderId="0" xfId="0" applyNumberFormat="1" applyFont="1" applyFill="1" applyBorder="1"/>
    <x:xf numFmtId="200" fontId="5" fillId="5" borderId="1" xfId="0" applyNumberFormat="1" applyFont="1" applyFill="1" applyBorder="1"/>
    <x:xf numFmtId="201" fontId="5" fillId="5" borderId="0" xfId="0" applyNumberFormat="1" applyFont="1" applyFill="1" applyBorder="1"/>
    <x:xf numFmtId="201" fontId="5" fillId="5" borderId="1" xfId="0" applyNumberFormat="1" applyFont="1" applyFill="1" applyBorder="1"/>
    <x:xf numFmtId="202" fontId="5" fillId="5" borderId="0" xfId="0" applyNumberFormat="1" applyFont="1" applyFill="1" applyBorder="1"/>
    <x:xf numFmtId="202" fontId="5" fillId="5" borderId="1" xfId="0" applyNumberFormat="1" applyFont="1" applyFill="1" applyBorder="1"/>
    <x:xf numFmtId="203" fontId="5" fillId="5" borderId="0" xfId="0" applyNumberFormat="1" applyFont="1" applyFill="1" applyBorder="1"/>
    <x:xf numFmtId="203" fontId="5" fillId="5"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200" fontId="6" fillId="0" borderId="0" xfId="0" applyNumberFormat="1" applyFont="1" applyFill="1" applyBorder="1"/>
    <x:xf numFmtId="200" fontId="6" fillId="0" borderId="1" xfId="0" applyNumberFormat="1" applyFont="1" applyFill="1" applyBorder="1"/>
    <x:xf numFmtId="201" fontId="6" fillId="0" borderId="0" xfId="0" applyNumberFormat="1" applyFont="1" applyFill="1" applyBorder="1"/>
    <x:xf numFmtId="201" fontId="6" fillId="0" borderId="1" xfId="0" applyNumberFormat="1" applyFont="1" applyFill="1" applyBorder="1"/>
    <x:xf numFmtId="204" fontId="6" fillId="0" borderId="0" xfId="0" applyNumberFormat="1" applyFont="1" applyFill="1" applyBorder="1"/>
    <x:xf numFmtId="204" fontId="6" fillId="0" borderId="1" xfId="0" applyNumberFormat="1" applyFont="1" applyFill="1" applyBorder="1"/>
    <x:xf numFmtId="203" fontId="6" fillId="0" borderId="0" xfId="0" applyNumberFormat="1" applyFont="1" applyFill="1" applyBorder="1"/>
    <x:xf numFmtId="203" fontId="6"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0" fontId="4" fillId="4" borderId="0" xfId="0" applyNumberFormat="1" applyFont="1" applyFill="1" applyBorder="1" applyAlignment="1">
      <x:alignment horizontal="right"/>
    </x:xf>
    <x:xf numFmtId="0" fontId="4" fillId="4" borderId="1" xfId="0" applyNumberFormat="1" applyFont="1" applyFill="1" applyBorder="1" applyAlignment="1">
      <x:alignment horizontal="right"/>
    </x:xf>
    <x:xf numFmtId="0" fontId="0" fillId="0" borderId="2" xfId="0" applyNumberFormat="1" applyFont="1" applyFill="1" applyBorder="1"/>
    <x:xf numFmtId="204" fontId="0" fillId="0" borderId="2" xfId="0" applyNumberFormat="1" applyFont="1" applyFill="1" applyBorder="1"/>
    <x:xf numFmtId="0" fontId="0" fillId="0" borderId="3" xfId="0" applyNumberFormat="1" applyFont="1" applyFill="1" applyBorder="1"/>
    <x:xf numFmtId="204" fontId="0" fillId="0" borderId="3" xfId="0" applyNumberFormat="1" applyFont="1" applyFill="1" applyBorder="1"/>
    <x:xf numFmtId="203" fontId="0" fillId="0" borderId="0" xfId="0" applyNumberFormat="1" applyFont="1" applyFill="1" applyBorder="1"/>
    <x:xf numFmtId="203"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6" borderId="0" xfId="0" applyNumberFormat="1" applyFont="1" applyFill="1" applyBorder="1"/>
    <x:xf numFmtId="203" fontId="0" fillId="6" borderId="0" xfId="0" applyNumberFormat="1" applyFont="1" applyFill="1" applyBorder="1"/>
    <x:xf numFmtId="202" fontId="0" fillId="6" borderId="0" xfId="0" applyNumberFormat="1" applyFont="1" applyFill="1" applyBorder="1"/>
    <x:xf numFmtId="201" fontId="0" fillId="6" borderId="0" xfId="0" applyNumberFormat="1" applyFont="1" applyFill="1" applyBorder="1"/>
    <x:xf numFmtId="0" fontId="4" fillId="6" borderId="0" xfId="0" applyNumberFormat="1" applyFont="1" applyFill="1" applyBorder="1"/>
    <x:xf numFmtId="203" fontId="4" fillId="6" borderId="0" xfId="0" applyNumberFormat="1" applyFont="1" applyFill="1" applyBorder="1"/>
    <x:xf numFmtId="202" fontId="4" fillId="6" borderId="0" xfId="0" applyNumberFormat="1" applyFont="1" applyFill="1" applyBorder="1"/>
    <x:xf numFmtId="201" fontId="4" fillId="6" borderId="0" xfId="0" applyNumberFormat="1" applyFont="1" applyFill="1" applyBorder="1"/>
    <x:xf numFmtId="0" fontId="0" fillId="6" borderId="1" xfId="0" applyNumberFormat="1" applyFont="1" applyFill="1" applyBorder="1"/>
    <x:xf numFmtId="203" fontId="0" fillId="6" borderId="1" xfId="0" applyNumberFormat="1" applyFont="1" applyFill="1" applyBorder="1"/>
    <x:xf numFmtId="202" fontId="0" fillId="6" borderId="1" xfId="0" applyNumberFormat="1" applyFont="1" applyFill="1" applyBorder="1"/>
    <x:xf numFmtId="201" fontId="0" fillId="6" borderId="1" xfId="0" applyNumberFormat="1" applyFont="1" applyFill="1" applyBorder="1"/>
    <x:xf numFmtId="0" fontId="4" fillId="6" borderId="1" xfId="0" applyNumberFormat="1" applyFont="1" applyFill="1" applyBorder="1"/>
    <x:xf numFmtId="203" fontId="4" fillId="6" borderId="1" xfId="0" applyNumberFormat="1" applyFont="1" applyFill="1" applyBorder="1"/>
    <x:xf numFmtId="202" fontId="4" fillId="6" borderId="1" xfId="0" applyNumberFormat="1" applyFont="1" applyFill="1" applyBorder="1"/>
    <x:xf numFmtId="201" fontId="4" fillId="6"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1" fontId="0" fillId="4" borderId="0" xfId="0" applyNumberFormat="1" applyFont="1" applyFill="1" applyBorder="1"/>
    <x:xf numFmtId="201" fontId="4" fillId="4" borderId="0" xfId="0" applyNumberFormat="1" applyFont="1" applyFill="1" applyBorder="1"/>
    <x:xf numFmtId="201" fontId="0" fillId="4" borderId="1" xfId="0" applyNumberFormat="1" applyFont="1" applyFill="1" applyBorder="1"/>
    <x:xf numFmtId="201" fontId="4" fillId="4" borderId="1"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200" fontId="0" fillId="6" borderId="0" xfId="0" applyNumberFormat="1" applyFont="1" applyFill="1" applyBorder="1"/>
    <x:xf numFmtId="204" fontId="0" fillId="6" borderId="0" xfId="0" applyNumberFormat="1" applyFont="1" applyFill="1" applyBorder="1"/>
    <x:xf numFmtId="200" fontId="4" fillId="6" borderId="0" xfId="0" applyNumberFormat="1" applyFont="1" applyFill="1" applyBorder="1"/>
    <x:xf numFmtId="204" fontId="4" fillId="6" borderId="0" xfId="0" applyNumberFormat="1" applyFont="1" applyFill="1" applyBorder="1"/>
    <x:xf numFmtId="200" fontId="0" fillId="6" borderId="1" xfId="0" applyNumberFormat="1" applyFont="1" applyFill="1" applyBorder="1"/>
    <x:xf numFmtId="204" fontId="0" fillId="6" borderId="1" xfId="0" applyNumberFormat="1" applyFont="1" applyFill="1" applyBorder="1"/>
    <x:xf numFmtId="200" fontId="4" fillId="6" borderId="1" xfId="0" applyNumberFormat="1" applyFont="1" applyFill="1" applyBorder="1"/>
    <x:xf numFmtId="204" fontId="4" fillId="6"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4" borderId="0" xfId="0" applyNumberFormat="1" applyFont="1" applyFill="1" applyBorder="1" applyAlignment="1">
      <x:alignment wrapText="1"/>
    </x:xf>
    <x:xf numFmtId="0" fontId="4" fillId="4" borderId="1" xfId="0" applyNumberFormat="1" applyFont="1" applyFill="1" applyBorder="1" applyAlignment="1">
      <x:alignment wrapText="1"/>
    </x:xf>
    <x:xf numFmtId="0" fontId="7" fillId="0" borderId="0" xfId="0" applyNumberFormat="1" applyFont="1" applyFill="1" applyBorder="1"/>
    <x:xf numFmtId="0" fontId="7" fillId="0" borderId="1" xfId="0" applyNumberFormat="1" applyFont="1" applyFill="1" applyBorder="1"/>
    <x:xf numFmtId="0" fontId="7" fillId="0" borderId="0" xfId="0" applyNumberFormat="1" applyFont="1" applyFill="1" applyBorder="1" applyAlignment="1">
      <x:alignment wrapText="1"/>
    </x:xf>
    <x:xf numFmtId="0" fontId="7"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a48caa83994926" /><Relationship Type="http://schemas.openxmlformats.org/officeDocument/2006/relationships/theme" Target="/xl/theme/theme1.xml" Id="R7c103c15c9d84997" /><Relationship Type="http://schemas.openxmlformats.org/officeDocument/2006/relationships/sharedStrings" Target="/xl/sharedStrings.xml" Id="R274b7c714bb1442e" /><Relationship Type="http://schemas.openxmlformats.org/officeDocument/2006/relationships/worksheet" Target="/xl/worksheets/sheet1.xml" Id="Ra8c68a95d32a4416" /><Relationship Type="http://schemas.openxmlformats.org/officeDocument/2006/relationships/worksheet" Target="/xl/worksheets/sheet2.xml" Id="R7b8fe5df9b724400" /><Relationship Type="http://schemas.openxmlformats.org/officeDocument/2006/relationships/worksheet" Target="/xl/worksheets/sheet3.xml" Id="Rb09d7b5957f44efd" /><Relationship Type="http://schemas.openxmlformats.org/officeDocument/2006/relationships/worksheet" Target="/xl/worksheets/sheet4.xml" Id="R92c290ca965c4e2d" /><Relationship Type="http://schemas.openxmlformats.org/officeDocument/2006/relationships/worksheet" Target="/xl/worksheets/sheet5.xml" Id="R9efec8b4004a4aab" /><Relationship Type="http://schemas.openxmlformats.org/officeDocument/2006/relationships/worksheet" Target="/xl/worksheets/sheet6.xml" Id="R8024cbf73fa24d0d" /><Relationship Type="http://schemas.openxmlformats.org/officeDocument/2006/relationships/worksheet" Target="/xl/worksheets/sheet7.xml" Id="R7882b528e60547e0" /><Relationship Type="http://schemas.openxmlformats.org/officeDocument/2006/relationships/worksheet" Target="/xl/worksheets/sheet8.xml" Id="R06ff535d2fa6409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32" hidden="0" customWidth="1"/>
    <x:col min="3" max="3" width="20" hidden="0" customWidth="1"/>
    <x:col min="4" max="4" width="20" hidden="0" customWidth="1"/>
    <x:col min="5" max="5" width="18" hidden="0" customWidth="1"/>
    <x:col min="6" max="6" width="16" hidden="0" customWidth="1"/>
    <x:col min="7" max="7" width="16" hidden="0" customWidth="1"/>
    <x:col min="8" max="8" width="16" hidden="0" customWidth="1"/>
  </x:cols>
  <x:sheetData>
    <x:row r="1" ht="27" customHeight="1">
      <x:c r="A1" s="3" t="str">
        <x:v>Academy Sports + Outdoors — Hypothetical Sponsor LBO</x:v>
      </x:c>
      <x:c r="B1" s="3"/>
      <x:c r="C1" s="3"/>
      <x:c r="D1" s="3"/>
      <x:c r="E1" s="3"/>
      <x:c r="F1" s="3"/>
      <x:c r="G1" s="3"/>
      <x:c r="H1" s="3"/>
    </x:row>
    <x:row r="2">
      <x:c r="A2" s="74" t="str">
        <x:v>Investment Banking / Private Equity Portfolio Model | September 2026</x:v>
      </x:c>
      <x:c r="B2" s="74"/>
      <x:c r="C2" s="74"/>
      <x:c r="D2" s="74"/>
      <x:c r="E2" s="74"/>
      <x:c r="F2" s="74"/>
      <x:c r="G2" s="74"/>
      <x:c r="H2" s="74"/>
    </x:row>
    <x:row r="4">
      <x:c r="A4" s="9" t="str">
        <x:v>Investment Snapshot</x:v>
      </x:c>
      <x:c r="B4" s="9"/>
      <x:c r="C4" s="9"/>
      <x:c r="D4" s="9"/>
      <x:c r="E4" s="9"/>
      <x:c r="F4" s="9"/>
      <x:c r="G4" s="9"/>
      <x:c r="H4" s="9"/>
    </x:row>
    <x:row r="5">
      <x:c r="A5" s="42" t="str">
        <x:v>Offer Price</x:v>
      </x:c>
      <x:c r="B5" s="42" t="str">
        <x:v>Purchase Equity</x:v>
      </x:c>
      <x:c r="C5" s="42" t="str">
        <x:v>Entry EV / EBITDA</x:v>
      </x:c>
      <x:c r="D5" s="42" t="str">
        <x:v>Initial Debt / EBITDA</x:v>
      </x:c>
      <x:c r="E5" s="42" t="str">
        <x:v>Sponsor Equity</x:v>
      </x:c>
      <x:c r="F5" s="42" t="str">
        <x:v>Exit Multiple</x:v>
      </x:c>
      <x:c r="G5" s="42" t="str">
        <x:v>5-Year MOIC</x:v>
      </x:c>
      <x:c r="H5" s="42" t="str">
        <x:v>5-Year IRR</x:v>
      </x:c>
    </x:row>
    <x:row r="6">
      <x:c r="A6" s="80" t="n">
        <x:f>'Sources &amp; Uses'!B6</x:f>
        <x:v>67.8125</x:v>
      </x:c>
      <x:c r="B6" s="81" t="n">
        <x:f>'Sources &amp; Uses'!B8</x:f>
        <x:v>4177.25</x:v>
      </x:c>
      <x:c r="C6" s="57" t="n">
        <x:f>'Sources &amp; Uses'!B12</x:f>
        <x:v>6.370774647887324</x:v>
      </x:c>
      <x:c r="D6" s="57" t="n">
        <x:f>('Sources &amp; Uses'!B24+'Sources &amp; Uses'!B25)/Assumptions!B12</x:f>
        <x:v>4.5</x:v>
      </x:c>
      <x:c r="E6" s="81" t="n">
        <x:f>'Sources &amp; Uses'!B26</x:f>
        <x:v>1630.3499999999995</x:v>
      </x:c>
      <x:c r="F6" s="57" t="n">
        <x:f>Assumptions!B27</x:f>
        <x:v>6</x:v>
      </x:c>
      <x:c r="G6" s="57" t="n">
        <x:f>Returns!B11</x:f>
        <x:v>2.864691040924315</x:v>
      </x:c>
      <x:c r="H6" s="59" t="n">
        <x:f>Returns!B13</x:f>
        <x:v>0.23428530362151712</x:v>
      </x:c>
    </x:row>
    <x:row r="8">
      <x:c r="A8" s="9" t="str">
        <x:v>Why Academy is a Credible LBO Candidate</x:v>
      </x:c>
      <x:c r="B8" s="9"/>
      <x:c r="C8" s="9"/>
      <x:c r="D8" s="9"/>
      <x:c r="E8" s="9"/>
      <x:c r="F8" s="9"/>
      <x:c r="G8" s="9"/>
      <x:c r="H8" s="9"/>
    </x:row>
    <x:row r="9" ht="34" customHeight="1">
      <x:c r="A9" s="86" t="str">
        <x:v>Cash Generation</x:v>
      </x:c>
      <x:c r="B9" s="68" t="str">
        <x:v>FY2025 adjusted EBITDA was $666mm, and the company continues to emphasize strong free cash flow and capital returns.</x:v>
      </x:c>
    </x:row>
    <x:row r="10" ht="34" customHeight="1">
      <x:c r="A10" s="86" t="str">
        <x:v>Low Existing Leverage</x:v>
      </x:c>
      <x:c r="B10" s="68" t="str">
        <x:v>Academy reported approximately $494mm of long-term debt and $298mm of cash at 2Q26, leaving capacity for acquisition financing.</x:v>
      </x:c>
    </x:row>
    <x:row r="11" ht="34" customHeight="1">
      <x:c r="A11" s="86" t="str">
        <x:v>Moderate Enterprise Value</x:v>
      </x:c>
      <x:c r="B11" s="68" t="str">
        <x:v>At roughly $3.3bn market capitalization before a control premium, the transaction is financeable for a large or upper-middle-market sponsor / consortium.</x:v>
      </x:c>
    </x:row>
    <x:row r="12" ht="34" customHeight="1">
      <x:c r="A12" s="86" t="str">
        <x:v>Operational Upside</x:v>
      </x:c>
      <x:c r="B12" s="68" t="str">
        <x:v>Store expansion, e-commerce growth, merchandising initiatives and modest margin recovery provide identifiable value-creation levers.</x:v>
      </x:c>
    </x:row>
    <x:row r="13" ht="34" customHeight="1">
      <x:c r="A13" s="86" t="str">
        <x:v>Downside Considerations</x:v>
      </x:c>
      <x:c r="B13" s="68" t="str">
        <x:v>Consumer cyclicality, tariffs, inventory risk, competition and store-execution risk make leverage discipline important.</x:v>
      </x:c>
    </x:row>
    <x:row r="15">
      <x:c r="A15" s="9" t="str">
        <x:v>Base-Case Investment Thesis</x:v>
      </x:c>
      <x:c r="B15" s="9"/>
      <x:c r="C15" s="9"/>
      <x:c r="D15" s="9"/>
      <x:c r="E15" s="9"/>
      <x:c r="F15" s="9"/>
      <x:c r="G15" s="9"/>
      <x:c r="H15" s="9"/>
    </x:row>
    <x:row r="16">
      <x:c r="A16" s="88" t="str">
        <x:v>The hypothetical sponsor acquires Academy at a 25% premium and finances the transaction with 4.5x initial debt / EBITDA. The model assumes mid-single-digit revenue growth, modest EBITDA-margin expansion, disciplined capex and a full cash sweep. Returns are driven by EBITDA growth plus debt paydown rather than aggressive multiple expansion. The base case exits after five years at 6.0x EBITDA. This is an educational transaction scenario, not a prediction that Academy will be acquired.</x:v>
      </x:c>
      <x:c r="B16" s="88"/>
      <x:c r="C16" s="88"/>
      <x:c r="D16" s="88"/>
      <x:c r="E16" s="88"/>
      <x:c r="F16" s="88"/>
      <x:c r="G16" s="88"/>
      <x:c r="H16" s="88"/>
    </x:row>
    <x:row r="17">
      <x:c r="A17" s="88"/>
      <x:c r="B17" s="88"/>
      <x:c r="C17" s="88"/>
      <x:c r="D17" s="88"/>
      <x:c r="E17" s="88"/>
      <x:c r="F17" s="88"/>
      <x:c r="G17" s="88"/>
      <x:c r="H17" s="88"/>
    </x:row>
    <x:row r="18">
      <x:c r="A18" s="88"/>
      <x:c r="B18" s="88"/>
      <x:c r="C18" s="88"/>
      <x:c r="D18" s="88"/>
      <x:c r="E18" s="88"/>
      <x:c r="F18" s="88"/>
      <x:c r="G18" s="88"/>
      <x:c r="H18" s="88"/>
    </x:row>
    <x:row r="19">
      <x:c r="A19" s="88"/>
      <x:c r="B19" s="88"/>
      <x:c r="C19" s="88"/>
      <x:c r="D19" s="88"/>
      <x:c r="E19" s="88"/>
      <x:c r="F19" s="88"/>
      <x:c r="G19" s="88"/>
      <x:c r="H19" s="88"/>
    </x:row>
    <x:row r="20">
      <x:c r="A20" s="88"/>
      <x:c r="B20" s="88"/>
      <x:c r="C20" s="88"/>
      <x:c r="D20" s="88"/>
      <x:c r="E20" s="88"/>
      <x:c r="F20" s="88"/>
      <x:c r="G20" s="88"/>
      <x:c r="H20" s="88"/>
    </x:row>
    <x:row r="22">
      <x:c r="A22" s="9" t="str">
        <x:v>Key Risks</x:v>
      </x:c>
      <x:c r="B22" s="9"/>
      <x:c r="C22" s="9"/>
      <x:c r="D22" s="9"/>
      <x:c r="E22" s="9"/>
      <x:c r="F22" s="9"/>
      <x:c r="G22" s="9"/>
      <x:c r="H22" s="9"/>
    </x:row>
    <x:row r="23">
      <x:c r="A23" s="90" t="str">
        <x:v>Risk</x:v>
      </x:c>
      <x:c r="B23" s="90" t="str">
        <x:v>Impact</x:v>
      </x:c>
      <x:c r="C23" s="90" t="str">
        <x:v>Mitigant</x:v>
      </x:c>
      <x:c r="D23" s="90" t="str">
        <x:v>Model Treatment</x:v>
      </x:c>
    </x:row>
    <x:row r="24">
      <x:c r="A24" s="68" t="str">
        <x:v>Consumer slowdown</x:v>
      </x:c>
      <x:c r="B24" s="68" t="str">
        <x:v>Lower sales / EBITDA</x:v>
      </x:c>
      <x:c r="C24" s="68" t="str">
        <x:v>Value positioning and broad categories</x:v>
      </x:c>
      <x:c r="D24" s="68" t="str">
        <x:v>Sensitivity cases</x:v>
      </x:c>
    </x:row>
    <x:row r="25">
      <x:c r="A25" s="68" t="str">
        <x:v>Tariffs / gross margin</x:v>
      </x:c>
      <x:c r="B25" s="68" t="str">
        <x:v>Margin compression</x:v>
      </x:c>
      <x:c r="C25" s="68" t="str">
        <x:v>Pricing, sourcing, vendor actions</x:v>
      </x:c>
      <x:c r="D25" s="68" t="str">
        <x:v>Conservative margin ramp</x:v>
      </x:c>
    </x:row>
    <x:row r="26">
      <x:c r="A26" s="68" t="str">
        <x:v>Leverage / rates</x:v>
      </x:c>
      <x:c r="B26" s="68" t="str">
        <x:v>Lower cash sweep</x:v>
      </x:c>
      <x:c r="C26" s="68" t="str">
        <x:v>Strong cash generation</x:v>
      </x:c>
      <x:c r="D26" s="68" t="str">
        <x:v>7.5% / 9.5% debt costs</x:v>
      </x:c>
    </x:row>
    <x:row r="27">
      <x:c r="A27" t="str">
        <x:v>Exit valuation</x:v>
      </x:c>
      <x:c r="B27" t="str">
        <x:v>Lower sponsor returns</x:v>
      </x:c>
      <x:c r="C27" t="str">
        <x:v>Base exit near entry multiple</x:v>
      </x:c>
      <x:c r="D27" t="str">
        <x:v>5.0x–7.0x sensitivity</x:v>
      </x:c>
    </x:row>
  </x:sheetData>
  <x:mergeCells>
    <x:mergeCell ref="A1:H1"/>
    <x:mergeCell ref="A2:H2"/>
    <x:mergeCell ref="A4:H4"/>
    <x:mergeCell ref="A8:H8"/>
    <x:mergeCell ref="A15:H15"/>
    <x:mergeCell ref="A16:H20"/>
    <x:mergeCell ref="A22:H22"/>
  </x:mergeCell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0" hidden="0" customWidth="1"/>
  </x:cols>
  <x:sheetData>
    <x:row r="1" ht="27" customHeight="1">
      <x:c r="A1" s="3" t="str">
        <x:v>Academy Sports + Outdoors — LBO Assumptions</x:v>
      </x:c>
      <x:c r="B1" s="3"/>
      <x:c r="C1" s="3"/>
      <x:c r="D1" s="3"/>
      <x:c r="E1" s="3"/>
      <x:c r="F1" s="3"/>
      <x:c r="G1" s="3"/>
      <x:c r="H1" s="3"/>
    </x:row>
    <x:row r="2">
      <x:c r="A2" s="6" t="str">
        <x:v>Hypothetical sponsor take-private | September 2026 | $ in millions except per-share data</x:v>
      </x:c>
      <x:c r="B2" s="6"/>
      <x:c r="C2" s="6"/>
      <x:c r="D2" s="6"/>
      <x:c r="E2" s="6"/>
      <x:c r="F2" s="6"/>
      <x:c r="G2" s="6"/>
      <x:c r="H2" s="6"/>
    </x:row>
    <x:row r="4">
      <x:c r="A4" s="9" t="str">
        <x:v>Entry Assumptions</x:v>
      </x:c>
      <x:c r="B4" s="9"/>
      <x:c r="C4" s="9"/>
      <x:c r="D4" s="9"/>
      <x:c r="E4" s="9"/>
      <x:c r="F4" s="9"/>
      <x:c r="G4" s="9"/>
      <x:c r="H4" s="9"/>
    </x:row>
    <x:row r="5">
      <x:c r="A5" s="13" t="str">
        <x:v>Assumption</x:v>
      </x:c>
      <x:c r="B5" s="13" t="str">
        <x:v>Value</x:v>
      </x:c>
      <x:c r="C5" s="13" t="str">
        <x:v>Units</x:v>
      </x:c>
      <x:c r="D5" s="13" t="str">
        <x:v>Basis</x:v>
      </x:c>
    </x:row>
    <x:row r="6">
      <x:c r="A6" t="str">
        <x:v>Reference Share Price</x:v>
      </x:c>
      <x:c r="B6" s="20" t="n">
        <x:v>54.25</x:v>
      </x:c>
      <x:c r="C6" t="str">
        <x:v>$/share</x:v>
      </x:c>
      <x:c r="D6" t="str">
        <x:v>9/14/2026 close</x:v>
      </x:c>
    </x:row>
    <x:row r="7">
      <x:c r="A7" t="str">
        <x:v>Transaction Premium</x:v>
      </x:c>
      <x:c r="B7" s="22" t="n">
        <x:v>0.25</x:v>
      </x:c>
      <x:c r="C7" t="str">
        <x:v>%</x:v>
      </x:c>
      <x:c r="D7" t="str">
        <x:v>Illustrative sponsor premium</x:v>
      </x:c>
    </x:row>
    <x:row r="8">
      <x:c r="A8" t="str">
        <x:v>Diluted Shares Outstanding</x:v>
      </x:c>
      <x:c r="B8" s="24" t="n">
        <x:v>61.6</x:v>
      </x:c>
      <x:c r="C8" t="str">
        <x:v>mm</x:v>
      </x:c>
      <x:c r="D8" t="str">
        <x:v>Implied from current market capitalization</x:v>
      </x:c>
    </x:row>
    <x:row r="9">
      <x:c r="A9" t="str">
        <x:v>Existing Debt</x:v>
      </x:c>
      <x:c r="B9" s="24" t="n">
        <x:v>494.2</x:v>
      </x:c>
      <x:c r="C9" t="str">
        <x:v>$mm</x:v>
      </x:c>
      <x:c r="D9" t="str">
        <x:v>8/1/2026 long-term debt</x:v>
      </x:c>
    </x:row>
    <x:row r="10">
      <x:c r="A10" t="str">
        <x:v>Cash on Balance Sheet</x:v>
      </x:c>
      <x:c r="B10" s="24" t="n">
        <x:v>298.2</x:v>
      </x:c>
      <x:c r="C10" t="str">
        <x:v>$mm</x:v>
      </x:c>
      <x:c r="D10" t="str">
        <x:v>8/1/2026 cash</x:v>
      </x:c>
    </x:row>
    <x:row r="11">
      <x:c r="A11" t="str">
        <x:v>Minimum Cash</x:v>
      </x:c>
      <x:c r="B11" s="24" t="n">
        <x:v>150</x:v>
      </x:c>
      <x:c r="C11" t="str">
        <x:v>$mm</x:v>
      </x:c>
      <x:c r="D11" t="str">
        <x:v>Illustrative operating cash</x:v>
      </x:c>
    </x:row>
    <x:row r="12">
      <x:c r="A12" t="str">
        <x:v>LTM / 2026E Adjusted EBITDA</x:v>
      </x:c>
      <x:c r="B12" s="24" t="n">
        <x:v>710</x:v>
      </x:c>
      <x:c r="C12" t="str">
        <x:v>$mm</x:v>
      </x:c>
      <x:c r="D12" t="str">
        <x:v>Illustrative normalized 2026E</x:v>
      </x:c>
    </x:row>
    <x:row r="13">
      <x:c r="A13" t="str">
        <x:v>Transaction Fees</x:v>
      </x:c>
      <x:c r="B13" s="24" t="n">
        <x:v>90</x:v>
      </x:c>
      <x:c r="C13" t="str">
        <x:v>$mm</x:v>
      </x:c>
      <x:c r="D13" t="str">
        <x:v>Illustrative</x:v>
      </x:c>
    </x:row>
    <x:row r="14">
      <x:c r="A14" t="str">
        <x:v>Financing Fees % New Debt</x:v>
      </x:c>
      <x:c r="B14" s="24" t="n">
        <x:v>0.02</x:v>
      </x:c>
      <x:c r="C14" t="str">
        <x:v>%</x:v>
      </x:c>
      <x:c r="D14" t="str">
        <x:v>Illustrative</x:v>
      </x:c>
    </x:row>
    <x:row r="15">
      <x:c r="A15" t="str">
        <x:v>Management Rollover</x:v>
      </x:c>
      <x:c r="B15" s="22" t="n">
        <x:v>0</x:v>
      </x:c>
      <x:c r="C15" t="str">
        <x:v>%</x:v>
      </x:c>
      <x:c r="D15" t="str">
        <x:v>Illustrative</x:v>
      </x:c>
    </x:row>
    <x:row r="17">
      <x:c r="A17" s="9" t="str">
        <x:v>Financing Assumptions</x:v>
      </x:c>
      <x:c r="B17" s="9"/>
      <x:c r="C17" s="9"/>
      <x:c r="D17" s="9"/>
      <x:c r="E17" s="9"/>
      <x:c r="F17" s="9"/>
      <x:c r="G17" s="9"/>
      <x:c r="H17" s="9"/>
    </x:row>
    <x:row r="18">
      <x:c r="A18" s="13" t="str">
        <x:v>Assumption</x:v>
      </x:c>
      <x:c r="B18" s="13" t="str">
        <x:v>Value</x:v>
      </x:c>
      <x:c r="C18" s="13" t="str">
        <x:v>Units</x:v>
      </x:c>
      <x:c r="D18" s="13" t="str">
        <x:v>Notes</x:v>
      </x:c>
    </x:row>
    <x:row r="19">
      <x:c r="A19" t="str">
        <x:v>Revolver / Cash Sweep</x:v>
      </x:c>
      <x:c r="B19" s="26" t="n">
        <x:v>0</x:v>
      </x:c>
      <x:c r="C19" t="str">
        <x:v>x EBITDA</x:v>
      </x:c>
      <x:c r="D19" t="str">
        <x:v>Undrawn at close</x:v>
      </x:c>
    </x:row>
    <x:row r="20">
      <x:c r="A20" t="str">
        <x:v>Term Loan</x:v>
      </x:c>
      <x:c r="B20" s="26" t="n">
        <x:v>3.5</x:v>
      </x:c>
      <x:c r="C20" t="str">
        <x:v>x EBITDA</x:v>
      </x:c>
      <x:c r="D20" t="str">
        <x:v>Senior secured</x:v>
      </x:c>
    </x:row>
    <x:row r="21">
      <x:c r="A21" t="str">
        <x:v>Second Lien / Notes</x:v>
      </x:c>
      <x:c r="B21" s="26" t="n">
        <x:v>1</x:v>
      </x:c>
      <x:c r="C21" t="str">
        <x:v>x EBITDA</x:v>
      </x:c>
      <x:c r="D21" t="str">
        <x:v>Junior debt</x:v>
      </x:c>
    </x:row>
    <x:row r="22">
      <x:c r="A22" t="str">
        <x:v>Term Loan Interest Rate</x:v>
      </x:c>
      <x:c r="B22" s="22" t="n">
        <x:v>0.075</x:v>
      </x:c>
      <x:c r="C22" t="str">
        <x:v>%</x:v>
      </x:c>
      <x:c r="D22" t="str">
        <x:v>Illustrative</x:v>
      </x:c>
    </x:row>
    <x:row r="23">
      <x:c r="A23" t="str">
        <x:v>Second Lien Interest Rate</x:v>
      </x:c>
      <x:c r="B23" s="22" t="n">
        <x:v>0.095</x:v>
      </x:c>
      <x:c r="C23" t="str">
        <x:v>%</x:v>
      </x:c>
      <x:c r="D23" t="str">
        <x:v>Illustrative</x:v>
      </x:c>
    </x:row>
    <x:row r="24">
      <x:c r="A24" t="str">
        <x:v>Mandatory TLA Amortization</x:v>
      </x:c>
      <x:c r="B24" s="22" t="n">
        <x:v>0.01</x:v>
      </x:c>
      <x:c r="C24" t="str">
        <x:v>% opening balance / year</x:v>
      </x:c>
      <x:c r="D24" t="str">
        <x:v>Illustrative</x:v>
      </x:c>
    </x:row>
    <x:row r="25">
      <x:c r="A25" t="str">
        <x:v>Cash Interest on Revolver</x:v>
      </x:c>
      <x:c r="B25" s="22" t="n">
        <x:v>0.08</x:v>
      </x:c>
      <x:c r="C25" t="str">
        <x:v>%</x:v>
      </x:c>
      <x:c r="D25" t="str">
        <x:v>Illustrative</x:v>
      </x:c>
    </x:row>
    <x:row r="26">
      <x:c r="A26" t="str">
        <x:v>Tax Rate</x:v>
      </x:c>
      <x:c r="B26" s="22" t="n">
        <x:v>0.24</x:v>
      </x:c>
      <x:c r="C26" t="str">
        <x:v>%</x:v>
      </x:c>
      <x:c r="D26" t="str">
        <x:v>Illustrative</x:v>
      </x:c>
    </x:row>
    <x:row r="27">
      <x:c r="A27" t="str">
        <x:v>Exit Multiple</x:v>
      </x:c>
      <x:c r="B27" s="26" t="n">
        <x:v>6</x:v>
      </x:c>
      <x:c r="C27" t="str">
        <x:v>x EBITDA</x:v>
      </x:c>
      <x:c r="D27" t="str">
        <x:v>Base case</x:v>
      </x:c>
    </x:row>
    <x:row r="28">
      <x:c r="A28" t="str">
        <x:v>Hold Period</x:v>
      </x:c>
      <x:c r="B28" s="24" t="n">
        <x:v>5</x:v>
      </x:c>
      <x:c r="C28" t="str">
        <x:v>years</x:v>
      </x:c>
      <x:c r="D28" t="str">
        <x:v>Base case</x:v>
      </x:c>
    </x:row>
    <x:row r="30">
      <x:c r="A30" s="9" t="str">
        <x:v>Operating Assumptions</x:v>
      </x:c>
      <x:c r="B30" s="9"/>
      <x:c r="C30" s="9"/>
      <x:c r="D30" s="9"/>
      <x:c r="E30" s="9"/>
      <x:c r="F30" s="9"/>
      <x:c r="G30" s="9"/>
      <x:c r="H30" s="9"/>
    </x:row>
    <x:row r="31">
      <x:c r="A31" s="13" t="str">
        <x:v>Metric</x:v>
      </x:c>
      <x:c r="B31" s="13" t="str">
        <x:v>2026E</x:v>
      </x:c>
      <x:c r="C31" s="13" t="str">
        <x:v>2027E</x:v>
      </x:c>
      <x:c r="D31" s="13" t="str">
        <x:v>2028E</x:v>
      </x:c>
      <x:c r="E31" s="13" t="str">
        <x:v>2029E</x:v>
      </x:c>
      <x:c r="F31" s="13" t="str">
        <x:v>2030E</x:v>
      </x:c>
      <x:c r="G31" s="13" t="str">
        <x:v>2031E</x:v>
      </x:c>
    </x:row>
    <x:row r="32">
      <x:c r="A32" t="str">
        <x:v>Revenue Growth</x:v>
      </x:c>
      <x:c r="B32" s="28"/>
      <x:c r="C32" s="22" t="n">
        <x:v>0.04</x:v>
      </x:c>
      <x:c r="D32" s="22" t="n">
        <x:v>0.04</x:v>
      </x:c>
      <x:c r="E32" s="22" t="n">
        <x:v>0.04</x:v>
      </x:c>
      <x:c r="F32" s="22" t="n">
        <x:v>0.035</x:v>
      </x:c>
      <x:c r="G32" s="22" t="n">
        <x:v>0.035</x:v>
      </x:c>
    </x:row>
    <x:row r="33">
      <x:c r="A33" t="str">
        <x:v>EBITDA Margin</x:v>
      </x:c>
      <x:c r="B33" s="28" t="n">
        <x:v>0.1</x:v>
      </x:c>
      <x:c r="C33" s="22" t="n">
        <x:v>0.102</x:v>
      </x:c>
      <x:c r="D33" s="22" t="n">
        <x:v>0.104</x:v>
      </x:c>
      <x:c r="E33" s="22" t="n">
        <x:v>0.105</x:v>
      </x:c>
      <x:c r="F33" s="22" t="n">
        <x:v>0.106</x:v>
      </x:c>
      <x:c r="G33" s="22" t="n">
        <x:v>0.107</x:v>
      </x:c>
    </x:row>
    <x:row r="34">
      <x:c r="A34" t="str">
        <x:v>D&amp;A % Revenue</x:v>
      </x:c>
      <x:c r="B34" s="28" t="n">
        <x:v>0.02</x:v>
      </x:c>
      <x:c r="C34" s="22" t="n">
        <x:v>0.02</x:v>
      </x:c>
      <x:c r="D34" s="22" t="n">
        <x:v>0.02</x:v>
      </x:c>
      <x:c r="E34" s="22" t="n">
        <x:v>0.02</x:v>
      </x:c>
      <x:c r="F34" s="22" t="n">
        <x:v>0.02</x:v>
      </x:c>
      <x:c r="G34" s="22" t="n">
        <x:v>0.02</x:v>
      </x:c>
    </x:row>
    <x:row r="35">
      <x:c r="A35" t="str">
        <x:v>Capex % Revenue</x:v>
      </x:c>
      <x:c r="B35" s="28" t="n">
        <x:v>0.025</x:v>
      </x:c>
      <x:c r="C35" s="22" t="n">
        <x:v>0.025</x:v>
      </x:c>
      <x:c r="D35" s="22" t="n">
        <x:v>0.024</x:v>
      </x:c>
      <x:c r="E35" s="22" t="n">
        <x:v>0.024</x:v>
      </x:c>
      <x:c r="F35" s="22" t="n">
        <x:v>0.023</x:v>
      </x:c>
      <x:c r="G35" s="22" t="n">
        <x:v>0.023</x:v>
      </x:c>
    </x:row>
    <x:row r="36">
      <x:c r="A36" t="str">
        <x:v>Change in NWC % Revenue</x:v>
      </x:c>
      <x:c r="B36" s="28" t="n">
        <x:v>0.005</x:v>
      </x:c>
      <x:c r="C36" s="22" t="n">
        <x:v>0.005</x:v>
      </x:c>
      <x:c r="D36" s="22" t="n">
        <x:v>0.005</x:v>
      </x:c>
      <x:c r="E36" s="22" t="n">
        <x:v>0.005</x:v>
      </x:c>
      <x:c r="F36" s="22" t="n">
        <x:v>0.005</x:v>
      </x:c>
      <x:c r="G36" s="22" t="n">
        <x:v>0.005</x:v>
      </x:c>
    </x:row>
    <x:row r="37">
      <x:c r="A37" t="str">
        <x:v>Cash Tax Rate</x:v>
      </x:c>
      <x:c r="B37" s="28" t="n">
        <x:v>0.24</x:v>
      </x:c>
      <x:c r="C37" s="22" t="n">
        <x:v>0.24</x:v>
      </x:c>
      <x:c r="D37" s="22" t="n">
        <x:v>0.24</x:v>
      </x:c>
      <x:c r="E37" s="22" t="n">
        <x:v>0.24</x:v>
      </x:c>
      <x:c r="F37" s="22" t="n">
        <x:v>0.24</x:v>
      </x:c>
      <x:c r="G37" s="22" t="n">
        <x:v>0.24</x:v>
      </x:c>
    </x:row>
    <x:row r="38">
      <x:c r="A38" t="str">
        <x:v>Exit Multiple</x:v>
      </x:c>
      <x:c r="B38" s="28"/>
      <x:c r="C38" s="22"/>
      <x:c r="D38" s="22"/>
      <x:c r="E38" s="22"/>
      <x:c r="F38" s="22"/>
      <x:c r="G38" s="26" t="n">
        <x:v>6</x:v>
      </x:c>
    </x:row>
  </x:sheetData>
  <x:mergeCells>
    <x:mergeCell ref="A1:H1"/>
    <x:mergeCell ref="A2:H2"/>
    <x:mergeCell ref="A4:H4"/>
    <x:mergeCell ref="A17:H17"/>
    <x:mergeCell ref="A30:H30"/>
  </x:mergeCells>
  <x:pageMargins left="0.7" right="0.7" top="0.75" bottom="0.75" header="0.3" footer="0.3"/>
</x:worksheet>
</file>

<file path=xl/worksheets/sheet3.xml><?xml version="1.0" encoding="utf-8"?>
<x:worksheet xmlns:x="http://schemas.openxmlformats.org/spreadsheetml/2006/main">
  <x:sheetFormatPr defaultRowHeight="15"/>
  <x:cols>
    <x:col min="1" max="1" width="34" hidden="0" customWidth="1"/>
    <x:col min="2" max="2" width="20" hidden="0" customWidth="1"/>
    <x:col min="3" max="3" width="5" hidden="0" customWidth="1"/>
    <x:col min="4" max="4" width="18" hidden="0" customWidth="1"/>
    <x:col min="5" max="5" width="18" hidden="0" customWidth="1"/>
    <x:col min="6" max="6" width="18" hidden="0" customWidth="1"/>
  </x:cols>
  <x:sheetData>
    <x:row r="1" ht="27" customHeight="1">
      <x:c r="A1" s="3" t="str">
        <x:v>Sources &amp; Uses</x:v>
      </x:c>
      <x:c r="B1" s="3"/>
      <x:c r="C1" s="3"/>
      <x:c r="D1" s="3"/>
      <x:c r="E1" s="3"/>
      <x:c r="F1" s="3"/>
    </x:row>
    <x:row r="3">
      <x:c r="A3" s="9" t="str">
        <x:v>Transaction Purchase Price</x:v>
      </x:c>
      <x:c r="B3" s="9"/>
      <x:c r="C3" s="9"/>
      <x:c r="D3" s="9"/>
      <x:c r="E3" s="9"/>
      <x:c r="F3" s="9"/>
    </x:row>
    <x:row r="4">
      <x:c r="A4" t="str">
        <x:v>Reference Share Price</x:v>
      </x:c>
      <x:c r="B4" s="32" t="n">
        <x:f>Assumptions!B6</x:f>
        <x:v>54.25</x:v>
      </x:c>
    </x:row>
    <x:row r="5">
      <x:c r="A5" t="str">
        <x:v>Premium</x:v>
      </x:c>
      <x:c r="B5" s="34" t="n">
        <x:f>Assumptions!B7</x:f>
        <x:v>0.25</x:v>
      </x:c>
    </x:row>
    <x:row r="6">
      <x:c r="A6" t="str">
        <x:v>Offer Price</x:v>
      </x:c>
      <x:c r="B6" s="32" t="n">
        <x:f>B4*(1+B5)</x:f>
        <x:v>67.8125</x:v>
      </x:c>
    </x:row>
    <x:row r="7">
      <x:c r="A7" t="str">
        <x:v>Diluted Shares (mm)</x:v>
      </x:c>
      <x:c r="B7" s="36" t="n">
        <x:f>Assumptions!B8</x:f>
        <x:v>61.6</x:v>
      </x:c>
    </x:row>
    <x:row r="8">
      <x:c r="A8" t="str">
        <x:v>Equity Purchase Price</x:v>
      </x:c>
      <x:c r="B8" s="36" t="n">
        <x:f>B6*B7</x:f>
        <x:v>4177.25</x:v>
      </x:c>
    </x:row>
    <x:row r="9">
      <x:c r="A9" t="str">
        <x:v>Existing Debt Refinance</x:v>
      </x:c>
      <x:c r="B9" s="36" t="n">
        <x:f>Assumptions!B9</x:f>
        <x:v>494.2</x:v>
      </x:c>
    </x:row>
    <x:row r="10">
      <x:c r="A10" t="str">
        <x:v>Less: Excess Cash Used</x:v>
      </x:c>
      <x:c r="B10" s="36" t="n">
        <x:f>MAX(0,Assumptions!B10-Assumptions!B11)</x:f>
        <x:v>148.2</x:v>
      </x:c>
    </x:row>
    <x:row r="11">
      <x:c r="A11" t="str">
        <x:v>Enterprise Value / Uses Before Fees</x:v>
      </x:c>
      <x:c r="B11" s="36" t="n">
        <x:f>SUM(B8:B9)-B10</x:f>
        <x:v>4523.25</x:v>
      </x:c>
    </x:row>
    <x:row r="12">
      <x:c r="A12" t="str">
        <x:v>Entry EV / EBITDA</x:v>
      </x:c>
      <x:c r="B12" s="38" t="n">
        <x:f>B11/Assumptions!B12</x:f>
        <x:v>6.370774647887324</x:v>
      </x:c>
    </x:row>
    <x:row r="14">
      <x:c r="A14" s="9" t="str">
        <x:v>Uses</x:v>
      </x:c>
      <x:c r="B14" s="9"/>
      <x:c r="C14" s="9"/>
      <x:c r="D14" s="9"/>
      <x:c r="E14" s="9"/>
      <x:c r="F14" s="9"/>
    </x:row>
    <x:row r="15">
      <x:c r="A15" s="13" t="str">
        <x:v>Use</x:v>
      </x:c>
      <x:c r="B15" s="13" t="str">
        <x:v>$mm</x:v>
      </x:c>
    </x:row>
    <x:row r="16">
      <x:c r="A16" t="str">
        <x:v>Equity Purchase Price</x:v>
      </x:c>
      <x:c r="B16" s="40" t="n">
        <x:f>B8</x:f>
        <x:v>4177.25</x:v>
      </x:c>
    </x:row>
    <x:row r="17">
      <x:c r="A17" t="str">
        <x:v>Refinance Existing Debt</x:v>
      </x:c>
      <x:c r="B17" s="40" t="n">
        <x:f>B9</x:f>
        <x:v>494.2</x:v>
      </x:c>
    </x:row>
    <x:row r="18">
      <x:c r="A18" t="str">
        <x:v>Transaction Fees</x:v>
      </x:c>
      <x:c r="B18" s="40" t="n">
        <x:f>Assumptions!B13</x:f>
        <x:v>90</x:v>
      </x:c>
    </x:row>
    <x:row r="19">
      <x:c r="A19" t="str">
        <x:v>Financing Fees</x:v>
      </x:c>
      <x:c r="B19" s="40" t="n">
        <x:f>(Assumptions!B20+Assumptions!B21)*Assumptions!B12*Assumptions!B14</x:f>
        <x:v>63.9</x:v>
      </x:c>
    </x:row>
    <x:row r="20">
      <x:c r="A20" t="str">
        <x:v>Total Uses</x:v>
      </x:c>
      <x:c r="B20" s="40" t="n">
        <x:f>SUM(B16:B19)</x:f>
        <x:v>4825.349999999999</x:v>
      </x:c>
    </x:row>
    <x:row r="22">
      <x:c r="A22" s="9" t="str">
        <x:v>Sources</x:v>
      </x:c>
      <x:c r="B22" s="9"/>
      <x:c r="C22" s="9"/>
      <x:c r="D22" s="9"/>
      <x:c r="E22" s="9"/>
      <x:c r="F22" s="9"/>
    </x:row>
    <x:row r="23">
      <x:c r="A23" s="13" t="str">
        <x:v>Source</x:v>
      </x:c>
      <x:c r="B23" s="13" t="str">
        <x:v>$mm</x:v>
      </x:c>
    </x:row>
    <x:row r="24">
      <x:c r="A24" t="str">
        <x:v>Term Loan</x:v>
      </x:c>
      <x:c r="B24" s="40" t="n">
        <x:f>Assumptions!B20*Assumptions!B12</x:f>
        <x:v>2485</x:v>
      </x:c>
    </x:row>
    <x:row r="25">
      <x:c r="A25" t="str">
        <x:v>Second Lien / Notes</x:v>
      </x:c>
      <x:c r="B25" s="40" t="n">
        <x:f>Assumptions!B21*Assumptions!B12</x:f>
        <x:v>710</x:v>
      </x:c>
    </x:row>
    <x:row r="26">
      <x:c r="A26" t="str">
        <x:v>Sponsor Equity</x:v>
      </x:c>
      <x:c r="B26" s="40" t="n">
        <x:f>B20-SUM(B24:B25)</x:f>
        <x:v>1630.3499999999995</x:v>
      </x:c>
    </x:row>
    <x:row r="27">
      <x:c r="A27" t="str">
        <x:v>Total Sources</x:v>
      </x:c>
      <x:c r="B27" s="40" t="n">
        <x:f>SUM(B24:B26)</x:f>
        <x:v>4825.349999999999</x:v>
      </x:c>
    </x:row>
    <x:row r="28">
      <x:c r="A28" t="str">
        <x:v>Sponsor Equity %</x:v>
      </x:c>
      <x:c r="B28" s="28" t="n">
        <x:f>B26/B27</x:f>
        <x:v>0.33787186421710336</x:v>
      </x:c>
    </x:row>
  </x:sheetData>
  <x:mergeCells>
    <x:mergeCell ref="A1:F1"/>
    <x:mergeCell ref="A3:F3"/>
    <x:mergeCell ref="A14:F14"/>
    <x:mergeCell ref="A22:F22"/>
  </x:mergeCells>
  <x:pageMargins left="0.7" right="0.7" top="0.75" bottom="0.75" header="0.3" footer="0.3"/>
</x:worksheet>
</file>

<file path=xl/worksheets/sheet4.xml><?xml version="1.0" encoding="utf-8"?>
<x:worksheet xmlns:x="http://schemas.openxmlformats.org/spreadsheetml/2006/main">
  <x:sheetFormatPr defaultRowHeight="15"/>
  <x:cols>
    <x:col min="1" max="1" width="36"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5" hidden="0" customWidth="1"/>
  </x:cols>
  <x:sheetData>
    <x:row r="1" ht="27" customHeight="1">
      <x:c r="A1" s="3" t="str">
        <x:v>Operating Model</x:v>
      </x:c>
      <x:c r="B1" s="3"/>
      <x:c r="C1" s="3"/>
      <x:c r="D1" s="3"/>
      <x:c r="E1" s="3"/>
      <x:c r="F1" s="3"/>
      <x:c r="G1" s="3"/>
      <x:c r="H1" s="3"/>
    </x:row>
    <x:row r="3">
      <x:c r="A3" s="42"/>
      <x:c r="B3" s="42" t="str">
        <x:v>2026E</x:v>
      </x:c>
      <x:c r="C3" s="42" t="str">
        <x:v>2027E</x:v>
      </x:c>
      <x:c r="D3" s="42" t="str">
        <x:v>2028E</x:v>
      </x:c>
      <x:c r="E3" s="42" t="str">
        <x:v>2029E</x:v>
      </x:c>
      <x:c r="F3" s="42" t="str">
        <x:v>2030E</x:v>
      </x:c>
      <x:c r="G3" s="42" t="str">
        <x:v>2031E</x:v>
      </x:c>
    </x:row>
    <x:row r="5">
      <x:c r="A5" t="str">
        <x:v>Revenue</x:v>
      </x:c>
      <x:c r="B5" s="40" t="n">
        <x:v>7100</x:v>
      </x:c>
      <x:c r="C5" s="40" t="n">
        <x:f>B5*(1+Assumptions!C32)</x:f>
        <x:v>7384</x:v>
      </x:c>
      <x:c r="D5" s="40" t="n">
        <x:f>C5*(1+Assumptions!D32)</x:f>
        <x:v>7679.360000000001</x:v>
      </x:c>
      <x:c r="E5" s="40" t="n">
        <x:f>D5*(1+Assumptions!E32)</x:f>
        <x:v>7986.5344000000005</x:v>
      </x:c>
      <x:c r="F5" s="40" t="n">
        <x:f>E5*(1+Assumptions!F32)</x:f>
        <x:v>8266.063103999999</x:v>
      </x:c>
      <x:c r="G5" s="40" t="n">
        <x:f>F5*(1+Assumptions!G32)</x:f>
        <x:v>8555.375312639999</x:v>
      </x:c>
    </x:row>
    <x:row r="6">
      <x:c r="A6" t="str">
        <x:v>% Growth</x:v>
      </x:c>
      <x:c r="B6" s="28"/>
      <x:c r="C6" s="28" t="n">
        <x:f>C5/B5-1</x:f>
        <x:v>0.040000000000000036</x:v>
      </x:c>
      <x:c r="D6" s="28" t="n">
        <x:f>D5/C5-1</x:f>
        <x:v>0.040000000000000036</x:v>
      </x:c>
      <x:c r="E6" s="28" t="n">
        <x:f>E5/D5-1</x:f>
        <x:v>0.040000000000000036</x:v>
      </x:c>
      <x:c r="F6" s="28" t="n">
        <x:f>F5/E5-1</x:f>
        <x:v>0.0349999999999997</x:v>
      </x:c>
      <x:c r="G6" s="28" t="n">
        <x:f>G5/F5-1</x:f>
        <x:v>0.03499999999999992</x:v>
      </x:c>
    </x:row>
    <x:row r="7">
      <x:c r="A7" s="44" t="str">
        <x:v>EBITDA</x:v>
      </x:c>
      <x:c r="B7" s="45" t="n">
        <x:f>Assumptions!B12</x:f>
        <x:v>710</x:v>
      </x:c>
      <x:c r="C7" s="45" t="n">
        <x:f>C5*Assumptions!C33</x:f>
        <x:v>753.168</x:v>
      </x:c>
      <x:c r="D7" s="45" t="n">
        <x:f>D5*Assumptions!D33</x:f>
        <x:v>798.65344</x:v>
      </x:c>
      <x:c r="E7" s="45" t="n">
        <x:f>E5*Assumptions!E33</x:f>
        <x:v>838.5861120000001</x:v>
      </x:c>
      <x:c r="F7" s="45" t="n">
        <x:f>F5*Assumptions!F33</x:f>
        <x:v>876.2026890239998</x:v>
      </x:c>
      <x:c r="G7" s="45" t="n">
        <x:f>G5*Assumptions!G33</x:f>
        <x:v>915.4251584524799</x:v>
      </x:c>
    </x:row>
    <x:row r="8">
      <x:c r="A8" t="str">
        <x:v>EBITDA Margin</x:v>
      </x:c>
      <x:c r="B8" s="28" t="n">
        <x:f>B7/B5</x:f>
        <x:v>0.1</x:v>
      </x:c>
      <x:c r="C8" s="28" t="n">
        <x:f>C7/C5</x:f>
        <x:v>0.10200000000000001</x:v>
      </x:c>
      <x:c r="D8" s="28" t="n">
        <x:f>D7/D5</x:f>
        <x:v>0.104</x:v>
      </x:c>
      <x:c r="E8" s="28" t="n">
        <x:f>E7/E5</x:f>
        <x:v>0.105</x:v>
      </x:c>
      <x:c r="F8" s="28" t="n">
        <x:f>F7/F5</x:f>
        <x:v>0.106</x:v>
      </x:c>
      <x:c r="G8" s="28" t="n">
        <x:f>G7/G5</x:f>
        <x:v>0.107</x:v>
      </x:c>
    </x:row>
    <x:row r="9">
      <x:c r="A9" t="str">
        <x:v>D&amp;A</x:v>
      </x:c>
      <x:c r="B9" s="40" t="n">
        <x:f>B5*Assumptions!B34</x:f>
        <x:v>142</x:v>
      </x:c>
      <x:c r="C9" s="40" t="n">
        <x:f>C5*Assumptions!C34</x:f>
        <x:v>147.68</x:v>
      </x:c>
      <x:c r="D9" s="40" t="n">
        <x:f>D5*Assumptions!D34</x:f>
        <x:v>153.58720000000002</x:v>
      </x:c>
      <x:c r="E9" s="40" t="n">
        <x:f>E5*Assumptions!E34</x:f>
        <x:v>159.73068800000001</x:v>
      </x:c>
      <x:c r="F9" s="40" t="n">
        <x:f>F5*Assumptions!F34</x:f>
        <x:v>165.32126207999997</x:v>
      </x:c>
      <x:c r="G9" s="40" t="n">
        <x:f>G5*Assumptions!G34</x:f>
        <x:v>171.1075062528</x:v>
      </x:c>
    </x:row>
    <x:row r="10">
      <x:c r="A10" s="44" t="str">
        <x:v>EBIT</x:v>
      </x:c>
      <x:c r="B10" s="45" t="n">
        <x:f>B7-B9</x:f>
        <x:v>568</x:v>
      </x:c>
      <x:c r="C10" s="45" t="n">
        <x:f>C7-C9</x:f>
        <x:v>605.488</x:v>
      </x:c>
      <x:c r="D10" s="45" t="n">
        <x:f>D7-D9</x:f>
        <x:v>645.06624</x:v>
      </x:c>
      <x:c r="E10" s="45" t="n">
        <x:f>E7-E9</x:f>
        <x:v>678.8554240000001</x:v>
      </x:c>
      <x:c r="F10" s="45" t="n">
        <x:f>F7-F9</x:f>
        <x:v>710.8814269439998</x:v>
      </x:c>
      <x:c r="G10" s="45" t="n">
        <x:f>G7-G9</x:f>
        <x:v>744.3176521996799</x:v>
      </x:c>
    </x:row>
    <x:row r="11">
      <x:c r="A11" t="str">
        <x:v>Interest Expense</x:v>
      </x:c>
      <x:c r="B11" s="40"/>
      <x:c r="C11" s="40" t="n">
        <x:f>'Debt Schedule'!C14</x:f>
        <x:v>0</x:v>
      </x:c>
      <x:c r="D11" s="40" t="n">
        <x:f>'Debt Schedule'!D14</x:f>
        <x:v>0</x:v>
      </x:c>
      <x:c r="E11" s="40" t="n">
        <x:f>'Debt Schedule'!E14</x:f>
        <x:v>0</x:v>
      </x:c>
      <x:c r="F11" s="40" t="n">
        <x:f>'Debt Schedule'!F14</x:f>
        <x:v>0</x:v>
      </x:c>
      <x:c r="G11" s="40" t="n">
        <x:f>'Debt Schedule'!G14</x:f>
        <x:v>0</x:v>
      </x:c>
    </x:row>
    <x:row r="12">
      <x:c r="A12" t="str">
        <x:v>Pre-Tax Income</x:v>
      </x:c>
      <x:c r="B12" s="40"/>
      <x:c r="C12" s="40" t="n">
        <x:f>C10-C11</x:f>
        <x:v>605.488</x:v>
      </x:c>
      <x:c r="D12" s="40" t="n">
        <x:f>D10-D11</x:f>
        <x:v>645.06624</x:v>
      </x:c>
      <x:c r="E12" s="40" t="n">
        <x:f>E10-E11</x:f>
        <x:v>678.8554240000001</x:v>
      </x:c>
      <x:c r="F12" s="40" t="n">
        <x:f>F10-F11</x:f>
        <x:v>710.8814269439998</x:v>
      </x:c>
      <x:c r="G12" s="40" t="n">
        <x:f>G10-G11</x:f>
        <x:v>744.3176521996799</x:v>
      </x:c>
    </x:row>
    <x:row r="13">
      <x:c r="A13" t="str">
        <x:v>Cash Taxes</x:v>
      </x:c>
      <x:c r="B13" s="40"/>
      <x:c r="C13" s="40" t="n">
        <x:f>MAX(0,C12*Assumptions!C37)</x:f>
        <x:v>145.31712000000002</x:v>
      </x:c>
      <x:c r="D13" s="40" t="n">
        <x:f>MAX(0,D12*Assumptions!D37)</x:f>
        <x:v>154.8158976</x:v>
      </x:c>
      <x:c r="E13" s="40" t="n">
        <x:f>MAX(0,E12*Assumptions!E37)</x:f>
        <x:v>162.92530176000002</x:v>
      </x:c>
      <x:c r="F13" s="40" t="n">
        <x:f>MAX(0,F12*Assumptions!F37)</x:f>
        <x:v>170.61154246655994</x:v>
      </x:c>
      <x:c r="G13" s="40" t="n">
        <x:f>MAX(0,G12*Assumptions!G37)</x:f>
        <x:v>178.63623652792316</x:v>
      </x:c>
    </x:row>
    <x:row r="14">
      <x:c r="A14" s="44" t="str">
        <x:v>Net Income</x:v>
      </x:c>
      <x:c r="B14" s="45"/>
      <x:c r="C14" s="45" t="n">
        <x:f>C12-C13</x:f>
        <x:v>460.17088</x:v>
      </x:c>
      <x:c r="D14" s="45" t="n">
        <x:f>D12-D13</x:f>
        <x:v>490.2503424</x:v>
      </x:c>
      <x:c r="E14" s="45" t="n">
        <x:f>E12-E13</x:f>
        <x:v>515.9301222400001</x:v>
      </x:c>
      <x:c r="F14" s="45" t="n">
        <x:f>F12-F13</x:f>
        <x:v>540.2698844774399</x:v>
      </x:c>
      <x:c r="G14" s="45" t="n">
        <x:f>G12-G13</x:f>
        <x:v>565.6814156717567</x:v>
      </x:c>
    </x:row>
    <x:row r="15">
      <x:c r="A15" t="str">
        <x:v>D&amp;A Add-Back</x:v>
      </x:c>
      <x:c r="B15" s="40"/>
      <x:c r="C15" s="40" t="n">
        <x:f>C9</x:f>
        <x:v>147.68</x:v>
      </x:c>
      <x:c r="D15" s="40" t="n">
        <x:f>D9</x:f>
        <x:v>153.58720000000002</x:v>
      </x:c>
      <x:c r="E15" s="40" t="n">
        <x:f>E9</x:f>
        <x:v>159.73068800000001</x:v>
      </x:c>
      <x:c r="F15" s="40" t="n">
        <x:f>F9</x:f>
        <x:v>165.32126207999997</x:v>
      </x:c>
      <x:c r="G15" s="40" t="n">
        <x:f>G9</x:f>
        <x:v>171.1075062528</x:v>
      </x:c>
    </x:row>
    <x:row r="16">
      <x:c r="A16" t="str">
        <x:v>Change in NWC</x:v>
      </x:c>
      <x:c r="B16" s="40"/>
      <x:c r="C16" s="40" t="n">
        <x:f>-C5*Assumptions!C36</x:f>
        <x:v>-36.92</x:v>
      </x:c>
      <x:c r="D16" s="40" t="n">
        <x:f>-D5*Assumptions!D36</x:f>
        <x:v>-38.396800000000006</x:v>
      </x:c>
      <x:c r="E16" s="40" t="n">
        <x:f>-E5*Assumptions!E36</x:f>
        <x:v>-39.932672000000004</x:v>
      </x:c>
      <x:c r="F16" s="40" t="n">
        <x:f>-F5*Assumptions!F36</x:f>
        <x:v>-41.33031551999999</x:v>
      </x:c>
      <x:c r="G16" s="40" t="n">
        <x:f>-G5*Assumptions!G36</x:f>
        <x:v>-42.7768765632</x:v>
      </x:c>
    </x:row>
    <x:row r="17">
      <x:c r="A17" t="str">
        <x:v>Capex</x:v>
      </x:c>
      <x:c r="B17" s="40"/>
      <x:c r="C17" s="40" t="n">
        <x:f>-C5*Assumptions!C35</x:f>
        <x:v>-184.60000000000002</x:v>
      </x:c>
      <x:c r="D17" s="40" t="n">
        <x:f>-D5*Assumptions!D35</x:f>
        <x:v>-184.30464</x:v>
      </x:c>
      <x:c r="E17" s="40" t="n">
        <x:f>-E5*Assumptions!E35</x:f>
        <x:v>-191.67682560000003</x:v>
      </x:c>
      <x:c r="F17" s="40" t="n">
        <x:f>-F5*Assumptions!F35</x:f>
        <x:v>-190.11945139199997</x:v>
      </x:c>
      <x:c r="G17" s="40" t="n">
        <x:f>-G5*Assumptions!G35</x:f>
        <x:v>-196.77363219071998</x:v>
      </x:c>
    </x:row>
    <x:row r="18">
      <x:c r="A18" s="44" t="str">
        <x:v>Free Cash Flow Before Debt Paydown</x:v>
      </x:c>
      <x:c r="B18" s="45"/>
      <x:c r="C18" s="45" t="n">
        <x:f>SUM(C14:C17)</x:f>
        <x:v>386.33088</x:v>
      </x:c>
      <x:c r="D18" s="45" t="n">
        <x:f>SUM(D14:D17)</x:f>
        <x:v>421.1361024000001</x:v>
      </x:c>
      <x:c r="E18" s="45" t="n">
        <x:f>SUM(E14:E17)</x:f>
        <x:v>444.05131264</x:v>
      </x:c>
      <x:c r="F18" s="45" t="n">
        <x:f>SUM(F14:F17)</x:f>
        <x:v>474.1413796454399</x:v>
      </x:c>
      <x:c r="G18" s="45" t="n">
        <x:f>SUM(G14:G17)</x:f>
        <x:v>497.23841317063676</x:v>
      </x:c>
    </x:row>
    <x:row r="19">
      <x:c r="A19" t="str">
        <x:v>FCF Conversion</x:v>
      </x:c>
      <x:c r="B19" s="28"/>
      <x:c r="C19" s="28" t="n">
        <x:f>C18/C7</x:f>
        <x:v>0.5129411764705882</x:v>
      </x:c>
      <x:c r="D19" s="28" t="n">
        <x:f>D18/D7</x:f>
        <x:v>0.5273076923076924</x:v>
      </x:c>
      <x:c r="E19" s="28" t="n">
        <x:f>E18/E7</x:f>
        <x:v>0.5295238095238095</x:v>
      </x:c>
      <x:c r="F19" s="28" t="n">
        <x:f>F18/F7</x:f>
        <x:v>0.5411320754716981</x:v>
      </x:c>
      <x:c r="G19" s="28" t="n">
        <x:f>G18/G7</x:f>
        <x:v>0.543177570093458</x:v>
      </x:c>
    </x:row>
  </x:sheetData>
  <x:mergeCells>
    <x:mergeCell ref="A1:H1"/>
  </x:mergeCells>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5" hidden="0" customWidth="1"/>
  </x:cols>
  <x:sheetData>
    <x:row r="1" ht="27" customHeight="1">
      <x:c r="A1" s="3" t="str">
        <x:v>Debt Schedule</x:v>
      </x:c>
      <x:c r="B1" s="3"/>
      <x:c r="C1" s="3"/>
      <x:c r="D1" s="3"/>
      <x:c r="E1" s="3"/>
      <x:c r="F1" s="3"/>
      <x:c r="G1" s="3"/>
      <x:c r="H1" s="3"/>
    </x:row>
    <x:row r="3">
      <x:c r="A3" s="42"/>
      <x:c r="B3" s="42" t="str">
        <x:v>2026E / Entry</x:v>
      </x:c>
      <x:c r="C3" s="42" t="str">
        <x:v>2027E</x:v>
      </x:c>
      <x:c r="D3" s="42" t="str">
        <x:v>2028E</x:v>
      </x:c>
      <x:c r="E3" s="42" t="str">
        <x:v>2029E</x:v>
      </x:c>
      <x:c r="F3" s="42" t="str">
        <x:v>2030E</x:v>
      </x:c>
      <x:c r="G3" s="42" t="str">
        <x:v>2031E / Exit</x:v>
      </x:c>
    </x:row>
    <x:row r="5">
      <x:c r="A5" t="str">
        <x:v>Beginning Term Loan</x:v>
      </x:c>
      <x:c r="B5" s="40" t="n">
        <x:f>'Sources &amp; Uses'!B24</x:f>
        <x:v>2485</x:v>
      </x:c>
      <x:c r="C5" s="40" t="n">
        <x:f>B8</x:f>
        <x:v>2485</x:v>
      </x:c>
      <x:c r="D5" s="40" t="n">
        <x:f>C8</x:f>
        <x:v>2098.66912</x:v>
      </x:c>
      <x:c r="E5" s="40" t="n">
        <x:f>D8</x:f>
        <x:v>1677.5330175999998</x:v>
      </x:c>
      <x:c r="F5" s="40" t="n">
        <x:f>E8</x:f>
        <x:v>1233.48170496</x:v>
      </x:c>
      <x:c r="G5" s="40" t="n">
        <x:f>F8</x:f>
        <x:v>759.3403253145601</x:v>
      </x:c>
    </x:row>
    <x:row r="6">
      <x:c r="A6" t="str">
        <x:v>Mandatory Amortization</x:v>
      </x:c>
      <x:c r="B6" s="40" t="n">
        <x:v>0</x:v>
      </x:c>
      <x:c r="C6" s="40" t="n">
        <x:f>-MIN(C5,C5*Assumptions!B24)</x:f>
        <x:v>-24.85</x:v>
      </x:c>
      <x:c r="D6" s="40" t="n">
        <x:f>-MIN(D5,D5*Assumptions!B24)</x:f>
        <x:v>-20.9866912</x:v>
      </x:c>
      <x:c r="E6" s="40" t="n">
        <x:f>-MIN(E5,E5*Assumptions!B24)</x:f>
        <x:v>-16.775330175999997</x:v>
      </x:c>
      <x:c r="F6" s="40" t="n">
        <x:f>-MIN(F5,F5*Assumptions!B24)</x:f>
        <x:v>-12.3348170496</x:v>
      </x:c>
      <x:c r="G6" s="40" t="n">
        <x:f>-MIN(G5,G5*Assumptions!B24)</x:f>
        <x:v>-7.593403253145602</x:v>
      </x:c>
    </x:row>
    <x:row r="7">
      <x:c r="A7" t="str">
        <x:v>Cash Sweep</x:v>
      </x:c>
      <x:c r="B7" s="40" t="n">
        <x:v>0</x:v>
      </x:c>
      <x:c r="C7" s="40" t="n">
        <x:f>-MIN(MAX(0,'Operating Model'!C18+C6),C5+C6)</x:f>
        <x:v>-361.48087999999996</x:v>
      </x:c>
      <x:c r="D7" s="40" t="n">
        <x:f>-MIN(MAX(0,'Operating Model'!D18+D6),D5+D6)</x:f>
        <x:v>-400.1494112000001</x:v>
      </x:c>
      <x:c r="E7" s="40" t="n">
        <x:f>-MIN(MAX(0,'Operating Model'!E18+E6),E5+E6)</x:f>
        <x:v>-427.275982464</x:v>
      </x:c>
      <x:c r="F7" s="40" t="n">
        <x:f>-MIN(MAX(0,'Operating Model'!F18+F6),F5+F6)</x:f>
        <x:v>-461.80656259583986</x:v>
      </x:c>
      <x:c r="G7" s="40" t="n">
        <x:f>-MIN(MAX(0,'Operating Model'!G18+G6),G5+G6)</x:f>
        <x:v>-489.64500991749117</x:v>
      </x:c>
    </x:row>
    <x:row r="8">
      <x:c r="A8" s="44" t="str">
        <x:v>Ending Term Loan</x:v>
      </x:c>
      <x:c r="B8" s="45" t="n">
        <x:f>B5</x:f>
        <x:v>2485</x:v>
      </x:c>
      <x:c r="C8" s="45" t="n">
        <x:f>SUM(C5:C7)</x:f>
        <x:v>2098.66912</x:v>
      </x:c>
      <x:c r="D8" s="45" t="n">
        <x:f>SUM(D5:D7)</x:f>
        <x:v>1677.5330175999998</x:v>
      </x:c>
      <x:c r="E8" s="45" t="n">
        <x:f>SUM(E5:E7)</x:f>
        <x:v>1233.48170496</x:v>
      </x:c>
      <x:c r="F8" s="45" t="n">
        <x:f>SUM(F5:F7)</x:f>
        <x:v>759.3403253145601</x:v>
      </x:c>
      <x:c r="G8" s="45" t="n">
        <x:f>SUM(G5:G7)</x:f>
        <x:v>262.1019121439233</x:v>
      </x:c>
    </x:row>
    <x:row r="9">
      <x:c r="A9" t="str">
        <x:v>Beginning Second Lien</x:v>
      </x:c>
      <x:c r="B9" s="40" t="n">
        <x:f>'Sources &amp; Uses'!B25</x:f>
        <x:v>710</x:v>
      </x:c>
      <x:c r="C9" s="40" t="n">
        <x:f>B11</x:f>
        <x:v>710</x:v>
      </x:c>
      <x:c r="D9" s="40" t="n">
        <x:f>C11</x:f>
        <x:v>710</x:v>
      </x:c>
      <x:c r="E9" s="40" t="n">
        <x:f>D11</x:f>
        <x:v>710</x:v>
      </x:c>
      <x:c r="F9" s="40" t="n">
        <x:f>E11</x:f>
        <x:v>710</x:v>
      </x:c>
      <x:c r="G9" s="40" t="n">
        <x:f>F11</x:f>
        <x:v>710</x:v>
      </x:c>
    </x:row>
    <x:row r="10">
      <x:c r="A10" t="str">
        <x:v>Paydown</x:v>
      </x:c>
      <x:c r="B10" s="40" t="n">
        <x:v>0</x:v>
      </x:c>
      <x:c r="C10" s="40" t="n">
        <x:f>-MIN(MAX(0,'Operating Model'!C18+C6+C7),C9)</x:f>
        <x:v>0</x:v>
      </x:c>
      <x:c r="D10" s="40" t="n">
        <x:f>-MIN(MAX(0,'Operating Model'!D18+D6+D7),D9)</x:f>
        <x:v>0</x:v>
      </x:c>
      <x:c r="E10" s="40" t="n">
        <x:f>-MIN(MAX(0,'Operating Model'!E18+E6+E7),E9)</x:f>
        <x:v>0</x:v>
      </x:c>
      <x:c r="F10" s="40" t="n">
        <x:f>-MIN(MAX(0,'Operating Model'!F18+F6+F7),F9)</x:f>
        <x:v>0</x:v>
      </x:c>
      <x:c r="G10" s="40" t="n">
        <x:f>-MIN(MAX(0,'Operating Model'!G18+G6+G7),G9)</x:f>
        <x:v>0</x:v>
      </x:c>
    </x:row>
    <x:row r="11">
      <x:c r="A11" s="44" t="str">
        <x:v>Ending Second Lien</x:v>
      </x:c>
      <x:c r="B11" s="45" t="n">
        <x:f>B9</x:f>
        <x:v>710</x:v>
      </x:c>
      <x:c r="C11" s="45" t="n">
        <x:f>SUM(C9:C10)</x:f>
        <x:v>710</x:v>
      </x:c>
      <x:c r="D11" s="45" t="n">
        <x:f>SUM(D9:D10)</x:f>
        <x:v>710</x:v>
      </x:c>
      <x:c r="E11" s="45" t="n">
        <x:f>SUM(E9:E10)</x:f>
        <x:v>710</x:v>
      </x:c>
      <x:c r="F11" s="45" t="n">
        <x:f>SUM(F9:F10)</x:f>
        <x:v>710</x:v>
      </x:c>
      <x:c r="G11" s="45" t="n">
        <x:f>SUM(G9:G10)</x:f>
        <x:v>710</x:v>
      </x:c>
    </x:row>
    <x:row r="12">
      <x:c r="A12" s="44" t="str">
        <x:v>Total Debt</x:v>
      </x:c>
      <x:c r="B12" s="45" t="n">
        <x:f>SUM(B8,B11)</x:f>
        <x:v>3195</x:v>
      </x:c>
      <x:c r="C12" s="45" t="n">
        <x:f>SUM(C8,C11)</x:f>
        <x:v>2808.66912</x:v>
      </x:c>
      <x:c r="D12" s="45" t="n">
        <x:f>SUM(D8,D11)</x:f>
        <x:v>2387.5330175999998</x:v>
      </x:c>
      <x:c r="E12" s="45" t="n">
        <x:f>SUM(E8,E11)</x:f>
        <x:v>1943.48170496</x:v>
      </x:c>
      <x:c r="F12" s="45" t="n">
        <x:f>SUM(F8,F11)</x:f>
        <x:v>1469.3403253145602</x:v>
      </x:c>
      <x:c r="G12" s="45" t="n">
        <x:f>SUM(G8,G11)</x:f>
        <x:v>972.1019121439233</x:v>
      </x:c>
    </x:row>
    <x:row r="13">
      <x:c r="A13" t="str">
        <x:v>Average Term Loan</x:v>
      </x:c>
      <x:c r="B13" s="40" t="n">
        <x:f>B8</x:f>
        <x:v>2485</x:v>
      </x:c>
      <x:c r="C13" s="40" t="n">
        <x:f>AVERAGE(C5,C8)</x:f>
        <x:v>2291.8345600000002</x:v>
      </x:c>
      <x:c r="D13" s="40" t="n">
        <x:f>AVERAGE(D5,D8)</x:f>
        <x:v>1888.1010688</x:v>
      </x:c>
      <x:c r="E13" s="40" t="n">
        <x:f>AVERAGE(E5,E8)</x:f>
        <x:v>1455.5073612799997</x:v>
      </x:c>
      <x:c r="F13" s="40" t="n">
        <x:f>AVERAGE(F5,F8)</x:f>
        <x:v>996.41101513728</x:v>
      </x:c>
      <x:c r="G13" s="40" t="n">
        <x:f>AVERAGE(G5,G8)</x:f>
        <x:v>510.7211187292417</x:v>
      </x:c>
    </x:row>
    <x:row r="14">
      <x:c r="A14" t="str">
        <x:v>Average Second Lien</x:v>
      </x:c>
      <x:c r="B14" s="40" t="n">
        <x:f>B11</x:f>
        <x:v>710</x:v>
      </x:c>
      <x:c r="C14" s="40" t="n">
        <x:f>AVERAGE(C9,C11)</x:f>
        <x:v>710</x:v>
      </x:c>
      <x:c r="D14" s="40" t="n">
        <x:f>AVERAGE(D9,D11)</x:f>
        <x:v>710</x:v>
      </x:c>
      <x:c r="E14" s="40" t="n">
        <x:f>AVERAGE(E9,E11)</x:f>
        <x:v>710</x:v>
      </x:c>
      <x:c r="F14" s="40" t="n">
        <x:f>AVERAGE(F9,F11)</x:f>
        <x:v>710</x:v>
      </x:c>
      <x:c r="G14" s="40" t="n">
        <x:f>AVERAGE(G9,G11)</x:f>
        <x:v>710</x:v>
      </x:c>
    </x:row>
    <x:row r="15">
      <x:c r="A15" t="str">
        <x:v>Term Loan Interest</x:v>
      </x:c>
      <x:c r="B15" s="40" t="n">
        <x:f>B13*Assumptions!B22</x:f>
        <x:v>186.375</x:v>
      </x:c>
      <x:c r="C15" s="40" t="n">
        <x:f>C13*Assumptions!B22</x:f>
        <x:v>171.887592</x:v>
      </x:c>
      <x:c r="D15" s="40" t="n">
        <x:f>D13*Assumptions!B22</x:f>
        <x:v>141.60758016</x:v>
      </x:c>
      <x:c r="E15" s="40" t="n">
        <x:f>E13*Assumptions!B22</x:f>
        <x:v>109.16305209599997</x:v>
      </x:c>
      <x:c r="F15" s="40" t="n">
        <x:f>F13*Assumptions!B22</x:f>
        <x:v>74.730826135296</x:v>
      </x:c>
      <x:c r="G15" s="40" t="n">
        <x:f>G13*Assumptions!B22</x:f>
        <x:v>38.30408390469313</x:v>
      </x:c>
    </x:row>
    <x:row r="16">
      <x:c r="A16" t="str">
        <x:v>Second Lien Interest</x:v>
      </x:c>
      <x:c r="B16" s="40" t="n">
        <x:f>B14*Assumptions!B23</x:f>
        <x:v>67.45</x:v>
      </x:c>
      <x:c r="C16" s="40" t="n">
        <x:f>C14*Assumptions!B23</x:f>
        <x:v>67.45</x:v>
      </x:c>
      <x:c r="D16" s="40" t="n">
        <x:f>D14*Assumptions!B23</x:f>
        <x:v>67.45</x:v>
      </x:c>
      <x:c r="E16" s="40" t="n">
        <x:f>E14*Assumptions!B23</x:f>
        <x:v>67.45</x:v>
      </x:c>
      <x:c r="F16" s="40" t="n">
        <x:f>F14*Assumptions!B23</x:f>
        <x:v>67.45</x:v>
      </x:c>
      <x:c r="G16" s="40" t="n">
        <x:f>G14*Assumptions!B23</x:f>
        <x:v>67.45</x:v>
      </x:c>
    </x:row>
    <x:row r="17">
      <x:c r="A17" s="44" t="str">
        <x:v>Total Cash Interest</x:v>
      </x:c>
      <x:c r="B17" s="45" t="n">
        <x:f>SUM(B15:B16)</x:f>
        <x:v>253.825</x:v>
      </x:c>
      <x:c r="C17" s="45" t="n">
        <x:f>SUM(C15:C16)</x:f>
        <x:v>239.33759200000003</x:v>
      </x:c>
      <x:c r="D17" s="45" t="n">
        <x:f>SUM(D15:D16)</x:f>
        <x:v>209.05758016</x:v>
      </x:c>
      <x:c r="E17" s="45" t="n">
        <x:f>SUM(E15:E16)</x:f>
        <x:v>176.613052096</x:v>
      </x:c>
      <x:c r="F17" s="45" t="n">
        <x:f>SUM(F15:F16)</x:f>
        <x:v>142.180826135296</x:v>
      </x:c>
      <x:c r="G17" s="45" t="n">
        <x:f>SUM(G15:G16)</x:f>
        <x:v>105.75408390469313</x:v>
      </x:c>
    </x:row>
  </x:sheetData>
  <x:mergeCells>
    <x:mergeCell ref="A1:H1"/>
  </x:mergeCells>
  <x:pageMargins left="0.7" right="0.7" top="0.75" bottom="0.75" header="0.3" footer="0.3"/>
</x:worksheet>
</file>

<file path=xl/worksheets/sheet6.xml><?xml version="1.0" encoding="utf-8"?>
<x:worksheet xmlns:x="http://schemas.openxmlformats.org/spreadsheetml/2006/main">
  <x:sheetFormatPr defaultRowHeight="15"/>
  <x:cols>
    <x:col min="1" max="1" width="32" hidden="0" customWidth="1"/>
    <x:col min="2" max="2" width="35" hidden="0" customWidth="1"/>
    <x:col min="3" max="3" width="5" hidden="0" customWidth="1"/>
    <x:col min="4" max="4" width="18" hidden="0" customWidth="1"/>
    <x:col min="5" max="5" width="18" hidden="0" customWidth="1"/>
    <x:col min="6" max="6" width="18" hidden="0" customWidth="1"/>
  </x:cols>
  <x:sheetData>
    <x:row r="1" ht="27" customHeight="1">
      <x:c r="A1" s="3" t="str">
        <x:v>Sponsor Returns Analysis</x:v>
      </x:c>
      <x:c r="B1" s="3"/>
      <x:c r="C1" s="3"/>
      <x:c r="D1" s="3"/>
      <x:c r="E1" s="3"/>
      <x:c r="F1" s="3"/>
    </x:row>
    <x:row r="3">
      <x:c r="A3" s="9" t="str">
        <x:v>Exit Analysis</x:v>
      </x:c>
      <x:c r="B3" s="9"/>
      <x:c r="C3" s="9"/>
      <x:c r="D3" s="9"/>
      <x:c r="E3" s="9"/>
      <x:c r="F3" s="9"/>
    </x:row>
    <x:row r="4">
      <x:c r="A4" t="str">
        <x:v>Exit Year EBITDA</x:v>
      </x:c>
      <x:c r="B4" s="40" t="n">
        <x:f>'Operating Model'!G7</x:f>
        <x:v>915.4251584524799</x:v>
      </x:c>
    </x:row>
    <x:row r="5">
      <x:c r="A5" t="str">
        <x:v>Exit Multiple</x:v>
      </x:c>
      <x:c r="B5" s="48" t="n">
        <x:f>Assumptions!B27</x:f>
        <x:v>6</x:v>
      </x:c>
    </x:row>
    <x:row r="6">
      <x:c r="A6" t="str">
        <x:v>Exit Enterprise Value</x:v>
      </x:c>
      <x:c r="B6" s="40" t="n">
        <x:f>B4*B5</x:f>
        <x:v>5492.550950714879</x:v>
      </x:c>
    </x:row>
    <x:row r="7">
      <x:c r="A7" t="str">
        <x:v>Less: Exit Debt</x:v>
      </x:c>
      <x:c r="B7" s="40" t="n">
        <x:f>'Debt Schedule'!G12</x:f>
        <x:v>972.1019121439233</x:v>
      </x:c>
    </x:row>
    <x:row r="8">
      <x:c r="A8" t="str">
        <x:v>Plus: Cash / Excess Cash</x:v>
      </x:c>
      <x:c r="B8" s="40" t="n">
        <x:v>150</x:v>
      </x:c>
    </x:row>
    <x:row r="9">
      <x:c r="A9" t="str">
        <x:v>Sponsor Exit Equity Value</x:v>
      </x:c>
      <x:c r="B9" s="40" t="n">
        <x:f>B6-B7+B8</x:f>
        <x:v>4670.449038570956</x:v>
      </x:c>
    </x:row>
    <x:row r="10">
      <x:c r="A10" t="str">
        <x:v>Initial Sponsor Equity</x:v>
      </x:c>
      <x:c r="B10" s="40" t="n">
        <x:f>'Sources &amp; Uses'!B26</x:f>
        <x:v>1630.3499999999995</x:v>
      </x:c>
    </x:row>
    <x:row r="11">
      <x:c r="A11" s="56" t="str">
        <x:v>MOIC</x:v>
      </x:c>
      <x:c r="B11" s="57" t="n">
        <x:f>B9/B10</x:f>
        <x:v>2.864691040924315</x:v>
      </x:c>
    </x:row>
    <x:row r="12">
      <x:c r="A12" s="56" t="str">
        <x:v>Hold Period (Years)</x:v>
      </x:c>
      <x:c r="B12" s="58" t="n">
        <x:f>Assumptions!B28</x:f>
        <x:v>5</x:v>
      </x:c>
    </x:row>
    <x:row r="13">
      <x:c r="A13" s="56" t="str">
        <x:v>IRR</x:v>
      </x:c>
      <x:c r="B13" s="59" t="n">
        <x:f>B11^(1/B12)-1</x:f>
        <x:v>0.23428530362151712</x:v>
      </x:c>
    </x:row>
    <x:row r="14">
      <x:c r="A14" t="str">
        <x:v>Debt Paydown</x:v>
      </x:c>
      <x:c r="B14" s="40" t="n">
        <x:f>'Debt Schedule'!B12-'Debt Schedule'!G12</x:f>
        <x:v>2222.898087856077</x:v>
      </x:c>
    </x:row>
    <x:row r="15">
      <x:c r="A15" t="str">
        <x:v>EBITDA Growth Contribution</x:v>
      </x:c>
      <x:c r="B15" s="40" t="n">
        <x:f>B4-Assumptions!B12</x:f>
        <x:v>205.42515845247988</x:v>
      </x:c>
    </x:row>
    <x:row r="17">
      <x:c r="A17" s="9" t="str">
        <x:v>Return Drivers</x:v>
      </x:c>
      <x:c r="B17" s="9"/>
      <x:c r="C17" s="9"/>
      <x:c r="D17" s="9"/>
      <x:c r="E17" s="9"/>
      <x:c r="F17" s="9"/>
    </x:row>
    <x:row r="18">
      <x:c r="A18" s="13" t="str">
        <x:v>Driver</x:v>
      </x:c>
      <x:c r="B18" s="13" t="str">
        <x:v>Interpretation</x:v>
      </x:c>
    </x:row>
    <x:row r="19">
      <x:c r="A19" t="str">
        <x:v>Entry Multiple</x:v>
      </x:c>
      <x:c r="B19" s="68" t="str">
        <x:v>25% premium implies a higher acquisition multiple than unaffected trading.</x:v>
      </x:c>
    </x:row>
    <x:row r="20">
      <x:c r="A20" t="str">
        <x:v>Operational Growth</x:v>
      </x:c>
      <x:c r="B20" s="68" t="str">
        <x:v>Store expansion, e-commerce growth and modest margin improvement grow EBITDA.</x:v>
      </x:c>
    </x:row>
    <x:row r="21">
      <x:c r="A21" t="str">
        <x:v>Deleveraging</x:v>
      </x:c>
      <x:c r="B21" s="68" t="str">
        <x:v>Free cash flow is swept to debt, increasing sponsor equity value over the hold.</x:v>
      </x:c>
    </x:row>
  </x:sheetData>
  <x:mergeCells>
    <x:mergeCell ref="A1:F1"/>
    <x:mergeCell ref="A3:F3"/>
    <x:mergeCell ref="A17:F17"/>
  </x:mergeCells>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15" hidden="0" customWidth="1"/>
    <x:col min="3" max="3" width="15" hidden="0" customWidth="1"/>
    <x:col min="4" max="4" width="15" hidden="0" customWidth="1"/>
    <x:col min="5" max="5" width="15" hidden="0" customWidth="1"/>
    <x:col min="6" max="6" width="15" hidden="0" customWidth="1"/>
    <x:col min="7" max="7" width="5" hidden="0" customWidth="1"/>
    <x:col min="8" max="8" width="5" hidden="0" customWidth="1"/>
  </x:cols>
  <x:sheetData>
    <x:row r="1" ht="27" customHeight="1">
      <x:c r="A1" s="3" t="str">
        <x:v>LBO Returns Sensitivity</x:v>
      </x:c>
      <x:c r="B1" s="3"/>
      <x:c r="C1" s="3"/>
      <x:c r="D1" s="3"/>
      <x:c r="E1" s="3"/>
      <x:c r="F1" s="3"/>
      <x:c r="G1" s="3"/>
      <x:c r="H1" s="3"/>
    </x:row>
    <x:row r="3">
      <x:c r="A3" s="9" t="str">
        <x:v>5-Year IRR Sensitivity — Entry Premium vs. Exit Multiple</x:v>
      </x:c>
      <x:c r="B3" s="9"/>
      <x:c r="C3" s="9"/>
      <x:c r="D3" s="9"/>
      <x:c r="E3" s="9"/>
      <x:c r="F3" s="9"/>
      <x:c r="G3" s="9"/>
      <x:c r="H3" s="9"/>
    </x:row>
    <x:row r="5">
      <x:c r="A5" s="13" t="str">
        <x:v>Exit Multiple \ Premium</x:v>
      </x:c>
      <x:c r="B5" s="71" t="n">
        <x:v>0.15</x:v>
      </x:c>
      <x:c r="C5" s="71" t="n">
        <x:v>0.2</x:v>
      </x:c>
      <x:c r="D5" s="71" t="n">
        <x:v>0.25</x:v>
      </x:c>
      <x:c r="E5" s="71" t="n">
        <x:v>0.3</x:v>
      </x:c>
      <x:c r="F5" s="71" t="n">
        <x:v>0.35</x:v>
      </x:c>
    </x:row>
    <x:row r="6">
      <x:c r="A6" s="48" t="n">
        <x:v>5</x:v>
      </x:c>
      <x:c r="B6" s="28" t="n">
        <x:f>(((('Operating Model'!$G$7*$A6)-'Debt Schedule'!$G$12+150)/(((Assumptions!$B$6*(1+B$5)*Assumptions!$B$8)+Assumptions!$B$9+Assumptions!$B$13+((Assumptions!$B$20+Assumptions!$B$21)*Assumptions!$B$12*Assumptions!$B$14))-('Sources &amp; Uses'!$B$24+'Sources &amp; Uses'!$B$25)))^(1/Assumptions!$B$28))-1</x:f>
        <x:v>0.23705824317303037</x:v>
      </x:c>
      <x:c r="C6" s="28" t="n">
        <x:f>(((('Operating Model'!$G$7*$A6)-'Debt Schedule'!$G$12+150)/(((Assumptions!$B$6*(1+C$5)*Assumptions!$B$8)+Assumptions!$B$9+Assumptions!$B$13+((Assumptions!$B$20+Assumptions!$B$21)*Assumptions!$B$12*Assumptions!$B$14))-('Sources &amp; Uses'!$B$24+'Sources &amp; Uses'!$B$25)))^(1/Assumptions!$B$28))-1</x:f>
        <x:v>0.20741965290810827</x:v>
      </x:c>
      <x:c r="D6" s="28" t="n">
        <x:f>(((('Operating Model'!$G$7*$A6)-'Debt Schedule'!$G$12+150)/(((Assumptions!$B$6*(1+D$5)*Assumptions!$B$8)+Assumptions!$B$9+Assumptions!$B$13+((Assumptions!$B$20+Assumptions!$B$21)*Assumptions!$B$12*Assumptions!$B$14))-('Sources &amp; Uses'!$B$24+'Sources &amp; Uses'!$B$25)))^(1/Assumptions!$B$28))-1</x:f>
        <x:v>0.18158881452580933</x:v>
      </x:c>
      <x:c r="E6" s="28" t="n">
        <x:f>(((('Operating Model'!$G$7*$A6)-'Debt Schedule'!$G$12+150)/(((Assumptions!$B$6*(1+E$5)*Assumptions!$B$8)+Assumptions!$B$9+Assumptions!$B$13+((Assumptions!$B$20+Assumptions!$B$21)*Assumptions!$B$12*Assumptions!$B$14))-('Sources &amp; Uses'!$B$24+'Sources &amp; Uses'!$B$25)))^(1/Assumptions!$B$28))-1</x:f>
        <x:v>0.15875510428100537</x:v>
      </x:c>
      <x:c r="F6" s="28" t="n">
        <x:f>(((('Operating Model'!$G$7*$A6)-'Debt Schedule'!$G$12+150)/(((Assumptions!$B$6*(1+F$5)*Assumptions!$B$8)+Assumptions!$B$9+Assumptions!$B$13+((Assumptions!$B$20+Assumptions!$B$21)*Assumptions!$B$12*Assumptions!$B$14))-('Sources &amp; Uses'!$B$24+'Sources &amp; Uses'!$B$25)))^(1/Assumptions!$B$28))-1</x:f>
        <x:v>0.1383368831206615</x:v>
      </x:c>
    </x:row>
    <x:row r="7">
      <x:c r="A7" s="48" t="n">
        <x:v>5.5</x:v>
      </x:c>
      <x:c r="B7" s="28" t="n">
        <x:f>(((('Operating Model'!$G$7*$A7)-'Debt Schedule'!$G$12+150)/(((Assumptions!$B$6*(1+B$5)*Assumptions!$B$8)+Assumptions!$B$9+Assumptions!$B$13+((Assumptions!$B$20+Assumptions!$B$21)*Assumptions!$B$12*Assumptions!$B$14))-('Sources &amp; Uses'!$B$24+'Sources &amp; Uses'!$B$25)))^(1/Assumptions!$B$28))-1</x:f>
        <x:v>0.26584480958722634</x:v>
      </x:c>
      <x:c r="C7" s="28" t="n">
        <x:f>(((('Operating Model'!$G$7*$A7)-'Debt Schedule'!$G$12+150)/(((Assumptions!$B$6*(1+C$5)*Assumptions!$B$8)+Assumptions!$B$9+Assumptions!$B$13+((Assumptions!$B$20+Assumptions!$B$21)*Assumptions!$B$12*Assumptions!$B$14))-('Sources &amp; Uses'!$B$24+'Sources &amp; Uses'!$B$25)))^(1/Assumptions!$B$28))-1</x:f>
        <x:v>0.23551652402962642</x:v>
      </x:c>
      <x:c r="D7" s="28" t="n">
        <x:f>(((('Operating Model'!$G$7*$A7)-'Debt Schedule'!$G$12+150)/(((Assumptions!$B$6*(1+D$5)*Assumptions!$B$8)+Assumptions!$B$9+Assumptions!$B$13+((Assumptions!$B$20+Assumptions!$B$21)*Assumptions!$B$12*Assumptions!$B$14))-('Sources &amp; Uses'!$B$24+'Sources &amp; Uses'!$B$25)))^(1/Assumptions!$B$28))-1</x:f>
        <x:v>0.20908459742150654</x:v>
      </x:c>
      <x:c r="E7" s="28" t="n">
        <x:f>(((('Operating Model'!$G$7*$A7)-'Debt Schedule'!$G$12+150)/(((Assumptions!$B$6*(1+E$5)*Assumptions!$B$8)+Assumptions!$B$9+Assumptions!$B$13+((Assumptions!$B$20+Assumptions!$B$21)*Assumptions!$B$12*Assumptions!$B$14))-('Sources &amp; Uses'!$B$24+'Sources &amp; Uses'!$B$25)))^(1/Assumptions!$B$28))-1</x:f>
        <x:v>0.18571954265830803</x:v>
      </x:c>
      <x:c r="F7" s="28" t="n">
        <x:f>(((('Operating Model'!$G$7*$A7)-'Debt Schedule'!$G$12+150)/(((Assumptions!$B$6*(1+F$5)*Assumptions!$B$8)+Assumptions!$B$9+Assumptions!$B$13+((Assumptions!$B$20+Assumptions!$B$21)*Assumptions!$B$12*Assumptions!$B$14))-('Sources &amp; Uses'!$B$24+'Sources &amp; Uses'!$B$25)))^(1/Assumptions!$B$28))-1</x:f>
        <x:v>0.16482618584227815</x:v>
      </x:c>
    </x:row>
    <x:row r="8">
      <x:c r="A8" s="48" t="n">
        <x:v>6</x:v>
      </x:c>
      <x:c r="B8" s="28" t="n">
        <x:f>(((('Operating Model'!$G$7*$A8)-'Debt Schedule'!$G$12+150)/(((Assumptions!$B$6*(1+B$5)*Assumptions!$B$8)+Assumptions!$B$9+Assumptions!$B$13+((Assumptions!$B$20+Assumptions!$B$21)*Assumptions!$B$12*Assumptions!$B$14))-('Sources &amp; Uses'!$B$24+'Sources &amp; Uses'!$B$25)))^(1/Assumptions!$B$28))-1</x:f>
        <x:v>0.2922285574318737</x:v>
      </x:c>
      <x:c r="C8" s="28" t="n">
        <x:f>(((('Operating Model'!$G$7*$A8)-'Debt Schedule'!$G$12+150)/(((Assumptions!$B$6*(1+C$5)*Assumptions!$B$8)+Assumptions!$B$9+Assumptions!$B$13+((Assumptions!$B$20+Assumptions!$B$21)*Assumptions!$B$12*Assumptions!$B$14))-('Sources &amp; Uses'!$B$24+'Sources &amp; Uses'!$B$25)))^(1/Assumptions!$B$28))-1</x:f>
        <x:v>0.2612681455404202</x:v>
      </x:c>
      <x:c r="D8" s="28" t="n">
        <x:f>(((('Operating Model'!$G$7*$A8)-'Debt Schedule'!$G$12+150)/(((Assumptions!$B$6*(1+D$5)*Assumptions!$B$8)+Assumptions!$B$9+Assumptions!$B$13+((Assumptions!$B$20+Assumptions!$B$21)*Assumptions!$B$12*Assumptions!$B$14))-('Sources &amp; Uses'!$B$24+'Sources &amp; Uses'!$B$25)))^(1/Assumptions!$B$28))-1</x:f>
        <x:v>0.23428530362151712</x:v>
      </x:c>
      <x:c r="E8" s="28" t="n">
        <x:f>(((('Operating Model'!$G$7*$A8)-'Debt Schedule'!$G$12+150)/(((Assumptions!$B$6*(1+E$5)*Assumptions!$B$8)+Assumptions!$B$9+Assumptions!$B$13+((Assumptions!$B$20+Assumptions!$B$21)*Assumptions!$B$12*Assumptions!$B$14))-('Sources &amp; Uses'!$B$24+'Sources &amp; Uses'!$B$25)))^(1/Assumptions!$B$28))-1</x:f>
        <x:v>0.21043325573832505</x:v>
      </x:c>
      <x:c r="F8" s="28" t="n">
        <x:f>(((('Operating Model'!$G$7*$A8)-'Debt Schedule'!$G$12+150)/(((Assumptions!$B$6*(1+F$5)*Assumptions!$B$8)+Assumptions!$B$9+Assumptions!$B$13+((Assumptions!$B$20+Assumptions!$B$21)*Assumptions!$B$12*Assumptions!$B$14))-('Sources &amp; Uses'!$B$24+'Sources &amp; Uses'!$B$25)))^(1/Assumptions!$B$28))-1</x:f>
        <x:v>0.1891044229036809</x:v>
      </x:c>
    </x:row>
    <x:row r="9">
      <x:c r="A9" s="48" t="n">
        <x:v>6.5</x:v>
      </x:c>
      <x:c r="B9" s="28" t="n">
        <x:f>(((('Operating Model'!$G$7*$A9)-'Debt Schedule'!$G$12+150)/(((Assumptions!$B$6*(1+B$5)*Assumptions!$B$8)+Assumptions!$B$9+Assumptions!$B$13+((Assumptions!$B$20+Assumptions!$B$21)*Assumptions!$B$12*Assumptions!$B$14))-('Sources &amp; Uses'!$B$24+'Sources &amp; Uses'!$B$25)))^(1/Assumptions!$B$28))-1</x:f>
        <x:v>0.31661848346306276</x:v>
      </x:c>
      <x:c r="C9" s="28" t="n">
        <x:f>(((('Operating Model'!$G$7*$A9)-'Debt Schedule'!$G$12+150)/(((Assumptions!$B$6*(1+C$5)*Assumptions!$B$8)+Assumptions!$B$9+Assumptions!$B$13+((Assumptions!$B$20+Assumptions!$B$21)*Assumptions!$B$12*Assumptions!$B$14))-('Sources &amp; Uses'!$B$24+'Sources &amp; Uses'!$B$25)))^(1/Assumptions!$B$28))-1</x:f>
        <x:v>0.28507371507245516</x:v>
      </x:c>
      <x:c r="D9" s="28" t="n">
        <x:f>(((('Operating Model'!$G$7*$A9)-'Debt Schedule'!$G$12+150)/(((Assumptions!$B$6*(1+D$5)*Assumptions!$B$8)+Assumptions!$B$9+Assumptions!$B$13+((Assumptions!$B$20+Assumptions!$B$21)*Assumptions!$B$12*Assumptions!$B$14))-('Sources &amp; Uses'!$B$24+'Sources &amp; Uses'!$B$25)))^(1/Assumptions!$B$28))-1</x:f>
        <x:v>0.2575815905543335</x:v>
      </x:c>
      <x:c r="E9" s="28" t="n">
        <x:f>(((('Operating Model'!$G$7*$A9)-'Debt Schedule'!$G$12+150)/(((Assumptions!$B$6*(1+E$5)*Assumptions!$B$8)+Assumptions!$B$9+Assumptions!$B$13+((Assumptions!$B$20+Assumptions!$B$21)*Assumptions!$B$12*Assumptions!$B$14))-('Sources &amp; Uses'!$B$24+'Sources &amp; Uses'!$B$25)))^(1/Assumptions!$B$28))-1</x:f>
        <x:v>0.2332793516579359</x:v>
      </x:c>
      <x:c r="F9" s="28" t="n">
        <x:f>(((('Operating Model'!$G$7*$A9)-'Debt Schedule'!$G$12+150)/(((Assumptions!$B$6*(1+F$5)*Assumptions!$B$8)+Assumptions!$B$9+Assumptions!$B$13+((Assumptions!$B$20+Assumptions!$B$21)*Assumptions!$B$12*Assumptions!$B$14))-('Sources &amp; Uses'!$B$24+'Sources &amp; Uses'!$B$25)))^(1/Assumptions!$B$28))-1</x:f>
        <x:v>0.21154795176023122</x:v>
      </x:c>
    </x:row>
    <x:row r="10">
      <x:c r="A10" s="48" t="n">
        <x:v>7</x:v>
      </x:c>
      <x:c r="B10" s="28" t="n">
        <x:f>(((('Operating Model'!$G$7*$A10)-'Debt Schedule'!$G$12+150)/(((Assumptions!$B$6*(1+B$5)*Assumptions!$B$8)+Assumptions!$B$9+Assumptions!$B$13+((Assumptions!$B$20+Assumptions!$B$21)*Assumptions!$B$12*Assumptions!$B$14))-('Sources &amp; Uses'!$B$24+'Sources &amp; Uses'!$B$25)))^(1/Assumptions!$B$28))-1</x:f>
        <x:v>0.3393245728788119</x:v>
      </x:c>
      <x:c r="C10" s="28" t="n">
        <x:f>(((('Operating Model'!$G$7*$A10)-'Debt Schedule'!$G$12+150)/(((Assumptions!$B$6*(1+C$5)*Assumptions!$B$8)+Assumptions!$B$9+Assumptions!$B$13+((Assumptions!$B$20+Assumptions!$B$21)*Assumptions!$B$12*Assumptions!$B$14))-('Sources &amp; Uses'!$B$24+'Sources &amp; Uses'!$B$25)))^(1/Assumptions!$B$28))-1</x:f>
        <x:v>0.3072357909104879</x:v>
      </x:c>
      <x:c r="D10" s="28" t="n">
        <x:f>(((('Operating Model'!$G$7*$A10)-'Debt Schedule'!$G$12+150)/(((Assumptions!$B$6*(1+D$5)*Assumptions!$B$8)+Assumptions!$B$9+Assumptions!$B$13+((Assumptions!$B$20+Assumptions!$B$21)*Assumptions!$B$12*Assumptions!$B$14))-('Sources &amp; Uses'!$B$24+'Sources &amp; Uses'!$B$25)))^(1/Assumptions!$B$28))-1</x:f>
        <x:v>0.2792695437475927</x:v>
      </x:c>
      <x:c r="E10" s="28" t="n">
        <x:f>(((('Operating Model'!$G$7*$A10)-'Debt Schedule'!$G$12+150)/(((Assumptions!$B$6*(1+E$5)*Assumptions!$B$8)+Assumptions!$B$9+Assumptions!$B$13+((Assumptions!$B$20+Assumptions!$B$21)*Assumptions!$B$12*Assumptions!$B$14))-('Sources &amp; Uses'!$B$24+'Sources &amp; Uses'!$B$25)))^(1/Assumptions!$B$28))-1</x:f>
        <x:v>0.25454819421564245</x:v>
      </x:c>
      <x:c r="F10" s="28" t="n">
        <x:f>(((('Operating Model'!$G$7*$A10)-'Debt Schedule'!$G$12+150)/(((Assumptions!$B$6*(1+F$5)*Assumptions!$B$8)+Assumptions!$B$9+Assumptions!$B$13+((Assumptions!$B$20+Assumptions!$B$21)*Assumptions!$B$12*Assumptions!$B$14))-('Sources &amp; Uses'!$B$24+'Sources &amp; Uses'!$B$25)))^(1/Assumptions!$B$28))-1</x:f>
        <x:v>0.2324420197606878</x:v>
      </x:c>
    </x:row>
    <x:row r="13">
      <x:c r="A13" s="9" t="str">
        <x:v>MOIC Sensitivity — Exit Multiple vs. EBITDA Growth</x:v>
      </x:c>
      <x:c r="B13" s="9"/>
      <x:c r="C13" s="9"/>
      <x:c r="D13" s="9"/>
      <x:c r="E13" s="9"/>
      <x:c r="F13" s="9"/>
      <x:c r="G13" s="9"/>
      <x:c r="H13" s="9"/>
    </x:row>
    <x:row r="15">
      <x:c r="A15" s="13" t="str">
        <x:v>Exit Multiple \ EBITDA CAGR</x:v>
      </x:c>
      <x:c r="B15" s="71" t="n">
        <x:v>0.01</x:v>
      </x:c>
      <x:c r="C15" s="71" t="n">
        <x:v>0.03</x:v>
      </x:c>
      <x:c r="D15" s="71" t="n">
        <x:v>0.05</x:v>
      </x:c>
      <x:c r="E15" s="71" t="n">
        <x:v>0.07</x:v>
      </x:c>
      <x:c r="F15" s="71" t="n">
        <x:v>0.09</x:v>
      </x:c>
    </x:row>
    <x:row r="16">
      <x:c r="A16" s="48" t="n">
        <x:v>5</x:v>
      </x:c>
      <x:c r="B16" s="48" t="n">
        <x:f>(((Assumptions!$B$12*(1+B$15)^5)*$A16)-'Debt Schedule'!$G$12+150)/'Sources &amp; Uses'!$B$26</x:f>
        <x:v>1.7842694916496933</x:v>
      </x:c>
      <x:c r="C16" s="48" t="n">
        <x:f>(((Assumptions!$B$12*(1+C$15)^5)*$A16)-'Debt Schedule'!$G$12+150)/'Sources &amp; Uses'!$B$26</x:f>
        <x:v>2.0200086187757704</x:v>
      </x:c>
      <x:c r="D16" s="48" t="n">
        <x:f>(((Assumptions!$B$12*(1+D$15)^5)*$A16)-'Debt Schedule'!$G$12+150)/'Sources &amp; Uses'!$B$26</x:f>
        <x:v>2.2747861715159803</x:v>
      </x:c>
      <x:c r="E16" s="48" t="n">
        <x:f>(((Assumptions!$B$12*(1+E$15)^5)*$A16)-'Debt Schedule'!$G$12+150)/'Sources &amp; Uses'!$B$26</x:f>
        <x:v>2.5497327149637066</x:v>
      </x:c>
      <x:c r="F16" s="48" t="n">
        <x:f>(((Assumptions!$B$12*(1+F$15)^5)*$A16)-'Debt Schedule'!$G$12+150)/'Sources &amp; Uses'!$B$26</x:f>
        <x:v>2.846022711534996</x:v>
      </x:c>
    </x:row>
    <x:row r="17">
      <x:c r="A17" s="48" t="n">
        <x:v>5.5</x:v>
      </x:c>
      <x:c r="B17" s="48" t="n">
        <x:f>(((Assumptions!$B$12*(1+B$15)^5)*$A17)-'Debt Schedule'!$G$12+150)/'Sources &amp; Uses'!$B$26</x:f>
        <x:v>2.0131213135195374</x:v>
      </x:c>
      <x:c r="C17" s="48" t="n">
        <x:f>(((Assumptions!$B$12*(1+C$15)^5)*$A17)-'Debt Schedule'!$G$12+150)/'Sources &amp; Uses'!$B$26</x:f>
        <x:v>2.2724343533582227</x:v>
      </x:c>
      <x:c r="D17" s="48" t="n">
        <x:f>(((Assumptions!$B$12*(1+D$15)^5)*$A17)-'Debt Schedule'!$G$12+150)/'Sources &amp; Uses'!$B$26</x:f>
        <x:v>2.552689661372453</x:v>
      </x:c>
      <x:c r="E17" s="48" t="n">
        <x:f>(((Assumptions!$B$12*(1+E$15)^5)*$A17)-'Debt Schedule'!$G$12+150)/'Sources &amp; Uses'!$B$26</x:f>
        <x:v>2.8551308591649516</x:v>
      </x:c>
      <x:c r="F17" s="48" t="n">
        <x:f>(((Assumptions!$B$12*(1+F$15)^5)*$A17)-'Debt Schedule'!$G$12+150)/'Sources &amp; Uses'!$B$26</x:f>
        <x:v>3.1810498553933706</x:v>
      </x:c>
    </x:row>
    <x:row r="18">
      <x:c r="A18" s="48" t="n">
        <x:v>6</x:v>
      </x:c>
      <x:c r="B18" s="48" t="n">
        <x:f>(((Assumptions!$B$12*(1+B$15)^5)*$A18)-'Debt Schedule'!$G$12+150)/'Sources &amp; Uses'!$B$26</x:f>
        <x:v>2.2419731353893817</x:v>
      </x:c>
      <x:c r="C18" s="48" t="n">
        <x:f>(((Assumptions!$B$12*(1+C$15)^5)*$A18)-'Debt Schedule'!$G$12+150)/'Sources &amp; Uses'!$B$26</x:f>
        <x:v>2.524860087940674</x:v>
      </x:c>
      <x:c r="D18" s="48" t="n">
        <x:f>(((Assumptions!$B$12*(1+D$15)^5)*$A18)-'Debt Schedule'!$G$12+150)/'Sources &amp; Uses'!$B$26</x:f>
        <x:v>2.8305931512289257</x:v>
      </x:c>
      <x:c r="E18" s="48" t="n">
        <x:f>(((Assumptions!$B$12*(1+E$15)^5)*$A18)-'Debt Schedule'!$G$12+150)/'Sources &amp; Uses'!$B$26</x:f>
        <x:v>3.1605290033661975</x:v>
      </x:c>
      <x:c r="F18" s="48" t="n">
        <x:f>(((Assumptions!$B$12*(1+F$15)^5)*$A18)-'Debt Schedule'!$G$12+150)/'Sources &amp; Uses'!$B$26</x:f>
        <x:v>3.5160769992517444</x:v>
      </x:c>
    </x:row>
    <x:row r="19">
      <x:c r="A19" s="48" t="n">
        <x:v>6.5</x:v>
      </x:c>
      <x:c r="B19" s="48" t="n">
        <x:f>(((Assumptions!$B$12*(1+B$15)^5)*$A19)-'Debt Schedule'!$G$12+150)/'Sources &amp; Uses'!$B$26</x:f>
        <x:v>2.4708249572592256</x:v>
      </x:c>
      <x:c r="C19" s="48" t="n">
        <x:f>(((Assumptions!$B$12*(1+C$15)^5)*$A19)-'Debt Schedule'!$G$12+150)/'Sources &amp; Uses'!$B$26</x:f>
        <x:v>2.7772858225231256</x:v>
      </x:c>
      <x:c r="D19" s="48" t="n">
        <x:f>(((Assumptions!$B$12*(1+D$15)^5)*$A19)-'Debt Schedule'!$G$12+150)/'Sources &amp; Uses'!$B$26</x:f>
        <x:v>3.1084966410853987</x:v>
      </x:c>
      <x:c r="E19" s="48" t="n">
        <x:f>(((Assumptions!$B$12*(1+E$15)^5)*$A19)-'Debt Schedule'!$G$12+150)/'Sources &amp; Uses'!$B$26</x:f>
        <x:v>3.4659271475674425</x:v>
      </x:c>
      <x:c r="F19" s="48" t="n">
        <x:f>(((Assumptions!$B$12*(1+F$15)^5)*$A19)-'Debt Schedule'!$G$12+150)/'Sources &amp; Uses'!$B$26</x:f>
        <x:v>3.8511041431101183</x:v>
      </x:c>
    </x:row>
    <x:row r="20">
      <x:c r="A20" s="48" t="n">
        <x:v>7</x:v>
      </x:c>
      <x:c r="B20" s="48" t="n">
        <x:f>(((Assumptions!$B$12*(1+B$15)^5)*$A20)-'Debt Schedule'!$G$12+150)/'Sources &amp; Uses'!$B$26</x:f>
        <x:v>2.6996767791290694</x:v>
      </x:c>
      <x:c r="C20" s="48" t="n">
        <x:f>(((Assumptions!$B$12*(1+C$15)^5)*$A20)-'Debt Schedule'!$G$12+150)/'Sources &amp; Uses'!$B$26</x:f>
        <x:v>3.0297115571055775</x:v>
      </x:c>
      <x:c r="D20" s="48" t="n">
        <x:f>(((Assumptions!$B$12*(1+D$15)^5)*$A20)-'Debt Schedule'!$G$12+150)/'Sources &amp; Uses'!$B$26</x:f>
        <x:v>3.386400130941871</x:v>
      </x:c>
      <x:c r="E20" s="48" t="n">
        <x:f>(((Assumptions!$B$12*(1+E$15)^5)*$A20)-'Debt Schedule'!$G$12+150)/'Sources &amp; Uses'!$B$26</x:f>
        <x:v>3.771325291768688</x:v>
      </x:c>
      <x:c r="F20" s="48" t="n">
        <x:f>(((Assumptions!$B$12*(1+F$15)^5)*$A20)-'Debt Schedule'!$G$12+150)/'Sources &amp; Uses'!$B$26</x:f>
        <x:v>4.186131286968493</x:v>
      </x:c>
    </x:row>
  </x:sheetData>
  <x:mergeCells>
    <x:mergeCell ref="A1:H1"/>
    <x:mergeCell ref="A3:H3"/>
    <x:mergeCell ref="A13:H13"/>
  </x:mergeCells>
  <x:conditionalFormatting sqref="B6:F10">
    <x:cfRule type="colorScale" priority="1">
      <x:colorScale>
        <x:cfvo type="min"/>
        <x:cfvo type="percentile" val="50"/>
        <x:cfvo type="max"/>
        <x:color rgb="FFF4CCCC"/>
        <x:color rgb="FFFFF2CC"/>
        <x:color rgb="FFD9EAD3"/>
      </x:colorScale>
    </x:cfRule>
  </x:conditionalFormatting>
  <x:conditionalFormatting sqref="B16:F20">
    <x:cfRule type="colorScale" priority="2">
      <x:colorScale>
        <x:cfvo type="min"/>
        <x:cfvo type="percentile" val="50"/>
        <x:cfvo type="max"/>
        <x:color rgb="FFF4CCCC"/>
        <x:color rgb="FFFFF2CC"/>
        <x:color rgb="FFD9EAD3"/>
      </x:colorScale>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30" hidden="0" customWidth="1"/>
    <x:col min="2" max="2" width="28" hidden="0" customWidth="1"/>
    <x:col min="3" max="3" width="68" hidden="0" customWidth="1"/>
    <x:col min="4" max="4" width="42" hidden="0" customWidth="1"/>
  </x:cols>
  <x:sheetData>
    <x:row r="1" ht="27" customHeight="1">
      <x:c r="A1" s="3" t="str">
        <x:v>Sources &amp; Model Notes</x:v>
      </x:c>
      <x:c r="B1" s="3"/>
      <x:c r="C1" s="3"/>
      <x:c r="D1" s="3"/>
    </x:row>
    <x:row r="3">
      <x:c r="A3" s="9" t="str">
        <x:v>Data</x:v>
      </x:c>
      <x:c r="B3" s="9" t="str">
        <x:v>Source</x:v>
      </x:c>
      <x:c r="C3" s="9" t="str">
        <x:v>URL</x:v>
      </x:c>
      <x:c r="D3" s="9" t="str">
        <x:v>Use</x:v>
      </x:c>
    </x:row>
    <x:row r="4" ht="38" customHeight="1">
      <x:c r="A4" s="68" t="str">
        <x:v>FY2025 results / Adjusted EBITDA</x:v>
      </x:c>
      <x:c r="B4" s="68" t="str">
        <x:v>Academy Sports + Outdoors</x:v>
      </x:c>
      <x:c r="C4" s="94" t="str">
        <x:v>https://investors.academy.com/static-files/4307e54d-cf7e-4175-ae3c-0fd1bd3217c1</x:v>
      </x:c>
      <x:c r="D4" s="68" t="str">
        <x:v>FY2025 adjusted EBITDA = $666.3mm</x:v>
      </x:c>
    </x:row>
    <x:row r="5" ht="38" customHeight="1">
      <x:c r="A5" s="68" t="str">
        <x:v>2Q26 financial results</x:v>
      </x:c>
      <x:c r="B5" s="68" t="str">
        <x:v>Academy Sports + Outdoors</x:v>
      </x:c>
      <x:c r="C5" s="94" t="str">
        <x:v>https://investors.academy.com/news-releases/news-release-details/academy-sports-outdoors-reports-second-quarter-fiscal-2026</x:v>
      </x:c>
      <x:c r="D5" s="68" t="str">
        <x:v>Sales growth, EPS, operating performance</x:v>
      </x:c>
    </x:row>
    <x:row r="6" ht="38" customHeight="1">
      <x:c r="A6" s="68" t="str">
        <x:v>2Q26 Form 10-Q</x:v>
      </x:c>
      <x:c r="B6" s="68" t="str">
        <x:v>SEC</x:v>
      </x:c>
      <x:c r="C6" s="94" t="str">
        <x:v>https://www.sec.gov/Archives/edgar/data/1817358/000181735826000149/aso-20260801.htm</x:v>
      </x:c>
      <x:c r="D6" s="68" t="str">
        <x:v>Cash, debt, financial statements</x:v>
      </x:c>
    </x:row>
    <x:row r="7" ht="38" customHeight="1">
      <x:c r="A7" s="68" t="str">
        <x:v>FY2025 Form 10-K</x:v>
      </x:c>
      <x:c r="B7" s="68" t="str">
        <x:v>SEC</x:v>
      </x:c>
      <x:c r="C7" s="94" t="str">
        <x:v>https://www.sec.gov/Archives/edgar/data/1817358/000181735826000031/aso-20260131.htm</x:v>
      </x:c>
      <x:c r="D7" s="68" t="str">
        <x:v>Historical financials / business description</x:v>
      </x:c>
    </x:row>
    <x:row r="8" ht="38" customHeight="1">
      <x:c r="A8" s="68" t="str">
        <x:v>Reference share price</x:v>
      </x:c>
      <x:c r="B8" s="68" t="str">
        <x:v>Public market data</x:v>
      </x:c>
      <x:c r="C8" s="94" t="str">
        <x:v>https://www.investing.com/equities/academy-sports-outdoors-inc-historical-data</x:v>
      </x:c>
      <x:c r="D8" s="68" t="str">
        <x:v>9/14/2026 reference close of $54.25</x:v>
      </x:c>
    </x:row>
    <x:row r="9" ht="38" customHeight="1">
      <x:c r="A9" s="68" t="str">
        <x:v>Investor Relations</x:v>
      </x:c>
      <x:c r="B9" s="68" t="str">
        <x:v>Academy Sports + Outdoors</x:v>
      </x:c>
      <x:c r="C9" s="94" t="str">
        <x:v>https://investors.academy.com/</x:v>
      </x:c>
      <x:c r="D9" s="68" t="str">
        <x:v>Current investor materials</x:v>
      </x:c>
    </x:row>
    <x:row r="11">
      <x:c r="A11" s="9" t="str">
        <x:v>Model Notes</x:v>
      </x:c>
      <x:c r="B11" s="9"/>
      <x:c r="C11" s="9"/>
      <x:c r="D11" s="9"/>
    </x:row>
    <x:row r="12">
      <x:c r="A12" s="88" t="str">
        <x:v>This is a hypothetical sponsor LBO built for educational and recruiting purposes. 2026E normalized EBITDA, acquisition premium, leverage, interest rates, operating forecast and exit multiple are illustrative assumptions rather than management guidance. Blue/yellow cells are hardcoded scenario inputs; green-font cells are links from other worksheets; black-font cells are formulas. The model is designed to demonstrate sources &amp; uses, debt paydown, cash sweep, sponsor returns and sensitivity analysis.</x:v>
      </x:c>
      <x:c r="B12" s="88"/>
      <x:c r="C12" s="88"/>
      <x:c r="D12" s="88"/>
    </x:row>
    <x:row r="13">
      <x:c r="A13" s="88"/>
      <x:c r="B13" s="88"/>
      <x:c r="C13" s="88"/>
      <x:c r="D13" s="88"/>
    </x:row>
    <x:row r="14">
      <x:c r="A14" s="88"/>
      <x:c r="B14" s="88"/>
      <x:c r="C14" s="88"/>
      <x:c r="D14" s="88"/>
    </x:row>
    <x:row r="15">
      <x:c r="A15" s="88"/>
      <x:c r="B15" s="88"/>
      <x:c r="C15" s="88"/>
      <x:c r="D15" s="88"/>
    </x:row>
    <x:row r="16">
      <x:c r="A16" s="88"/>
      <x:c r="B16" s="88"/>
      <x:c r="C16" s="88"/>
      <x:c r="D16" s="88"/>
    </x:row>
    <x:row r="17">
      <x:c r="A17" s="88"/>
      <x:c r="B17" s="88"/>
      <x:c r="C17" s="88"/>
      <x:c r="D17" s="88"/>
    </x:row>
  </x:sheetData>
  <x:mergeCells>
    <x:mergeCell ref="A1:D1"/>
    <x:mergeCell ref="A11:D11"/>
    <x:mergeCell ref="A12:D17"/>
  </x:mergeCells>
  <x:pageMargins left="0.7" right="0.7" top="0.75" bottom="0.75" header="0.3" footer="0.3"/>
</x:worksheet>
</file>