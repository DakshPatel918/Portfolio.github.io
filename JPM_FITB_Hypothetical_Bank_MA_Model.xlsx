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67bf09531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799d0435f2419c"/>
    <x:sheet xmlns:r="http://schemas.openxmlformats.org/officeDocument/2006/relationships" name="Inputs" sheetId="2" r:id="Ra62b576658744f40"/>
    <x:sheet xmlns:r="http://schemas.openxmlformats.org/officeDocument/2006/relationships" name="Deal Mechanics" sheetId="3" r:id="R09fd2c8244524454"/>
    <x:sheet xmlns:r="http://schemas.openxmlformats.org/officeDocument/2006/relationships" name="Purchase Accounting" sheetId="4" r:id="R7745ca82a19847a2"/>
    <x:sheet xmlns:r="http://schemas.openxmlformats.org/officeDocument/2006/relationships" name="Accretion Dilution" sheetId="5" r:id="Rf6676d6d5bd14018"/>
    <x:sheet xmlns:r="http://schemas.openxmlformats.org/officeDocument/2006/relationships" name="TBV &amp; Capital" sheetId="6" r:id="Re0528c89979a4d4d"/>
    <x:sheet xmlns:r="http://schemas.openxmlformats.org/officeDocument/2006/relationships" name="Sensitivity" sheetId="7" r:id="Rc33467c71268482c"/>
    <x:sheet xmlns:r="http://schemas.openxmlformats.org/officeDocument/2006/relationships" name="Sources" sheetId="8" r:id="Rd383d4e4727d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$0.00;[Red]($0.00);-"/>
    <x:numFmt numFmtId="202" formatCode="0.0%;[Red](0.0%);-"/>
    <x:numFmt numFmtId="203" formatCode="$#,##0.0;[Red]($#,##0.0);-"/>
    <x:numFmt numFmtId="204" formatCode="0.0x;[Red](0.0x);-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F0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2" fontId="5" fillId="5" borderId="0" xfId="0" applyNumberFormat="1" applyFont="1" applyFill="1" applyBorder="1"/>
    <x:xf numFmtId="203" fontId="5" fillId="5" borderId="0" xfId="0" applyNumberFormat="1" applyFont="1" applyFill="1" applyBorder="1"/>
    <x:xf numFmtId="200" fontId="5" fillId="5" borderId="0" xfId="0" applyNumberFormat="1" applyFont="1" applyFill="1" applyBorder="1"/>
    <x:xf numFmtId="202" fontId="5" fillId="5" borderId="1" xfId="0" applyNumberFormat="1" applyFont="1" applyFill="1" applyBorder="1"/>
    <x:xf numFmtId="203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/>
    <x:xf numFmtId="202" fontId="4" fillId="4" borderId="0" xfId="0" applyNumberFormat="1" applyFont="1" applyFill="1" applyBorder="1"/>
    <x:xf numFmtId="202" fontId="0" fillId="4" borderId="1" xfId="0" applyNumberFormat="1" applyFont="1" applyFill="1" applyBorder="1"/>
    <x:xf numFmtId="202" fontId="4" fillId="4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2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4" fillId="6" borderId="1" xfId="0" applyNumberFormat="1" applyFont="1" applyFill="1" applyBorder="1"/>
    <x:xf numFmtId="201" fontId="4" fillId="6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08000"/>
      </x:font>
    </x:dxf>
    <x:dxf>
      <x:font>
        <x:color rgb="FFC00000"/>
      </x:font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8711f7c964b2c" /><Relationship Type="http://schemas.openxmlformats.org/officeDocument/2006/relationships/theme" Target="/xl/theme/theme1.xml" Id="Rc96545dba3894f20" /><Relationship Type="http://schemas.openxmlformats.org/officeDocument/2006/relationships/sharedStrings" Target="/xl/sharedStrings.xml" Id="Rde9871d7019e4af9" /><Relationship Type="http://schemas.openxmlformats.org/officeDocument/2006/relationships/worksheet" Target="/xl/worksheets/sheet1.xml" Id="Rba799d0435f2419c" /><Relationship Type="http://schemas.openxmlformats.org/officeDocument/2006/relationships/worksheet" Target="/xl/worksheets/sheet2.xml" Id="Ra62b576658744f40" /><Relationship Type="http://schemas.openxmlformats.org/officeDocument/2006/relationships/worksheet" Target="/xl/worksheets/sheet3.xml" Id="R09fd2c8244524454" /><Relationship Type="http://schemas.openxmlformats.org/officeDocument/2006/relationships/worksheet" Target="/xl/worksheets/sheet4.xml" Id="R7745ca82a19847a2" /><Relationship Type="http://schemas.openxmlformats.org/officeDocument/2006/relationships/worksheet" Target="/xl/worksheets/sheet5.xml" Id="Rf6676d6d5bd14018" /><Relationship Type="http://schemas.openxmlformats.org/officeDocument/2006/relationships/worksheet" Target="/xl/worksheets/sheet6.xml" Id="Re0528c89979a4d4d" /><Relationship Type="http://schemas.openxmlformats.org/officeDocument/2006/relationships/worksheet" Target="/xl/worksheets/sheet7.xml" Id="Rc33467c71268482c" /><Relationship Type="http://schemas.openxmlformats.org/officeDocument/2006/relationships/worksheet" Target="/xl/worksheets/sheet8.xml" Id="Rd383d4e4727d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3" t="str">
        <x:v>JPMorgan Chase × Fifth Third Bancorp — Hypothetical Bank M&amp;A</x:v>
      </x:c>
      <x:c r="B1" s="3"/>
      <x:c r="C1" s="3"/>
      <x:c r="D1" s="3"/>
      <x:c r="E1" s="3"/>
      <x:c r="F1" s="3"/>
      <x:c r="G1" s="3"/>
      <x:c r="H1" s="3"/>
    </x:row>
    <x:row r="2">
      <x:c r="A2" s="70" t="str">
        <x:v>Investment Banking Portfolio Model | Hypothetical 100% stock transaction | September 2026</x:v>
      </x:c>
      <x:c r="B2" s="70"/>
      <x:c r="C2" s="70"/>
      <x:c r="D2" s="70"/>
      <x:c r="E2" s="70"/>
      <x:c r="F2" s="70"/>
      <x:c r="G2" s="70"/>
      <x:c r="H2" s="70"/>
    </x:row>
    <x:row r="4">
      <x:c r="A4" s="10" t="str">
        <x:v>Transaction Overview</x:v>
      </x:c>
      <x:c r="B4" s="10"/>
      <x:c r="C4" s="10"/>
      <x:c r="D4" s="10"/>
      <x:c r="E4" s="10"/>
      <x:c r="F4" s="10"/>
      <x:c r="G4" s="10"/>
      <x:c r="H4" s="10"/>
    </x:row>
    <x:row r="5">
      <x:c r="A5" s="15" t="str">
        <x:v>Metric</x:v>
      </x:c>
      <x:c r="B5" s="15" t="str">
        <x:v>Value</x:v>
      </x:c>
      <x:c r="C5" s="15" t="str">
        <x:v>Metric</x:v>
      </x:c>
      <x:c r="D5" s="15" t="str">
        <x:v>Value</x:v>
      </x:c>
    </x:row>
    <x:row r="6">
      <x:c r="A6" t="str">
        <x:v>Buyer</x:v>
      </x:c>
      <x:c r="B6" t="str">
        <x:v>JPMorgan Chase</x:v>
      </x:c>
      <x:c r="C6" t="str">
        <x:v>Target</x:v>
      </x:c>
      <x:c r="D6" t="str">
        <x:v>Fifth Third Bancorp</x:v>
      </x:c>
    </x:row>
    <x:row r="7">
      <x:c r="A7" t="str">
        <x:v>Offer Premium</x:v>
      </x:c>
      <x:c r="B7" s="44" t="n">
        <x:f>'Deal Mechanics'!B5</x:f>
        <x:v>0.2</x:v>
      </x:c>
      <x:c r="C7" t="str">
        <x:v>Offer Price</x:v>
      </x:c>
      <x:c r="D7" s="58" t="n">
        <x:f>'Deal Mechanics'!B6</x:f>
        <x:v>65.268</x:v>
      </x:c>
    </x:row>
    <x:row r="8">
      <x:c r="A8" t="str">
        <x:v>Equity Purchase Price</x:v>
      </x:c>
      <x:c r="B8" s="48" t="n">
        <x:f>'Deal Mechanics'!B8</x:f>
        <x:v>59.782812011999994</x:v>
      </x:c>
      <x:c r="C8" t="str">
        <x:v>Consideration</x:v>
      </x:c>
      <x:c r="D8" t="str">
        <x:v>100% Stock</x:v>
      </x:c>
    </x:row>
    <x:row r="9">
      <x:c r="A9" t="str">
        <x:v>New JPM Shares Issued</x:v>
      </x:c>
      <x:c r="B9" s="56" t="n">
        <x:f>'Deal Mechanics'!B14</x:f>
        <x:v>170.74461489161166</x:v>
      </x:c>
      <x:c r="C9" t="str">
        <x:v>Purchase Price / TCE</x:v>
      </x:c>
      <x:c r="D9" s="46" t="n">
        <x:f>'Deal Mechanics'!B19</x:f>
        <x:v>2.846800572</x:v>
      </x:c>
    </x:row>
    <x:row r="10">
      <x:c r="A10" t="str">
        <x:v>Regulatory Status</x:v>
      </x:c>
      <x:c r="B10" t="str">
        <x:v>Illustrative only</x:v>
      </x:c>
      <x:c r="C10" t="str">
        <x:v>Model Type</x:v>
      </x:c>
      <x:c r="D10" t="str">
        <x:v>Bank M&amp;A / A-D</x:v>
      </x:c>
    </x:row>
    <x:row r="12">
      <x:c r="A12" s="10" t="str">
        <x:v>Key Outputs</x:v>
      </x:c>
      <x:c r="B12" s="10"/>
      <x:c r="C12" s="10"/>
      <x:c r="D12" s="10"/>
      <x:c r="E12" s="10"/>
      <x:c r="F12" s="10"/>
      <x:c r="G12" s="10"/>
      <x:c r="H12" s="10"/>
    </x:row>
    <x:row r="13">
      <x:c r="A13" s="54" t="str">
        <x:v>Year 1 EPS A/D</x:v>
      </x:c>
      <x:c r="B13" s="54" t="str">
        <x:v>Year 2 EPS A/D</x:v>
      </x:c>
      <x:c r="C13" s="54" t="str">
        <x:v>TBVPS Dilution</x:v>
      </x:c>
      <x:c r="D13" s="54" t="str">
        <x:v>Standalone JPM TBVPS</x:v>
      </x:c>
      <x:c r="E13" s="54" t="str">
        <x:v>Pro Forma TBVPS</x:v>
      </x:c>
      <x:c r="F13" s="54" t="str">
        <x:v>JPM CET1</x:v>
      </x:c>
      <x:c r="G13" s="54" t="str">
        <x:v>Pro Forma CET1</x:v>
      </x:c>
      <x:c r="H13" s="54" t="str">
        <x:v>Target CET1</x:v>
      </x:c>
    </x:row>
    <x:row r="14">
      <x:c r="A14" s="74" t="n">
        <x:f>'Accretion Dilution'!C13</x:f>
        <x:v>0.0013544335852067046</x:v>
      </x:c>
      <x:c r="B14" s="74" t="n">
        <x:f>'Accretion Dilution'!D13</x:f>
        <x:v>0.009333850093550033</x:v>
      </x:c>
      <x:c r="C14" s="74" t="n">
        <x:f>'TBV &amp; Capital'!B14</x:f>
        <x:v>-0.14485493277487338</x:v>
      </x:c>
      <x:c r="D14" s="75" t="n">
        <x:f>'TBV &amp; Capital'!B13</x:f>
        <x:v>113.35</x:v>
      </x:c>
      <x:c r="E14" s="75" t="n">
        <x:f>'TBV &amp; Capital'!B12</x:f>
        <x:v>96.9306933699681</x:v>
      </x:c>
      <x:c r="F14" s="74" t="n">
        <x:f>'TBV &amp; Capital'!B18</x:f>
        <x:v>0.141</x:v>
      </x:c>
      <x:c r="G14" s="74" t="n">
        <x:f>'TBV &amp; Capital'!B20</x:f>
        <x:v>0.13749999999999998</x:v>
      </x:c>
      <x:c r="H14" s="74" t="n">
        <x:f>'TBV &amp; Capital'!B21</x:f>
        <x:v>0.0993</x:v>
      </x:c>
    </x:row>
    <x:row r="17">
      <x:c r="A17" s="10" t="str">
        <x:v>Bank M&amp;A Investment Banking Takeaways</x:v>
      </x:c>
      <x:c r="B17" s="10"/>
      <x:c r="C17" s="10"/>
      <x:c r="D17" s="10"/>
      <x:c r="E17" s="10"/>
      <x:c r="F17" s="10"/>
      <x:c r="G17" s="10"/>
      <x:c r="H17" s="10"/>
    </x:row>
    <x:row r="18" ht="36" customHeight="1">
      <x:c r="A18" s="80" t="str">
        <x:v>Strategic Rationale</x:v>
      </x:c>
      <x:c r="B18" s="62" t="str">
        <x:v>Adds a large regional deposit franchise and broader Midwest / Southeast / Texas / California exposure, but strategic fit must be weighed against regulatory feasibility.</x:v>
      </x:c>
    </x:row>
    <x:row r="19" ht="36" customHeight="1">
      <x:c r="A19" s="80" t="str">
        <x:v>EPS Impact</x:v>
      </x:c>
      <x:c r="B19" s="62" t="str">
        <x:v>The model tests whether target earnings plus cost saves and revenue synergies offset the dilution from new JPM shares issued.</x:v>
      </x:c>
    </x:row>
    <x:row r="20" ht="36" customHeight="1">
      <x:c r="A20" s="80" t="str">
        <x:v>TBV Impact</x:v>
      </x:c>
      <x:c r="B20" s="62" t="str">
        <x:v>The large premium to tangible book value creates meaningful tangible book value dilution — a key bank M&amp;A consideration.</x:v>
      </x:c>
    </x:row>
    <x:row r="21" ht="36" customHeight="1">
      <x:c r="A21" s="80" t="str">
        <x:v>Capital Impact</x:v>
      </x:c>
      <x:c r="B21" s="62" t="str">
        <x:v>Bank transactions must be evaluated against CET1 and other capital constraints, not only EPS accretion.</x:v>
      </x:c>
    </x:row>
    <x:row r="22" ht="36" customHeight="1">
      <x:c r="A22" s="80" t="str">
        <x:v>Key Interview Point</x:v>
      </x:c>
      <x:c r="B22" s="62" t="str">
        <x:v>A transaction can be EPS-accretive and still unattractive if TBV dilution, earn-back, capital consumption, integration risk, or regulatory risk are excessive.</x:v>
      </x:c>
    </x:row>
    <x:row r="24">
      <x:c r="A24" s="85" t="str">
        <x:v>Important: Fifth Third completed its acquisition of Comerica on February 1, 2026 and is now a substantially larger bank. This JPM × FITB scenario is deliberately hypothetical and is intended to demonstrate bank M&amp;A modeling skills. It should not be interpreted as a prediction, recommendation, or statement that such a transaction would receive regulatory approval.</x:v>
      </x:c>
      <x:c r="B24" s="85"/>
      <x:c r="C24" s="85"/>
      <x:c r="D24" s="85"/>
      <x:c r="E24" s="85"/>
      <x:c r="F24" s="85"/>
      <x:c r="G24" s="85"/>
      <x:c r="H24" s="85"/>
    </x:row>
    <x:row r="25">
      <x:c r="A25" s="85"/>
      <x:c r="B25" s="85"/>
      <x:c r="C25" s="85"/>
      <x:c r="D25" s="85"/>
      <x:c r="E25" s="85"/>
      <x:c r="F25" s="85"/>
      <x:c r="G25" s="85"/>
      <x:c r="H25" s="85"/>
    </x:row>
    <x:row r="26">
      <x:c r="A26" s="85"/>
      <x:c r="B26" s="85"/>
      <x:c r="C26" s="85"/>
      <x:c r="D26" s="85"/>
      <x:c r="E26" s="85"/>
      <x:c r="F26" s="85"/>
      <x:c r="G26" s="85"/>
      <x:c r="H26" s="85"/>
    </x:row>
    <x:row r="27">
      <x:c r="A27" s="85"/>
      <x:c r="B27" s="85"/>
      <x:c r="C27" s="85"/>
      <x:c r="D27" s="85"/>
      <x:c r="E27" s="85"/>
      <x:c r="F27" s="85"/>
      <x:c r="G27" s="85"/>
      <x:c r="H27" s="85"/>
    </x:row>
  </x:sheetData>
  <x:mergeCells>
    <x:mergeCell ref="A1:H1"/>
    <x:mergeCell ref="A2:H2"/>
    <x:mergeCell ref="A4:H4"/>
    <x:mergeCell ref="A12:H12"/>
    <x:mergeCell ref="A17:H17"/>
    <x:mergeCell ref="A24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40" hidden="0" customWidth="1"/>
    <x:col min="5" max="5" width="14" hidden="0" customWidth="1"/>
    <x:col min="6" max="6" width="42" hidden="0" customWidth="1"/>
  </x:cols>
  <x:sheetData>
    <x:row r="1" ht="27" customHeight="1">
      <x:c r="A1" s="3" t="str">
        <x:v>Hypothetical JPMorgan Chase / Fifth Third Bancorp — Bank M&amp;A Model</x:v>
      </x:c>
      <x:c r="B1" s="3"/>
      <x:c r="C1" s="3"/>
      <x:c r="D1" s="3"/>
      <x:c r="E1" s="3"/>
      <x:c r="F1" s="3"/>
    </x:row>
    <x:row r="2">
      <x:c r="A2" s="6" t="str">
        <x:v>Illustrative transaction for educational / investment-banking portfolio use | $ in billions except per-share data</x:v>
      </x:c>
      <x:c r="B2" s="6"/>
      <x:c r="C2" s="6"/>
      <x:c r="D2" s="6"/>
      <x:c r="E2" s="6"/>
      <x:c r="F2" s="6"/>
    </x:row>
    <x:row r="4">
      <x:c r="A4" s="10" t="str">
        <x:v>Market &amp; Standalone Financial Inputs</x:v>
      </x:c>
      <x:c r="B4" s="10"/>
      <x:c r="C4" s="10"/>
      <x:c r="D4" s="10"/>
      <x:c r="E4" s="10"/>
      <x:c r="F4" s="10"/>
    </x:row>
    <x:row r="5">
      <x:c r="A5" s="15" t="str">
        <x:v>Metric</x:v>
      </x:c>
      <x:c r="B5" s="15" t="str">
        <x:v>JPMorgan Chase</x:v>
      </x:c>
      <x:c r="C5" s="15" t="str">
        <x:v>Fifth Third</x:v>
      </x:c>
      <x:c r="D5" s="15" t="str">
        <x:v>Units</x:v>
      </x:c>
      <x:c r="E5" s="15" t="str">
        <x:v>Source / Basis</x:v>
      </x:c>
      <x:c r="F5" s="15" t="str">
        <x:v>Editable?</x:v>
      </x:c>
    </x:row>
    <x:row r="6">
      <x:c r="A6" t="str">
        <x:v>Share Price</x:v>
      </x:c>
      <x:c r="B6" s="22" t="n">
        <x:v>350.13</x:v>
      </x:c>
      <x:c r="C6" s="22" t="n">
        <x:v>54.39</x:v>
      </x:c>
      <x:c r="D6" t="str">
        <x:v>$ / share</x:v>
      </x:c>
      <x:c r="E6" t="str">
        <x:v>9/14/2026 close / public market data</x:v>
      </x:c>
      <x:c r="F6" t="str">
        <x:v>Yes</x:v>
      </x:c>
    </x:row>
    <x:row r="7">
      <x:c r="A7" t="str">
        <x:v>Diluted Shares</x:v>
      </x:c>
      <x:c r="B7" s="20" t="n">
        <x:v>2694.2</x:v>
      </x:c>
      <x:c r="C7" s="20" t="n">
        <x:v>915.959</x:v>
      </x:c>
      <x:c r="D7" t="str">
        <x:v>mm shares</x:v>
      </x:c>
      <x:c r="E7" t="str">
        <x:v>2Q26 diluted average shares</x:v>
      </x:c>
      <x:c r="F7" t="str">
        <x:v>Yes</x:v>
      </x:c>
    </x:row>
    <x:row r="8">
      <x:c r="A8" t="str">
        <x:v>2026E Normalized Net Income to Common</x:v>
      </x:c>
      <x:c r="B8" s="20" t="n">
        <x:v>67.5</x:v>
      </x:c>
      <x:c r="C8" s="20" t="n">
        <x:v>3.75</x:v>
      </x:c>
      <x:c r="D8" t="str">
        <x:v>$bn</x:v>
      </x:c>
      <x:c r="E8" t="str">
        <x:v>Illustrative annualized / normalized estimate</x:v>
      </x:c>
      <x:c r="F8" t="str">
        <x:v>Yes</x:v>
      </x:c>
    </x:row>
    <x:row r="9">
      <x:c r="A9" t="str">
        <x:v>Tangible Common Equity</x:v>
      </x:c>
      <x:c r="B9" s="20" t="n">
        <x:v>301.314</x:v>
      </x:c>
      <x:c r="C9" s="20" t="n">
        <x:v>21</x:v>
      </x:c>
      <x:c r="D9" t="str">
        <x:v>$bn</x:v>
      </x:c>
      <x:c r="E9" t="str">
        <x:v>2Q26 reported / derived from TBVPS</x:v>
      </x:c>
      <x:c r="F9" t="str">
        <x:v>Yes</x:v>
      </x:c>
    </x:row>
    <x:row r="10">
      <x:c r="A10" t="str">
        <x:v>TBVPS</x:v>
      </x:c>
      <x:c r="B10" s="22" t="n">
        <x:v>113.35</x:v>
      </x:c>
      <x:c r="C10" s="22" t="n">
        <x:v>23.15</x:v>
      </x:c>
      <x:c r="D10" t="str">
        <x:v>$ / share</x:v>
      </x:c>
      <x:c r="E10" t="str">
        <x:v>2Q26 reported</x:v>
      </x:c>
      <x:c r="F10" t="str">
        <x:v>Yes</x:v>
      </x:c>
    </x:row>
    <x:row r="11">
      <x:c r="A11" t="str">
        <x:v>CET1 Ratio</x:v>
      </x:c>
      <x:c r="B11" s="24" t="n">
        <x:v>0.141</x:v>
      </x:c>
      <x:c r="C11" s="24" t="n">
        <x:v>0.0993</x:v>
      </x:c>
      <x:c r="D11" t="str">
        <x:v>%</x:v>
      </x:c>
      <x:c r="E11" t="str">
        <x:v>2Q26 reported</x:v>
      </x:c>
      <x:c r="F11" t="str">
        <x:v>Yes</x:v>
      </x:c>
    </x:row>
    <x:row r="12">
      <x:c r="A12" t="str">
        <x:v>Loans</x:v>
      </x:c>
      <x:c r="B12" s="20" t="n">
        <x:v>1500</x:v>
      </x:c>
      <x:c r="C12" s="20" t="n">
        <x:v>177.572</x:v>
      </x:c>
      <x:c r="D12" t="str">
        <x:v>$bn</x:v>
      </x:c>
      <x:c r="E12" t="str">
        <x:v>2Q26 average / portfolio loans</x:v>
      </x:c>
      <x:c r="F12" t="str">
        <x:v>Yes</x:v>
      </x:c>
    </x:row>
    <x:row r="13">
      <x:c r="A13" t="str">
        <x:v>Deposits</x:v>
      </x:c>
      <x:c r="B13" s="20"/>
      <x:c r="C13" s="20" t="n">
        <x:v>231.506</x:v>
      </x:c>
      <x:c r="D13" t="str">
        <x:v>$bn</x:v>
      </x:c>
      <x:c r="E13" t="str">
        <x:v>2Q26 average deposits</x:v>
      </x:c>
      <x:c r="F13" t="str">
        <x:v>Yes</x:v>
      </x:c>
    </x:row>
    <x:row r="14">
      <x:c r="A14" t="str">
        <x:v>Annualized Noninterest Expense</x:v>
      </x:c>
      <x:c r="B14" s="20" t="n">
        <x:v>109.2</x:v>
      </x:c>
      <x:c r="C14" s="20" t="n">
        <x:v>8.436</x:v>
      </x:c>
      <x:c r="D14" t="str">
        <x:v>$bn</x:v>
      </x:c>
      <x:c r="E14" t="str">
        <x:v>2Q26 annualized</x:v>
      </x:c>
      <x:c r="F14" t="str">
        <x:v>Yes</x:v>
      </x:c>
    </x:row>
    <x:row r="15">
      <x:c r="A15" t="str">
        <x:v>Annualized Revenue</x:v>
      </x:c>
      <x:c r="B15" s="20" t="n">
        <x:v>232</x:v>
      </x:c>
      <x:c r="C15" s="20" t="n">
        <x:v>13.096</x:v>
      </x:c>
      <x:c r="D15" t="str">
        <x:v>$bn</x:v>
      </x:c>
      <x:c r="E15" t="str">
        <x:v>2Q26 managed / reported annualized</x:v>
      </x:c>
      <x:c r="F15" t="str">
        <x:v>Yes</x:v>
      </x:c>
    </x:row>
    <x:row r="17">
      <x:c r="A17" s="10" t="str">
        <x:v>Transaction Assumptions</x:v>
      </x:c>
      <x:c r="B17" s="10"/>
      <x:c r="C17" s="10"/>
      <x:c r="D17" s="10"/>
      <x:c r="E17" s="10"/>
      <x:c r="F17" s="10"/>
    </x:row>
    <x:row r="18">
      <x:c r="A18" s="15" t="str">
        <x:v>Assumption</x:v>
      </x:c>
      <x:c r="B18" s="15" t="str">
        <x:v>Value</x:v>
      </x:c>
      <x:c r="C18" s="15" t="str">
        <x:v>Units</x:v>
      </x:c>
      <x:c r="D18" s="15" t="str">
        <x:v>Source / Basis</x:v>
      </x:c>
      <x:c r="E18" s="15" t="str">
        <x:v>Sensitivity</x:v>
      </x:c>
      <x:c r="F18" s="15" t="str">
        <x:v>Notes</x:v>
      </x:c>
    </x:row>
    <x:row r="19">
      <x:c r="A19" t="str">
        <x:v>Offer Premium</x:v>
      </x:c>
      <x:c r="B19" s="28" t="n">
        <x:v>0.2</x:v>
      </x:c>
      <x:c r="C19" t="str">
        <x:v>%</x:v>
      </x:c>
      <x:c r="D19" t="str">
        <x:v>Illustrative</x:v>
      </x:c>
      <x:c r="E19" t="str">
        <x:v>Yes</x:v>
      </x:c>
      <x:c r="F19" t="str">
        <x:v>Premium to unaffected FITB share price</x:v>
      </x:c>
    </x:row>
    <x:row r="20">
      <x:c r="A20" t="str">
        <x:v>Consideration — Stock</x:v>
      </x:c>
      <x:c r="B20" s="28" t="n">
        <x:v>1</x:v>
      </x:c>
      <x:c r="C20" t="str">
        <x:v>%</x:v>
      </x:c>
      <x:c r="D20" t="str">
        <x:v>Illustrative</x:v>
      </x:c>
      <x:c r="E20" t="str">
        <x:v>Yes</x:v>
      </x:c>
      <x:c r="F20" t="str">
        <x:v>100% stock-funded base case</x:v>
      </x:c>
    </x:row>
    <x:row r="21">
      <x:c r="A21" t="str">
        <x:v>Cost Saves / Target Expense</x:v>
      </x:c>
      <x:c r="B21" s="28" t="n">
        <x:v>0.15</x:v>
      </x:c>
      <x:c r="C21" t="str">
        <x:v>%</x:v>
      </x:c>
      <x:c r="D21" t="str">
        <x:v>Illustrative</x:v>
      </x:c>
      <x:c r="E21" t="str">
        <x:v>Yes</x:v>
      </x:c>
      <x:c r="F21" t="str">
        <x:v>Run-rate pretax cost saves</x:v>
      </x:c>
    </x:row>
    <x:row r="22">
      <x:c r="A22" t="str">
        <x:v>Revenue Synergies / Target Revenue</x:v>
      </x:c>
      <x:c r="B22" s="28" t="n">
        <x:v>0.02</x:v>
      </x:c>
      <x:c r="C22" t="str">
        <x:v>%</x:v>
      </x:c>
      <x:c r="D22" t="str">
        <x:v>Illustrative</x:v>
      </x:c>
      <x:c r="E22" t="str">
        <x:v>Yes</x:v>
      </x:c>
      <x:c r="F22" t="str">
        <x:v>Run-rate pretax revenue synergies</x:v>
      </x:c>
    </x:row>
    <x:row r="23">
      <x:c r="A23" t="str">
        <x:v>Year 1 Synergy Phase-In</x:v>
      </x:c>
      <x:c r="B23" s="28" t="n">
        <x:v>0.5</x:v>
      </x:c>
      <x:c r="C23" t="str">
        <x:v>%</x:v>
      </x:c>
      <x:c r="D23" t="str">
        <x:v>Illustrative</x:v>
      </x:c>
      <x:c r="E23" t="str">
        <x:v>Yes</x:v>
      </x:c>
      <x:c r="F23" t="str">
        <x:v>50% of run-rate</x:v>
      </x:c>
    </x:row>
    <x:row r="24">
      <x:c r="A24" t="str">
        <x:v>Year 2 Synergy Phase-In</x:v>
      </x:c>
      <x:c r="B24" s="28" t="n">
        <x:v>1</x:v>
      </x:c>
      <x:c r="C24" t="str">
        <x:v>%</x:v>
      </x:c>
      <x:c r="D24" t="str">
        <x:v>Illustrative</x:v>
      </x:c>
      <x:c r="E24" t="str">
        <x:v>Yes</x:v>
      </x:c>
      <x:c r="F24" t="str">
        <x:v>100% of run-rate</x:v>
      </x:c>
    </x:row>
    <x:row r="25">
      <x:c r="A25" t="str">
        <x:v>Tax Rate</x:v>
      </x:c>
      <x:c r="B25" s="28" t="n">
        <x:v>0.25</x:v>
      </x:c>
      <x:c r="C25" t="str">
        <x:v>%</x:v>
      </x:c>
      <x:c r="D25" t="str">
        <x:v>Illustrative</x:v>
      </x:c>
      <x:c r="E25" t="str">
        <x:v>Yes</x:v>
      </x:c>
      <x:c r="F25" t="str">
        <x:v>Blended effective tax rate</x:v>
      </x:c>
    </x:row>
    <x:row r="26">
      <x:c r="A26" t="str">
        <x:v>One-Time Restructuring Costs</x:v>
      </x:c>
      <x:c r="B26" s="29" t="n">
        <x:v>1.2</x:v>
      </x:c>
      <x:c r="C26" t="str">
        <x:v>$bn</x:v>
      </x:c>
      <x:c r="D26" t="str">
        <x:v>Illustrative</x:v>
      </x:c>
      <x:c r="E26" t="str">
        <x:v>Yes</x:v>
      </x:c>
      <x:c r="F26" t="str">
        <x:v>After-tax / capital impact assumption</x:v>
      </x:c>
    </x:row>
    <x:row r="27">
      <x:c r="A27" t="str">
        <x:v>Credit Mark / Target Loans</x:v>
      </x:c>
      <x:c r="B27" s="28" t="n">
        <x:v>0.015</x:v>
      </x:c>
      <x:c r="C27" t="str">
        <x:v>%</x:v>
      </x:c>
      <x:c r="D27" t="str">
        <x:v>Illustrative</x:v>
      </x:c>
      <x:c r="E27" t="str">
        <x:v>Yes</x:v>
      </x:c>
      <x:c r="F27" t="str">
        <x:v>Purchase accounting credit mark</x:v>
      </x:c>
    </x:row>
    <x:row r="28">
      <x:c r="A28" t="str">
        <x:v>Core Deposit Intangible / Deposits</x:v>
      </x:c>
      <x:c r="B28" s="28" t="n">
        <x:v>0.02</x:v>
      </x:c>
      <x:c r="C28" t="str">
        <x:v>%</x:v>
      </x:c>
      <x:c r="D28" t="str">
        <x:v>Illustrative</x:v>
      </x:c>
      <x:c r="E28" t="str">
        <x:v>Yes</x:v>
      </x:c>
      <x:c r="F28" t="str">
        <x:v>CDI created at close</x:v>
      </x:c>
    </x:row>
    <x:row r="29">
      <x:c r="A29" t="str">
        <x:v>CDI Amortization Period</x:v>
      </x:c>
      <x:c r="B29" s="30" t="n">
        <x:v>10</x:v>
      </x:c>
      <x:c r="C29" t="str">
        <x:v>years</x:v>
      </x:c>
      <x:c r="D29" t="str">
        <x:v>Illustrative</x:v>
      </x:c>
      <x:c r="E29" t="str">
        <x:v>Yes</x:v>
      </x:c>
      <x:c r="F29" t="str">
        <x:v>Straight-line</x:v>
      </x:c>
    </x:row>
    <x:row r="30">
      <x:c r="A30" t="str">
        <x:v>Loan Mark Accretion Period</x:v>
      </x:c>
      <x:c r="B30" s="30" t="n">
        <x:v>5</x:v>
      </x:c>
      <x:c r="C30" t="str">
        <x:v>years</x:v>
      </x:c>
      <x:c r="D30" t="str">
        <x:v>Illustrative</x:v>
      </x:c>
      <x:c r="E30" t="str">
        <x:v>Yes</x:v>
      </x:c>
      <x:c r="F30" t="str">
        <x:v>Straight-line</x:v>
      </x:c>
    </x:row>
  </x:sheetData>
  <x:mergeCells>
    <x:mergeCell ref="A1:F1"/>
    <x:mergeCell ref="A2:F2"/>
    <x:mergeCell ref="A4:F4"/>
    <x:mergeCell ref="A17:F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7" customHeight="1">
      <x:c r="A1" s="3" t="str">
        <x:v>Deal Mechanics</x:v>
      </x:c>
      <x:c r="B1" s="3"/>
      <x:c r="C1" s="3"/>
      <x:c r="D1" s="3"/>
      <x:c r="E1" s="3"/>
      <x:c r="F1" s="3"/>
    </x:row>
    <x:row r="3">
      <x:c r="A3" s="10" t="str">
        <x:v>Purchase Price &amp; Consideration</x:v>
      </x:c>
      <x:c r="B3" s="10"/>
      <x:c r="C3" s="10"/>
      <x:c r="D3" s="10"/>
      <x:c r="E3" s="10"/>
      <x:c r="F3" s="10"/>
    </x:row>
    <x:row r="4">
      <x:c r="A4" t="str">
        <x:v>Target Unaffected Price</x:v>
      </x:c>
      <x:c r="B4" s="36" t="n">
        <x:f>Inputs!C6</x:f>
        <x:v>54.39</x:v>
      </x:c>
    </x:row>
    <x:row r="5">
      <x:c r="A5" t="str">
        <x:v>Offer Premium</x:v>
      </x:c>
      <x:c r="B5" s="38" t="n">
        <x:f>Inputs!B19</x:f>
        <x:v>0.2</x:v>
      </x:c>
    </x:row>
    <x:row r="6">
      <x:c r="A6" t="str">
        <x:v>Offer Price</x:v>
      </x:c>
      <x:c r="B6" s="36" t="n">
        <x:f>B4*(1+B5)</x:f>
        <x:v>65.268</x:v>
      </x:c>
    </x:row>
    <x:row r="7">
      <x:c r="A7" t="str">
        <x:v>Target Diluted Shares (mm)</x:v>
      </x:c>
      <x:c r="B7" s="40" t="n">
        <x:f>Inputs!C7</x:f>
        <x:v>915.959</x:v>
      </x:c>
    </x:row>
    <x:row r="8">
      <x:c r="A8" t="str">
        <x:v>Equity Purchase Price ($bn)</x:v>
      </x:c>
      <x:c r="B8" s="42" t="n">
        <x:f>B6*B7/1000</x:f>
        <x:v>59.782812011999994</x:v>
      </x:c>
    </x:row>
    <x:row r="9">
      <x:c r="A9" t="str">
        <x:v>Stock Consideration %</x:v>
      </x:c>
      <x:c r="B9" s="38" t="n">
        <x:f>Inputs!B20</x:f>
        <x:v>1</x:v>
      </x:c>
    </x:row>
    <x:row r="10">
      <x:c r="A10" t="str">
        <x:v>Cash Consideration %</x:v>
      </x:c>
      <x:c r="B10" s="38" t="n">
        <x:f>1-B9</x:f>
        <x:v>0</x:v>
      </x:c>
    </x:row>
    <x:row r="11">
      <x:c r="A11" t="str">
        <x:v>Stock Consideration ($bn)</x:v>
      </x:c>
      <x:c r="B11" s="42" t="n">
        <x:f>B8*B9</x:f>
        <x:v>59.782812011999994</x:v>
      </x:c>
    </x:row>
    <x:row r="12">
      <x:c r="A12" t="str">
        <x:v>Cash Consideration ($bn)</x:v>
      </x:c>
      <x:c r="B12" s="42" t="n">
        <x:f>B8*B10</x:f>
        <x:v>0</x:v>
      </x:c>
    </x:row>
    <x:row r="13">
      <x:c r="A13" t="str">
        <x:v>JPM Share Price</x:v>
      </x:c>
      <x:c r="B13" s="36" t="n">
        <x:f>Inputs!B6</x:f>
        <x:v>350.13</x:v>
      </x:c>
    </x:row>
    <x:row r="14">
      <x:c r="A14" t="str">
        <x:v>New JPM Shares Issued (mm)</x:v>
      </x:c>
      <x:c r="B14" s="40" t="n">
        <x:f>B11/B13*1000</x:f>
        <x:v>170.74461489161166</x:v>
      </x:c>
    </x:row>
    <x:row r="16">
      <x:c r="A16" s="10" t="str">
        <x:v>Headline Transaction Statistics</x:v>
      </x:c>
      <x:c r="B16" s="10"/>
      <x:c r="C16" s="10"/>
      <x:c r="D16" s="10"/>
      <x:c r="E16" s="10"/>
      <x:c r="F16" s="10"/>
    </x:row>
    <x:row r="17">
      <x:c r="A17" s="15" t="str">
        <x:v>Metric</x:v>
      </x:c>
      <x:c r="B17" s="15" t="str">
        <x:v>Value</x:v>
      </x:c>
    </x:row>
    <x:row r="18">
      <x:c r="A18" t="str">
        <x:v>Premium to Unaffected</x:v>
      </x:c>
      <x:c r="B18" s="44" t="n">
        <x:f>B5</x:f>
        <x:v>0.2</x:v>
      </x:c>
    </x:row>
    <x:row r="19">
      <x:c r="A19" t="str">
        <x:v>Purchase Price / Target TCE</x:v>
      </x:c>
      <x:c r="B19" s="46" t="n">
        <x:f>B8/Inputs!C9</x:f>
        <x:v>2.846800572</x:v>
      </x:c>
    </x:row>
    <x:row r="20">
      <x:c r="A20" t="str">
        <x:v>Target Market Cap ($bn)</x:v>
      </x:c>
      <x:c r="B20" s="48" t="n">
        <x:f>B4*B7/1000</x:f>
        <x:v>49.81901001</x:v>
      </x:c>
    </x:row>
    <x:row r="21">
      <x:c r="A21" t="str">
        <x:v>Purchase Premium ($bn)</x:v>
      </x:c>
      <x:c r="B21" s="48" t="n">
        <x:f>B8-B20</x:f>
        <x:v>9.963802001999994</x:v>
      </x:c>
    </x:row>
    <x:row r="22">
      <x:c r="A22" t="str">
        <x:v>New Shares / JPM Diluted Shares</x:v>
      </x:c>
      <x:c r="B22" s="44" t="n">
        <x:f>B14/Inputs!B7</x:f>
        <x:v>0.06337488489778476</x:v>
      </x:c>
    </x:row>
  </x:sheetData>
  <x:mergeCells>
    <x:mergeCell ref="A1:F1"/>
    <x:mergeCell ref="A3:F3"/>
    <x:mergeCell ref="A16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48" hidden="0" customWidth="1"/>
    <x:col min="5" max="5" width="4" hidden="0" customWidth="1"/>
    <x:col min="6" max="6" width="14" hidden="0" customWidth="1"/>
    <x:col min="7" max="7" width="14" hidden="0" customWidth="1"/>
  </x:cols>
  <x:sheetData>
    <x:row r="1" ht="27" customHeight="1">
      <x:c r="A1" s="3" t="str">
        <x:v>Purchase Accounting &amp; Synergies</x:v>
      </x:c>
      <x:c r="B1" s="3"/>
      <x:c r="C1" s="3"/>
      <x:c r="D1" s="3"/>
      <x:c r="E1" s="3"/>
      <x:c r="F1" s="3"/>
      <x:c r="G1" s="3"/>
    </x:row>
    <x:row r="3">
      <x:c r="A3" s="10" t="str">
        <x:v>Purchase Accounting</x:v>
      </x:c>
      <x:c r="B3" s="10"/>
      <x:c r="C3" s="10"/>
      <x:c r="D3" s="10"/>
      <x:c r="E3" s="10"/>
      <x:c r="F3" s="10"/>
      <x:c r="G3" s="10"/>
    </x:row>
    <x:row r="4">
      <x:c r="A4" t="str">
        <x:v>Item</x:v>
      </x:c>
      <x:c r="B4" t="str">
        <x:v>Formula / Value</x:v>
      </x:c>
      <x:c r="C4" t="str">
        <x:v>$bn</x:v>
      </x:c>
    </x:row>
    <x:row r="5">
      <x:c r="A5" t="str">
        <x:v>Equity Purchase Price</x:v>
      </x:c>
      <x:c r="B5" s="42" t="n">
        <x:f>'Deal Mechanics'!B8</x:f>
        <x:v>59.782812011999994</x:v>
      </x:c>
      <x:c r="C5" s="42" t="n">
        <x:f>B5</x:f>
        <x:v>59.782812011999994</x:v>
      </x:c>
    </x:row>
    <x:row r="6">
      <x:c r="A6" t="str">
        <x:v>Target Book Common Equity</x:v>
      </x:c>
      <x:c r="B6" s="42" t="n">
        <x:f>35.56*Inputs!C7/1000</x:f>
        <x:v>32.57150204</x:v>
      </x:c>
      <x:c r="C6" s="42" t="n">
        <x:f>B6</x:f>
        <x:v>32.57150204</x:v>
      </x:c>
    </x:row>
    <x:row r="7">
      <x:c r="A7" t="str">
        <x:v>Target Tangible Common Equity</x:v>
      </x:c>
      <x:c r="B7" s="42" t="n">
        <x:f>Inputs!C9</x:f>
        <x:v>21</x:v>
      </x:c>
      <x:c r="C7" s="42" t="n">
        <x:f>B7</x:f>
        <x:v>21</x:v>
      </x:c>
    </x:row>
    <x:row r="8">
      <x:c r="A8" t="str">
        <x:v>Existing Goodwill &amp; Intangibles</x:v>
      </x:c>
      <x:c r="B8" s="42" t="n">
        <x:f>B6-B7</x:f>
        <x:v>11.571502039999999</x:v>
      </x:c>
      <x:c r="C8" s="42" t="n">
        <x:f>B8</x:f>
        <x:v>11.571502039999999</x:v>
      </x:c>
    </x:row>
    <x:row r="9">
      <x:c r="A9" t="str">
        <x:v>Credit Mark</x:v>
      </x:c>
      <x:c r="B9" s="42" t="n">
        <x:f>Inputs!C12*Inputs!B27</x:f>
        <x:v>2.66358</x:v>
      </x:c>
      <x:c r="C9" s="42" t="n">
        <x:f>B9</x:f>
        <x:v>2.66358</x:v>
      </x:c>
    </x:row>
    <x:row r="10">
      <x:c r="A10" t="str">
        <x:v>Core Deposit Intangible</x:v>
      </x:c>
      <x:c r="B10" s="42" t="n">
        <x:f>Inputs!C13*Inputs!B28</x:f>
        <x:v>4.63012</x:v>
      </x:c>
      <x:c r="C10" s="42" t="n">
        <x:f>B10</x:f>
        <x:v>4.63012</x:v>
      </x:c>
    </x:row>
    <x:row r="11">
      <x:c r="A11" t="str">
        <x:v>Purchase Premium to Book Equity</x:v>
      </x:c>
      <x:c r="B11" s="42" t="n">
        <x:f>B5-B6</x:f>
        <x:v>27.211309971999995</x:v>
      </x:c>
      <x:c r="C11" s="42" t="n">
        <x:f>B11</x:f>
        <x:v>27.211309971999995</x:v>
      </x:c>
    </x:row>
    <x:row r="12">
      <x:c r="A12" t="str">
        <x:v>Illustrative New Goodwill</x:v>
      </x:c>
      <x:c r="B12" s="42" t="n">
        <x:f>MAX(0,B5-B6+B8+B9-B10)</x:f>
        <x:v>36.816272012</x:v>
      </x:c>
      <x:c r="C12" s="42" t="n">
        <x:f>B12</x:f>
        <x:v>36.816272012</x:v>
      </x:c>
    </x:row>
    <x:row r="13">
      <x:c r="A13" t="str">
        <x:v>One-Time Restructuring Costs</x:v>
      </x:c>
      <x:c r="B13" s="42" t="n">
        <x:f>Inputs!B26</x:f>
        <x:v>1.2</x:v>
      </x:c>
      <x:c r="C13" s="42" t="n">
        <x:f>B13</x:f>
        <x:v>1.2</x:v>
      </x:c>
    </x:row>
    <x:row r="15">
      <x:c r="A15" s="10" t="str">
        <x:v>Run-Rate Synergies &amp; Purchase Accounting EPS Items</x:v>
      </x:c>
      <x:c r="B15" s="10"/>
      <x:c r="C15" s="10"/>
      <x:c r="D15" s="10"/>
      <x:c r="E15" s="10"/>
      <x:c r="F15" s="10"/>
      <x:c r="G15" s="10"/>
    </x:row>
    <x:row r="16">
      <x:c r="A16" t="str">
        <x:v>Item</x:v>
      </x:c>
      <x:c r="B16" t="str">
        <x:v>Run-Rate Pretax ($bn)</x:v>
      </x:c>
      <x:c r="C16" t="str">
        <x:v>After-Tax ($bn)</x:v>
      </x:c>
      <x:c r="D16" t="str">
        <x:v>Basis</x:v>
      </x:c>
    </x:row>
    <x:row r="17">
      <x:c r="A17" t="str">
        <x:v>Cost Saves</x:v>
      </x:c>
      <x:c r="B17" s="48" t="n">
        <x:f>Inputs!C14*Inputs!B21</x:f>
        <x:v>1.2653999999999999</x:v>
      </x:c>
      <x:c r="C17" s="48" t="n">
        <x:f>B17*(1-Inputs!B25)</x:f>
        <x:v>0.94905</x:v>
      </x:c>
      <x:c r="D17" t="str">
        <x:v>Target annualized noninterest expense × assumption</x:v>
      </x:c>
    </x:row>
    <x:row r="18">
      <x:c r="A18" t="str">
        <x:v>Revenue Synergies</x:v>
      </x:c>
      <x:c r="B18" s="48" t="n">
        <x:f>Inputs!C15*Inputs!B22</x:f>
        <x:v>0.26192</x:v>
      </x:c>
      <x:c r="C18" s="48" t="n">
        <x:f>B18*(1-Inputs!B25)</x:f>
        <x:v>0.19644</x:v>
      </x:c>
      <x:c r="D18" t="str">
        <x:v>Target annualized revenue × assumption</x:v>
      </x:c>
    </x:row>
    <x:row r="19">
      <x:c r="A19" s="50" t="str">
        <x:v>Total Synergies</x:v>
      </x:c>
      <x:c r="B19" s="51" t="n">
        <x:f>SUM(B17:B18)</x:f>
        <x:v>1.5273199999999998</x:v>
      </x:c>
      <x:c r="C19" s="51" t="n">
        <x:f>SUM(C17:C18)</x:f>
        <x:v>1.14549</x:v>
      </x:c>
      <x:c r="D19" t="str">
        <x:v>Cost saves + revenue synergies</x:v>
      </x:c>
    </x:row>
    <x:row r="20">
      <x:c r="A20" t="str">
        <x:v>CDI Amortization</x:v>
      </x:c>
      <x:c r="B20" s="48" t="n">
        <x:f>B10/Inputs!B29</x:f>
        <x:v>0.463012</x:v>
      </x:c>
      <x:c r="C20" s="48" t="n">
        <x:f>B20*(1-Inputs!B25)</x:f>
        <x:v>0.347259</x:v>
      </x:c>
      <x:c r="D20" t="str">
        <x:v>CDI / amortization period</x:v>
      </x:c>
    </x:row>
    <x:row r="21">
      <x:c r="A21" t="str">
        <x:v>Loan Mark Accretion</x:v>
      </x:c>
      <x:c r="B21" s="48" t="n">
        <x:f>B9/Inputs!B30</x:f>
        <x:v>0.532716</x:v>
      </x:c>
      <x:c r="C21" s="48" t="n">
        <x:f>B21*(1-Inputs!B25)</x:f>
        <x:v>0.399537</x:v>
      </x:c>
      <x:c r="D21" t="str">
        <x:v>Credit mark / accretion period</x:v>
      </x:c>
    </x:row>
    <x:row r="22">
      <x:c r="A22" s="50" t="str">
        <x:v>Net Run-Rate Earnings Benefit</x:v>
      </x:c>
      <x:c r="B22" s="51" t="n">
        <x:f>B19-B20+B21</x:f>
        <x:v>1.5970239999999998</x:v>
      </x:c>
      <x:c r="C22" s="51" t="n">
        <x:f>C19-C20+C21</x:f>
        <x:v>1.197768</x:v>
      </x:c>
      <x:c r="D22" t="str">
        <x:v>Synergies - amortization + accretion</x:v>
      </x:c>
    </x:row>
    <x:row r="23">
      <x:c r="A23" t="str">
        <x:v>Year 1 Earnings Benefit</x:v>
      </x:c>
      <x:c r="B23" s="48" t="n">
        <x:f>B19*Inputs!B23-B20+B21</x:f>
        <x:v>0.8333639999999999</x:v>
      </x:c>
      <x:c r="C23" s="48" t="n">
        <x:f>C19*Inputs!B23-C20+C21</x:f>
        <x:v>0.6250229999999999</x:v>
      </x:c>
      <x:c r="D23" t="str">
        <x:v>Phase-in applied to synergies; PA items at 100%</x:v>
      </x:c>
    </x:row>
  </x:sheetData>
  <x:mergeCells>
    <x:mergeCell ref="A1:G1"/>
    <x:mergeCell ref="A3:G3"/>
    <x:mergeCell ref="A15:G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4" hidden="0" customWidth="1"/>
    <x:col min="6" max="6" width="16" hidden="0" customWidth="1"/>
    <x:col min="7" max="7" width="16" hidden="0" customWidth="1"/>
  </x:cols>
  <x:sheetData>
    <x:row r="1" ht="27" customHeight="1">
      <x:c r="A1" s="3" t="str">
        <x:v>EPS Accretion / Dilution</x:v>
      </x:c>
      <x:c r="B1" s="3"/>
      <x:c r="C1" s="3"/>
      <x:c r="D1" s="3"/>
      <x:c r="E1" s="3"/>
      <x:c r="F1" s="3"/>
      <x:c r="G1" s="3"/>
    </x:row>
    <x:row r="3">
      <x:c r="A3" s="10" t="str">
        <x:v>Pro Forma Earnings</x:v>
      </x:c>
      <x:c r="B3" s="10"/>
      <x:c r="C3" s="10"/>
      <x:c r="D3" s="10"/>
      <x:c r="E3" s="10"/>
      <x:c r="F3" s="10"/>
      <x:c r="G3" s="10"/>
    </x:row>
    <x:row r="4">
      <x:c r="A4" s="54" t="str">
        <x:v>$bn except per share data</x:v>
      </x:c>
      <x:c r="B4" s="54" t="str">
        <x:v>JPM Standalone</x:v>
      </x:c>
      <x:c r="C4" s="54" t="str">
        <x:v>Year 1 Pro Forma</x:v>
      </x:c>
      <x:c r="D4" s="54" t="str">
        <x:v>Year 2 Pro Forma</x:v>
      </x:c>
    </x:row>
    <x:row r="5">
      <x:c r="A5" t="str">
        <x:v>JPM Normalized Net Income to Common</x:v>
      </x:c>
      <x:c r="B5" s="48" t="n">
        <x:f>Inputs!B8</x:f>
        <x:v>67.5</x:v>
      </x:c>
      <x:c r="C5" s="48" t="n">
        <x:f>B5</x:f>
        <x:v>67.5</x:v>
      </x:c>
      <x:c r="D5" s="48" t="n">
        <x:f>B5</x:f>
        <x:v>67.5</x:v>
      </x:c>
    </x:row>
    <x:row r="6">
      <x:c r="A6" t="str">
        <x:v>FITB Normalized Net Income to Common</x:v>
      </x:c>
      <x:c r="B6" s="48" t="n">
        <x:v>0</x:v>
      </x:c>
      <x:c r="C6" s="48" t="n">
        <x:f>Inputs!C8</x:f>
        <x:v>3.75</x:v>
      </x:c>
      <x:c r="D6" s="48" t="n">
        <x:f>Inputs!C8</x:f>
        <x:v>3.75</x:v>
      </x:c>
    </x:row>
    <x:row r="7">
      <x:c r="A7" t="str">
        <x:v>After-Tax Synergies</x:v>
      </x:c>
      <x:c r="B7" s="48" t="n">
        <x:v>0</x:v>
      </x:c>
      <x:c r="C7" s="48" t="n">
        <x:f>'Purchase Accounting'!C19*Inputs!B23</x:f>
        <x:v>0.572745</x:v>
      </x:c>
      <x:c r="D7" s="48" t="n">
        <x:f>'Purchase Accounting'!C19*Inputs!B24</x:f>
        <x:v>1.14549</x:v>
      </x:c>
    </x:row>
    <x:row r="8">
      <x:c r="A8" t="str">
        <x:v>Less: CDI Amortization</x:v>
      </x:c>
      <x:c r="B8" s="48" t="n">
        <x:v>0</x:v>
      </x:c>
      <x:c r="C8" s="48" t="n">
        <x:f>-'Purchase Accounting'!C20</x:f>
        <x:v>-0.347259</x:v>
      </x:c>
      <x:c r="D8" s="48" t="n">
        <x:f>-'Purchase Accounting'!C20</x:f>
        <x:v>-0.347259</x:v>
      </x:c>
    </x:row>
    <x:row r="9">
      <x:c r="A9" t="str">
        <x:v>Add: Loan Mark Accretion</x:v>
      </x:c>
      <x:c r="B9" s="48" t="n">
        <x:v>0</x:v>
      </x:c>
      <x:c r="C9" s="48" t="n">
        <x:f>'Purchase Accounting'!C21</x:f>
        <x:v>0.399537</x:v>
      </x:c>
      <x:c r="D9" s="48" t="n">
        <x:f>'Purchase Accounting'!C21</x:f>
        <x:v>0.399537</x:v>
      </x:c>
    </x:row>
    <x:row r="10">
      <x:c r="A10" s="50" t="str">
        <x:v>Pro Forma Net Income to Common</x:v>
      </x:c>
      <x:c r="B10" s="51" t="n">
        <x:f>SUM(B5:B9)</x:f>
        <x:v>67.5</x:v>
      </x:c>
      <x:c r="C10" s="51" t="n">
        <x:f>SUM(C5:C9)</x:f>
        <x:v>71.875023</x:v>
      </x:c>
      <x:c r="D10" s="51" t="n">
        <x:f>SUM(D5:D9)</x:f>
        <x:v>72.447768</x:v>
      </x:c>
    </x:row>
    <x:row r="11">
      <x:c r="A11" t="str">
        <x:v>Diluted Shares (mm)</x:v>
      </x:c>
      <x:c r="B11" s="56" t="n">
        <x:f>Inputs!B7</x:f>
        <x:v>2694.2</x:v>
      </x:c>
      <x:c r="C11" s="56" t="n">
        <x:f>Inputs!B7+'Deal Mechanics'!B14</x:f>
        <x:v>2864.9446148916113</x:v>
      </x:c>
      <x:c r="D11" s="56" t="n">
        <x:f>Inputs!B7+'Deal Mechanics'!B14</x:f>
        <x:v>2864.9446148916113</x:v>
      </x:c>
    </x:row>
    <x:row r="12">
      <x:c r="A12" s="50" t="str">
        <x:v>Standalone / Pro Forma EPS</x:v>
      </x:c>
      <x:c r="B12" s="60" t="n">
        <x:f>B10*1000/B11</x:f>
        <x:v>25.053819315566773</x:v>
      </x:c>
      <x:c r="C12" s="60" t="n">
        <x:f>C10*1000/C11</x:f>
        <x:v>25.087753049885478</x:v>
      </x:c>
      <x:c r="D12" s="60" t="n">
        <x:f>D10*1000/D11</x:f>
        <x:v>25.287667909329162</x:v>
      </x:c>
    </x:row>
    <x:row r="13">
      <x:c r="A13" t="str">
        <x:v>EPS Accretion / (Dilution)</x:v>
      </x:c>
      <x:c r="B13" s="44" t="n">
        <x:v>0</x:v>
      </x:c>
      <x:c r="C13" s="44" t="n">
        <x:f>C12/B12-1</x:f>
        <x:v>0.0013544335852067046</x:v>
      </x:c>
      <x:c r="D13" s="44" t="n">
        <x:f>D12/B12-1</x:f>
        <x:v>0.009333850093550033</x:v>
      </x:c>
    </x:row>
    <x:row r="14">
      <x:c r="A14" t="str">
        <x:v>Cumulative Earnings Benefit</x:v>
      </x:c>
      <x:c r="B14" s="48" t="n">
        <x:v>0</x:v>
      </x:c>
      <x:c r="C14" s="48" t="n">
        <x:f>C10-B10</x:f>
        <x:v>4.375022999999999</x:v>
      </x:c>
      <x:c r="D14" s="48" t="n">
        <x:f>C14+(D10-B10)</x:f>
        <x:v>9.322790999999995</x:v>
      </x:c>
    </x:row>
  </x:sheetData>
  <x:mergeCells>
    <x:mergeCell ref="A1:G1"/>
    <x:mergeCell ref="A3:G3"/>
  </x:mergeCells>
  <x:conditionalFormatting sqref="C13:D13">
    <x:cfRule type="expression" dxfId="0" priority="1">
      <x:formula>C13&gt;0</x:formula>
    </x:cfRule>
    <x:cfRule type="expression" dxfId="1" priority="2">
      <x:formula>C13&lt;0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7" customHeight="1">
      <x:c r="A1" s="3" t="str">
        <x:v>Tangible Book Value &amp; Capital Impact</x:v>
      </x:c>
      <x:c r="B1" s="3"/>
      <x:c r="C1" s="3"/>
      <x:c r="D1" s="3"/>
      <x:c r="E1" s="3"/>
      <x:c r="F1" s="3"/>
    </x:row>
    <x:row r="3">
      <x:c r="A3" s="10" t="str">
        <x:v>TBVPS Dilution</x:v>
      </x:c>
      <x:c r="B3" s="10"/>
      <x:c r="C3" s="10"/>
      <x:c r="D3" s="10"/>
      <x:c r="E3" s="10"/>
      <x:c r="F3" s="10"/>
    </x:row>
    <x:row r="4">
      <x:c r="A4" s="15" t="str">
        <x:v>Metric</x:v>
      </x:c>
      <x:c r="B4" s="15" t="str">
        <x:v>Value</x:v>
      </x:c>
    </x:row>
    <x:row r="5">
      <x:c r="A5" t="str">
        <x:v>JPM Tangible Common Equity ($bn)</x:v>
      </x:c>
      <x:c r="B5" s="48" t="n">
        <x:f>Inputs!B9</x:f>
        <x:v>301.314</x:v>
      </x:c>
    </x:row>
    <x:row r="6">
      <x:c r="A6" t="str">
        <x:v>FITB Tangible Common Equity Acquired ($bn)</x:v>
      </x:c>
      <x:c r="B6" s="48" t="n">
        <x:f>Inputs!C9</x:f>
        <x:v>21</x:v>
      </x:c>
    </x:row>
    <x:row r="7">
      <x:c r="A7" t="str">
        <x:v>Less: Premium to Target TCE ($bn)</x:v>
      </x:c>
      <x:c r="B7" s="48" t="n">
        <x:f>'Deal Mechanics'!B8-B6</x:f>
        <x:v>38.782812011999994</x:v>
      </x:c>
    </x:row>
    <x:row r="8">
      <x:c r="A8" t="str">
        <x:v>Less: One-Time Restructuring Costs ($bn)</x:v>
      </x:c>
      <x:c r="B8" s="48" t="n">
        <x:f>Inputs!B26</x:f>
        <x:v>1.2</x:v>
      </x:c>
    </x:row>
    <x:row r="9">
      <x:c r="A9" t="str">
        <x:v>Less: New CDI ($bn)</x:v>
      </x:c>
      <x:c r="B9" s="48" t="n">
        <x:f>'Purchase Accounting'!B10</x:f>
        <x:v>4.63012</x:v>
      </x:c>
    </x:row>
    <x:row r="10">
      <x:c r="A10" s="50" t="str">
        <x:v>Illustrative Pro Forma TCE ($bn)</x:v>
      </x:c>
      <x:c r="B10" s="51" t="n">
        <x:f>B5+B6-B7-B8-B9</x:f>
        <x:v>277.7010679880001</x:v>
      </x:c>
    </x:row>
    <x:row r="11">
      <x:c r="A11" t="str">
        <x:v>Pro Forma Shares (mm)</x:v>
      </x:c>
      <x:c r="B11" s="56" t="n">
        <x:f>Inputs!B7+'Deal Mechanics'!B14</x:f>
        <x:v>2864.9446148916113</x:v>
      </x:c>
    </x:row>
    <x:row r="12">
      <x:c r="A12" t="str">
        <x:v>Pro Forma TBVPS</x:v>
      </x:c>
      <x:c r="B12" s="58" t="n">
        <x:f>B10*1000/B11</x:f>
        <x:v>96.9306933699681</x:v>
      </x:c>
    </x:row>
    <x:row r="13">
      <x:c r="A13" t="str">
        <x:v>Standalone JPM TBVPS</x:v>
      </x:c>
      <x:c r="B13" s="58" t="n">
        <x:f>Inputs!B10</x:f>
        <x:v>113.35</x:v>
      </x:c>
    </x:row>
    <x:row r="14">
      <x:c r="A14" t="str">
        <x:v>TBVPS Dilution</x:v>
      </x:c>
      <x:c r="B14" s="44" t="n">
        <x:f>B12/B13-1</x:f>
        <x:v>-0.14485493277487338</x:v>
      </x:c>
    </x:row>
    <x:row r="16">
      <x:c r="A16" s="10" t="str">
        <x:v>Illustrative Capital Impact</x:v>
      </x:c>
      <x:c r="B16" s="10"/>
      <x:c r="C16" s="10"/>
      <x:c r="D16" s="10"/>
      <x:c r="E16" s="10"/>
      <x:c r="F16" s="10"/>
    </x:row>
    <x:row r="17">
      <x:c r="A17" s="15" t="str">
        <x:v>Metric</x:v>
      </x:c>
      <x:c r="B17" s="15" t="str">
        <x:v>Value</x:v>
      </x:c>
    </x:row>
    <x:row r="18">
      <x:c r="A18" t="str">
        <x:v>JPM CET1 Ratio — Standalone</x:v>
      </x:c>
      <x:c r="B18" s="44" t="n">
        <x:f>Inputs!B11</x:f>
        <x:v>0.141</x:v>
      </x:c>
    </x:row>
    <x:row r="19">
      <x:c r="A19" t="str">
        <x:v>Illustrative Transaction CET1 Impact</x:v>
      </x:c>
      <x:c r="B19" s="28" t="n">
        <x:v>-0.0035</x:v>
      </x:c>
    </x:row>
    <x:row r="20">
      <x:c r="A20" t="str">
        <x:v>Pro Forma CET1 Ratio</x:v>
      </x:c>
      <x:c r="B20" s="44" t="n">
        <x:f>B18+B19</x:f>
        <x:v>0.13749999999999998</x:v>
      </x:c>
    </x:row>
    <x:row r="21">
      <x:c r="A21" t="str">
        <x:v>FITB CET1 Ratio</x:v>
      </x:c>
      <x:c r="B21" s="44" t="n">
        <x:f>Inputs!C11</x:f>
        <x:v>0.0993</x:v>
      </x:c>
    </x:row>
    <x:row r="22">
      <x:c r="A22" t="str">
        <x:v>Regulatory / Execution Note</x:v>
      </x:c>
      <x:c r="B22" s="63" t="str">
        <x:v>This hypothetical transaction is designed for modeling practice, not as an executable recommendation. A JPM acquisition of a large U.S. depository institution would face significant regulatory, deposit-concentration, systemic-risk and antitrust scrutiny.</x:v>
      </x:c>
      <x:c r="C22" s="63"/>
      <x:c r="D22" s="63"/>
      <x:c r="E22" s="63"/>
      <x:c r="F22" s="63"/>
    </x:row>
    <x:row r="23">
      <x:c r="B23" s="63"/>
      <x:c r="C23" s="63"/>
      <x:c r="D23" s="63"/>
      <x:c r="E23" s="63"/>
      <x:c r="F23" s="63"/>
    </x:row>
    <x:row r="24">
      <x:c r="B24" s="63"/>
      <x:c r="C24" s="63"/>
      <x:c r="D24" s="63"/>
      <x:c r="E24" s="63"/>
      <x:c r="F24" s="63"/>
    </x:row>
  </x:sheetData>
  <x:mergeCells>
    <x:mergeCell ref="A1:F1"/>
    <x:mergeCell ref="A3:F3"/>
    <x:mergeCell ref="A16:F16"/>
    <x:mergeCell ref="B22:F24"/>
  </x:mergeCells>
  <x:conditionalFormatting sqref="B14:B14">
    <x:cfRule type="expression" dxfId="2" priority="1">
      <x:formula>B14&lt;0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" hidden="0" customWidth="1"/>
    <x:col min="8" max="8" width="4" hidden="0" customWidth="1"/>
  </x:cols>
  <x:sheetData>
    <x:row r="1" ht="27" customHeight="1">
      <x:c r="A1" s="3" t="str">
        <x:v>EPS Accretion / Dilution Sensitivity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Year 2 EPS Accretion / (Dilution): Offer Premium vs. Cost Saves</x:v>
      </x:c>
      <x:c r="B3" s="10"/>
      <x:c r="C3" s="10"/>
      <x:c r="D3" s="10"/>
      <x:c r="E3" s="10"/>
      <x:c r="F3" s="10"/>
      <x:c r="G3" s="10"/>
      <x:c r="H3" s="10"/>
    </x:row>
    <x:row r="5">
      <x:c r="A5" s="15" t="str">
        <x:v>Cost Saves \ Premium</x:v>
      </x:c>
      <x:c r="B5" s="67" t="n">
        <x:v>0.1</x:v>
      </x:c>
      <x:c r="C5" s="67" t="n">
        <x:v>0.15</x:v>
      </x:c>
      <x:c r="D5" s="67" t="n">
        <x:v>0.2</x:v>
      </x:c>
      <x:c r="E5" s="67" t="n">
        <x:v>0.25</x:v>
      </x:c>
      <x:c r="F5" s="67" t="n">
        <x:v>0.3</x:v>
      </x:c>
    </x:row>
    <x:row r="6">
      <x:c r="A6" s="44" t="n">
        <x:v>0.05</x:v>
      </x:c>
      <x:c r="B6" s="44" t="n">
        <x:f>((Inputs!B8+Inputs!C8+((Inputs!C14*$A6+Inputs!C15*Inputs!B22)*(1-Inputs!B25))-('Purchase Accounting'!B10/Inputs!B29)*(1-Inputs!B25)+('Purchase Accounting'!B9/Inputs!B30)*(1-Inputs!B25))*1000/(Inputs!B7+((Inputs!C6*(1+B$5)*Inputs!C7/1000)*Inputs!B20/Inputs!B6*1000)))/(Inputs!B8*1000/Inputs!B7)-1</x:f>
        <x:v>0.005513017561419087</x:v>
      </x:c>
      <x:c r="C6" s="44" t="n">
        <x:f>((Inputs!B8+Inputs!C8+((Inputs!C14*$A6+Inputs!C15*Inputs!B22)*(1-Inputs!B25))-('Purchase Accounting'!B10/Inputs!B29)*(1-Inputs!B25)+('Purchase Accounting'!B9/Inputs!B30)*(1-Inputs!B25))*1000/(Inputs!B7+((Inputs!C6*(1+C$5)*Inputs!C7/1000)*Inputs!B20/Inputs!B6*1000)))/(Inputs!B8*1000/Inputs!B7)-1</x:f>
        <x:v>0.0030098666045683675</x:v>
      </x:c>
      <x:c r="D6" s="44" t="n">
        <x:f>((Inputs!B8+Inputs!C8+((Inputs!C14*$A6+Inputs!C15*Inputs!B22)*(1-Inputs!B25))-('Purchase Accounting'!B10/Inputs!B29)*(1-Inputs!B25)+('Purchase Accounting'!B9/Inputs!B30)*(1-Inputs!B25))*1000/(Inputs!B7+((Inputs!C6*(1+D$5)*Inputs!C7/1000)*Inputs!B20/Inputs!B6*1000)))/(Inputs!B8*1000/Inputs!B7)-1</x:f>
        <x:v>0.0005191475211507868</x:v>
      </x:c>
      <x:c r="E6" s="44" t="n">
        <x:f>((Inputs!B8+Inputs!C8+((Inputs!C14*$A6+Inputs!C15*Inputs!B22)*(1-Inputs!B25))-('Purchase Accounting'!B10/Inputs!B29)*(1-Inputs!B25)+('Purchase Accounting'!B9/Inputs!B30)*(1-Inputs!B25))*1000/(Inputs!B7+((Inputs!C6*(1+E$5)*Inputs!C7/1000)*Inputs!B20/Inputs!B6*1000)))/(Inputs!B8*1000/Inputs!B7)-1</x:f>
        <x:v>-0.0019592320735768443</x:v>
      </x:c>
      <x:c r="F6" s="44" t="n">
        <x:f>((Inputs!B8+Inputs!C8+((Inputs!C14*$A6+Inputs!C15*Inputs!B22)*(1-Inputs!B25))-('Purchase Accounting'!B10/Inputs!B29)*(1-Inputs!B25)+('Purchase Accounting'!B9/Inputs!B30)*(1-Inputs!B25))*1000/(Inputs!B7+((Inputs!C6*(1+F$5)*Inputs!C7/1000)*Inputs!B20/Inputs!B6*1000)))/(Inputs!B8*1000/Inputs!B7)-1</x:f>
        <x:v>-0.004425363651236691</x:v>
      </x:c>
    </x:row>
    <x:row r="7">
      <x:c r="A7" s="44" t="n">
        <x:v>0.1</x:v>
      </x:c>
      <x:c r="B7" s="44" t="n">
        <x:f>((Inputs!B8+Inputs!C8+((Inputs!C14*$A7+Inputs!C15*Inputs!B22)*(1-Inputs!B25))-('Purchase Accounting'!B10/Inputs!B29)*(1-Inputs!B25)+('Purchase Accounting'!B9/Inputs!B30)*(1-Inputs!B25))*1000/(Inputs!B7+((Inputs!C6*(1+B$5)*Inputs!C7/1000)*Inputs!B20/Inputs!B6*1000)))/(Inputs!B8*1000/Inputs!B7)-1</x:f>
        <x:v>0.009942367166791088</x:v>
      </x:c>
      <x:c r="C7" s="44" t="n">
        <x:f>((Inputs!B8+Inputs!C8+((Inputs!C14*$A7+Inputs!C15*Inputs!B22)*(1-Inputs!B25))-('Purchase Accounting'!B10/Inputs!B29)*(1-Inputs!B25)+('Purchase Accounting'!B9/Inputs!B30)*(1-Inputs!B25))*1000/(Inputs!B7+((Inputs!C6*(1+C$5)*Inputs!C7/1000)*Inputs!B20/Inputs!B6*1000)))/(Inputs!B8*1000/Inputs!B7)-1</x:f>
        <x:v>0.007428189668752472</x:v>
      </x:c>
      <x:c r="D7" s="44" t="n">
        <x:f>((Inputs!B8+Inputs!C8+((Inputs!C14*$A7+Inputs!C15*Inputs!B22)*(1-Inputs!B25))-('Purchase Accounting'!B10/Inputs!B29)*(1-Inputs!B25)+('Purchase Accounting'!B9/Inputs!B30)*(1-Inputs!B25))*1000/(Inputs!B7+((Inputs!C6*(1+D$5)*Inputs!C7/1000)*Inputs!B20/Inputs!B6*1000)))/(Inputs!B8*1000/Inputs!B7)-1</x:f>
        <x:v>0.004926498807350299</x:v>
      </x:c>
      <x:c r="E7" s="44" t="n">
        <x:f>((Inputs!B8+Inputs!C8+((Inputs!C14*$A7+Inputs!C15*Inputs!B22)*(1-Inputs!B25))-('Purchase Accounting'!B10/Inputs!B29)*(1-Inputs!B25)+('Purchase Accounting'!B9/Inputs!B30)*(1-Inputs!B25))*1000/(Inputs!B7+((Inputs!C6*(1+E$5)*Inputs!C7/1000)*Inputs!B20/Inputs!B6*1000)))/(Inputs!B8*1000/Inputs!B7)-1</x:f>
        <x:v>0.0024372017908806942</x:v>
      </x:c>
      <x:c r="F7" s="44" t="n">
        <x:f>((Inputs!B8+Inputs!C8+((Inputs!C14*$A7+Inputs!C15*Inputs!B22)*(1-Inputs!B25))-('Purchase Accounting'!B10/Inputs!B29)*(1-Inputs!B25)+('Purchase Accounting'!B9/Inputs!B30)*(1-Inputs!B25))*1000/(Inputs!B7+((Inputs!C6*(1+F$5)*Inputs!C7/1000)*Inputs!B20/Inputs!B6*1000)))/(Inputs!B8*1000/Inputs!B7)-1</x:f>
        <x:v>-0.000039793255217190904</x:v>
      </x:c>
    </x:row>
    <x:row r="8">
      <x:c r="A8" s="44" t="n">
        <x:v>0.15</x:v>
      </x:c>
      <x:c r="B8" s="44" t="n">
        <x:f>((Inputs!B8+Inputs!C8+((Inputs!C14*$A8+Inputs!C15*Inputs!B22)*(1-Inputs!B25))-('Purchase Accounting'!B10/Inputs!B29)*(1-Inputs!B25)+('Purchase Accounting'!B9/Inputs!B30)*(1-Inputs!B25))*1000/(Inputs!B7+((Inputs!C6*(1+B$5)*Inputs!C7/1000)*Inputs!B20/Inputs!B6*1000)))/(Inputs!B8*1000/Inputs!B7)-1</x:f>
        <x:v>0.014371716772162868</x:v>
      </x:c>
      <x:c r="C8" s="44" t="n">
        <x:f>((Inputs!B8+Inputs!C8+((Inputs!C14*$A8+Inputs!C15*Inputs!B22)*(1-Inputs!B25))-('Purchase Accounting'!B10/Inputs!B29)*(1-Inputs!B25)+('Purchase Accounting'!B9/Inputs!B30)*(1-Inputs!B25))*1000/(Inputs!B7+((Inputs!C6*(1+C$5)*Inputs!C7/1000)*Inputs!B20/Inputs!B6*1000)))/(Inputs!B8*1000/Inputs!B7)-1</x:f>
        <x:v>0.011846512732936576</x:v>
      </x:c>
      <x:c r="D8" s="44" t="n">
        <x:f>((Inputs!B8+Inputs!C8+((Inputs!C14*$A8+Inputs!C15*Inputs!B22)*(1-Inputs!B25))-('Purchase Accounting'!B10/Inputs!B29)*(1-Inputs!B25)+('Purchase Accounting'!B9/Inputs!B30)*(1-Inputs!B25))*1000/(Inputs!B7+((Inputs!C6*(1+D$5)*Inputs!C7/1000)*Inputs!B20/Inputs!B6*1000)))/(Inputs!B8*1000/Inputs!B7)-1</x:f>
        <x:v>0.009333850093550033</x:v>
      </x:c>
      <x:c r="E8" s="44" t="n">
        <x:f>((Inputs!B8+Inputs!C8+((Inputs!C14*$A8+Inputs!C15*Inputs!B22)*(1-Inputs!B25))-('Purchase Accounting'!B10/Inputs!B29)*(1-Inputs!B25)+('Purchase Accounting'!B9/Inputs!B30)*(1-Inputs!B25))*1000/(Inputs!B7+((Inputs!C6*(1+E$5)*Inputs!C7/1000)*Inputs!B20/Inputs!B6*1000)))/(Inputs!B8*1000/Inputs!B7)-1</x:f>
        <x:v>0.006833635655338233</x:v>
      </x:c>
      <x:c r="F8" s="44" t="n">
        <x:f>((Inputs!B8+Inputs!C8+((Inputs!C14*$A8+Inputs!C15*Inputs!B22)*(1-Inputs!B25))-('Purchase Accounting'!B10/Inputs!B29)*(1-Inputs!B25)+('Purchase Accounting'!B9/Inputs!B30)*(1-Inputs!B25))*1000/(Inputs!B7+((Inputs!C6*(1+F$5)*Inputs!C7/1000)*Inputs!B20/Inputs!B6*1000)))/(Inputs!B8*1000/Inputs!B7)-1</x:f>
        <x:v>0.00434577714080242</x:v>
      </x:c>
    </x:row>
    <x:row r="9">
      <x:c r="A9" s="44" t="n">
        <x:v>0.2</x:v>
      </x:c>
      <x:c r="B9" s="44" t="n">
        <x:f>((Inputs!B8+Inputs!C8+((Inputs!C14*$A9+Inputs!C15*Inputs!B22)*(1-Inputs!B25))-('Purchase Accounting'!B10/Inputs!B29)*(1-Inputs!B25)+('Purchase Accounting'!B9/Inputs!B30)*(1-Inputs!B25))*1000/(Inputs!B7+((Inputs!C6*(1+B$5)*Inputs!C7/1000)*Inputs!B20/Inputs!B6*1000)))/(Inputs!B8*1000/Inputs!B7)-1</x:f>
        <x:v>0.01880106637753487</x:v>
      </x:c>
      <x:c r="C9" s="44" t="n">
        <x:f>((Inputs!B8+Inputs!C8+((Inputs!C14*$A9+Inputs!C15*Inputs!B22)*(1-Inputs!B25))-('Purchase Accounting'!B10/Inputs!B29)*(1-Inputs!B25)+('Purchase Accounting'!B9/Inputs!B30)*(1-Inputs!B25))*1000/(Inputs!B7+((Inputs!C6*(1+C$5)*Inputs!C7/1000)*Inputs!B20/Inputs!B6*1000)))/(Inputs!B8*1000/Inputs!B7)-1</x:f>
        <x:v>0.016264835797120902</x:v>
      </x:c>
      <x:c r="D9" s="44" t="n">
        <x:f>((Inputs!B8+Inputs!C8+((Inputs!C14*$A9+Inputs!C15*Inputs!B22)*(1-Inputs!B25))-('Purchase Accounting'!B10/Inputs!B29)*(1-Inputs!B25)+('Purchase Accounting'!B9/Inputs!B30)*(1-Inputs!B25))*1000/(Inputs!B7+((Inputs!C6*(1+D$5)*Inputs!C7/1000)*Inputs!B20/Inputs!B6*1000)))/(Inputs!B8*1000/Inputs!B7)-1</x:f>
        <x:v>0.013741201379749768</x:v>
      </x:c>
      <x:c r="E9" s="44" t="n">
        <x:f>((Inputs!B8+Inputs!C8+((Inputs!C14*$A9+Inputs!C15*Inputs!B22)*(1-Inputs!B25))-('Purchase Accounting'!B10/Inputs!B29)*(1-Inputs!B25)+('Purchase Accounting'!B9/Inputs!B30)*(1-Inputs!B25))*1000/(Inputs!B7+((Inputs!C6*(1+E$5)*Inputs!C7/1000)*Inputs!B20/Inputs!B6*1000)))/(Inputs!B8*1000/Inputs!B7)-1</x:f>
        <x:v>0.011230069519795993</x:v>
      </x:c>
      <x:c r="F9" s="44" t="n">
        <x:f>((Inputs!B8+Inputs!C8+((Inputs!C14*$A9+Inputs!C15*Inputs!B22)*(1-Inputs!B25))-('Purchase Accounting'!B10/Inputs!B29)*(1-Inputs!B25)+('Purchase Accounting'!B9/Inputs!B30)*(1-Inputs!B25))*1000/(Inputs!B7+((Inputs!C6*(1+F$5)*Inputs!C7/1000)*Inputs!B20/Inputs!B6*1000)))/(Inputs!B8*1000/Inputs!B7)-1</x:f>
        <x:v>0.008731347536822032</x:v>
      </x:c>
    </x:row>
    <x:row r="10">
      <x:c r="A10" s="44" t="n">
        <x:v>0.25</x:v>
      </x:c>
      <x:c r="B10" s="44" t="n">
        <x:f>((Inputs!B8+Inputs!C8+((Inputs!C14*$A10+Inputs!C15*Inputs!B22)*(1-Inputs!B25))-('Purchase Accounting'!B10/Inputs!B29)*(1-Inputs!B25)+('Purchase Accounting'!B9/Inputs!B30)*(1-Inputs!B25))*1000/(Inputs!B7+((Inputs!C6*(1+B$5)*Inputs!C7/1000)*Inputs!B20/Inputs!B6*1000)))/(Inputs!B8*1000/Inputs!B7)-1</x:f>
        <x:v>0.02323041598290665</x:v>
      </x:c>
      <x:c r="C10" s="44" t="n">
        <x:f>((Inputs!B8+Inputs!C8+((Inputs!C14*$A10+Inputs!C15*Inputs!B22)*(1-Inputs!B25))-('Purchase Accounting'!B10/Inputs!B29)*(1-Inputs!B25)+('Purchase Accounting'!B9/Inputs!B30)*(1-Inputs!B25))*1000/(Inputs!B7+((Inputs!C6*(1+C$5)*Inputs!C7/1000)*Inputs!B20/Inputs!B6*1000)))/(Inputs!B8*1000/Inputs!B7)-1</x:f>
        <x:v>0.020683158861305007</x:v>
      </x:c>
      <x:c r="D10" s="44" t="n">
        <x:f>((Inputs!B8+Inputs!C8+((Inputs!C14*$A10+Inputs!C15*Inputs!B22)*(1-Inputs!B25))-('Purchase Accounting'!B10/Inputs!B29)*(1-Inputs!B25)+('Purchase Accounting'!B9/Inputs!B30)*(1-Inputs!B25))*1000/(Inputs!B7+((Inputs!C6*(1+D$5)*Inputs!C7/1000)*Inputs!B20/Inputs!B6*1000)))/(Inputs!B8*1000/Inputs!B7)-1</x:f>
        <x:v>0.01814855266594928</x:v>
      </x:c>
      <x:c r="E10" s="44" t="n">
        <x:f>((Inputs!B8+Inputs!C8+((Inputs!C14*$A10+Inputs!C15*Inputs!B22)*(1-Inputs!B25))-('Purchase Accounting'!B10/Inputs!B29)*(1-Inputs!B25)+('Purchase Accounting'!B9/Inputs!B30)*(1-Inputs!B25))*1000/(Inputs!B7+((Inputs!C6*(1+E$5)*Inputs!C7/1000)*Inputs!B20/Inputs!B6*1000)))/(Inputs!B8*1000/Inputs!B7)-1</x:f>
        <x:v>0.01562650338425353</x:v>
      </x:c>
      <x:c r="F10" s="44" t="n">
        <x:f>((Inputs!B8+Inputs!C8+((Inputs!C14*$A10+Inputs!C15*Inputs!B22)*(1-Inputs!B25))-('Purchase Accounting'!B10/Inputs!B29)*(1-Inputs!B25)+('Purchase Accounting'!B9/Inputs!B30)*(1-Inputs!B25))*1000/(Inputs!B7+((Inputs!C6*(1+F$5)*Inputs!C7/1000)*Inputs!B20/Inputs!B6*1000)))/(Inputs!B8*1000/Inputs!B7)-1</x:f>
        <x:v>0.013116917932841421</x:v>
      </x:c>
    </x:row>
  </x:sheetData>
  <x:mergeCells>
    <x:mergeCell ref="A1:H1"/>
    <x:mergeCell ref="A3:H3"/>
  </x:mergeCells>
  <x:conditionalFormatting sqref="B6:F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48" hidden="0" customWidth="1"/>
  </x:cols>
  <x:sheetData>
    <x:row r="1" ht="27" customHeight="1">
      <x:c r="A1" s="3" t="str">
        <x:v>Sources &amp; Model Notes</x:v>
      </x:c>
      <x:c r="B1" s="3"/>
      <x:c r="C1" s="3"/>
      <x:c r="D1" s="3"/>
    </x:row>
    <x:row r="3">
      <x:c r="A3" s="9" t="str">
        <x:v>Data</x:v>
      </x:c>
      <x:c r="B3" s="9" t="str">
        <x:v>Source</x:v>
      </x:c>
      <x:c r="C3" s="9" t="str">
        <x:v>URL</x:v>
      </x:c>
      <x:c r="D3" s="9" t="str">
        <x:v>Use in Model</x:v>
      </x:c>
    </x:row>
    <x:row r="4" ht="42" customHeight="1">
      <x:c r="A4" s="62" t="str">
        <x:v>JPM 2Q26 financials</x:v>
      </x:c>
      <x:c r="B4" s="62" t="str">
        <x:v>JPMorgan Chase Investor Relations</x:v>
      </x:c>
      <x:c r="C4" s="92" t="str">
        <x:v>https://www.jpmorganchase.com/content/dam/jpmc/jpmorgan-chase-and-co/investor-relations/documents/quarterly-earnings/2026/2nd-quarter/c9c097af-34e9-4aae-92d2-909a2ab7c083.pdf</x:v>
      </x:c>
      <x:c r="D4" s="62" t="str">
        <x:v>Shares, TBVPS, TCE, CET1, earnings context</x:v>
      </x:c>
    </x:row>
    <x:row r="5" ht="42" customHeight="1">
      <x:c r="A5" s="62" t="str">
        <x:v>JPM 2Q26 earnings release</x:v>
      </x:c>
      <x:c r="B5" s="62" t="str">
        <x:v>JPMorgan Chase</x:v>
      </x:c>
      <x:c r="C5" s="92" t="str">
        <x:v>https://www.jpmorganchase.com/content/dam/jpmc/jpmorgan-chase-and-co/investor-relations/documents/quarterly-earnings/2026/2nd-quarter/6cded9fd-a164-4e6c-8cff-377357cf105c.pdf</x:v>
      </x:c>
      <x:c r="D5" s="62" t="str">
        <x:v>2Q26 net income, EPS, revenue, capital</x:v>
      </x:c>
    </x:row>
    <x:row r="6" ht="42" customHeight="1">
      <x:c r="A6" s="62" t="str">
        <x:v>FITB 2Q26 earnings</x:v>
      </x:c>
      <x:c r="B6" s="62" t="str">
        <x:v>Fifth Third / SEC</x:v>
      </x:c>
      <x:c r="C6" s="92" t="str">
        <x:v>https://www.sec.gov/Archives/edgar/data/35527/000003552726000193/q22026earningsrelease.htm</x:v>
      </x:c>
      <x:c r="D6" s="62" t="str">
        <x:v>Shares, TBVPS, CET1, loans, deposits, revenue, expense</x:v>
      </x:c>
    </x:row>
    <x:row r="7" ht="42" customHeight="1">
      <x:c r="A7" s="62" t="str">
        <x:v>FITB 2025 Annual Report</x:v>
      </x:c>
      <x:c r="B7" s="62" t="str">
        <x:v>Fifth Third / SEC</x:v>
      </x:c>
      <x:c r="C7" s="92" t="str">
        <x:v>https://www.sec.gov/Archives/edgar/data/35527/000003552726000124/a2025annualreport.pdf</x:v>
      </x:c>
      <x:c r="D7" s="62" t="str">
        <x:v>Historical balance sheet and earnings</x:v>
      </x:c>
    </x:row>
    <x:row r="8" ht="42" customHeight="1">
      <x:c r="A8" s="62" t="str">
        <x:v>FITB / Comerica merger</x:v>
      </x:c>
      <x:c r="B8" s="62" t="str">
        <x:v>SEC</x:v>
      </x:c>
      <x:c r="C8" s="92" t="str">
        <x:v>https://www.sec.gov/Archives/edgar/data/35527/000003552726000202/R12.htm</x:v>
      </x:c>
      <x:c r="D8" s="62" t="str">
        <x:v>Confirms Feb. 1, 2026 close and $12.7bn transaction value</x:v>
      </x:c>
    </x:row>
    <x:row r="9" ht="42" customHeight="1">
      <x:c r="A9" s="62" t="str">
        <x:v>FITB price reference</x:v>
      </x:c>
      <x:c r="B9" s="62" t="str">
        <x:v>MarketBeat</x:v>
      </x:c>
      <x:c r="C9" s="92" t="str">
        <x:v>https://www.marketbeat.com/stocks/NASDAQ/FITB/chart/</x:v>
      </x:c>
      <x:c r="D9" s="62" t="str">
        <x:v>9/14/2026 close</x:v>
      </x:c>
    </x:row>
    <x:row r="10" ht="42" customHeight="1">
      <x:c r="A10" s="62" t="str">
        <x:v>JPM price reference</x:v>
      </x:c>
      <x:c r="B10" s="62" t="str">
        <x:v>MarketWatch</x:v>
      </x:c>
      <x:c r="C10" s="92" t="str">
        <x:v>https://www.marketwatch.com/</x:v>
      </x:c>
      <x:c r="D10" s="62" t="str">
        <x:v>9/14/2026 close reported at $350.13</x:v>
      </x:c>
    </x:row>
    <x:row r="12">
      <x:c r="A12" s="10" t="str">
        <x:v>Modeling Notes</x:v>
      </x:c>
      <x:c r="B12" s="10"/>
      <x:c r="C12" s="10"/>
      <x:c r="D12" s="10"/>
    </x:row>
    <x:row r="13">
      <x:c r="A13" s="63" t="str">
        <x:v>Blue font / yellow fill = hardcoded assumptions. Green font = links from other worksheets. Black font = formulas. The model uses illustrative 2026E normalized earnings and transaction assumptions because this is a hypothetical transaction. Purchase accounting, CET1 impact, synergies, restructuring costs and phase-in are simplified for educational modeling and should not be treated as a fairness opinion or executable transaction analysis.</x:v>
      </x:c>
      <x:c r="B13" s="63"/>
      <x:c r="C13" s="63"/>
      <x:c r="D13" s="63"/>
    </x:row>
    <x:row r="14">
      <x:c r="A14" s="63"/>
      <x:c r="B14" s="63"/>
      <x:c r="C14" s="63"/>
      <x:c r="D14" s="63"/>
    </x:row>
    <x:row r="15">
      <x:c r="A15" s="63"/>
      <x:c r="B15" s="63"/>
      <x:c r="C15" s="63"/>
      <x:c r="D15" s="63"/>
    </x:row>
    <x:row r="16">
      <x:c r="A16" s="63"/>
      <x:c r="B16" s="63"/>
      <x:c r="C16" s="63"/>
      <x:c r="D16" s="63"/>
    </x:row>
    <x:row r="17">
      <x:c r="A17" s="63"/>
      <x:c r="B17" s="63"/>
      <x:c r="C17" s="63"/>
      <x:c r="D17" s="63"/>
    </x:row>
  </x:sheetData>
  <x:mergeCells>
    <x:mergeCell ref="A1:D1"/>
    <x:mergeCell ref="A12:D12"/>
    <x:mergeCell ref="A13:D17"/>
  </x:mergeCells>
  <x:pageMargins left="0.7" right="0.7" top="0.75" bottom="0.75" header="0.3" footer="0.3"/>
</x:worksheet>
</file>