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Portfolio" sheetId="1" state="visible" r:id="rId1"/>
    <sheet xmlns:r="http://schemas.openxmlformats.org/officeDocument/2006/relationships" name="Rate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Fixed Income / Bond Portfolio Model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Duration, convexity, spread and rate-scenario analysis</t>
        </is>
      </c>
    </row>
    <row r="4">
      <c r="A4" t="inlineStr">
        <is>
          <t>Bond</t>
        </is>
      </c>
      <c r="B4" t="inlineStr">
        <is>
          <t>Yield %</t>
        </is>
      </c>
      <c r="C4" t="inlineStr">
        <is>
          <t>Maturity</t>
        </is>
      </c>
      <c r="D4" t="inlineStr">
        <is>
          <t>Duration</t>
        </is>
      </c>
      <c r="E4" t="inlineStr">
        <is>
          <t>Spread bps</t>
        </is>
      </c>
      <c r="F4" t="inlineStr">
        <is>
          <t>Weight</t>
        </is>
      </c>
      <c r="G4" t="inlineStr">
        <is>
          <t>Price Impact +100bp</t>
        </is>
      </c>
      <c r="H4" t="inlineStr">
        <is>
          <t>Price Impact -100bp</t>
        </is>
      </c>
    </row>
    <row r="5">
      <c r="A5" t="inlineStr">
        <is>
          <t>US Treasury 5Y</t>
        </is>
      </c>
      <c r="B5" s="3" t="n">
        <v>4.1</v>
      </c>
      <c r="C5" t="n">
        <v>5</v>
      </c>
      <c r="D5" t="n">
        <v>4.4</v>
      </c>
      <c r="E5" t="n">
        <v>0</v>
      </c>
      <c r="F5" s="4" t="n">
        <v>20</v>
      </c>
      <c r="G5" s="5">
        <f>-D5*1%</f>
        <v/>
      </c>
      <c r="H5" s="5">
        <f>D5*1%</f>
        <v/>
      </c>
    </row>
    <row r="6">
      <c r="A6" t="inlineStr">
        <is>
          <t>IG Corp A</t>
        </is>
      </c>
      <c r="B6" s="3" t="n">
        <v>5.2</v>
      </c>
      <c r="C6" t="n">
        <v>7</v>
      </c>
      <c r="D6" t="n">
        <v>5.8</v>
      </c>
      <c r="E6" t="n">
        <v>85</v>
      </c>
      <c r="F6" s="4" t="n">
        <v>20</v>
      </c>
      <c r="G6" s="5">
        <f>-D6*1%</f>
        <v/>
      </c>
      <c r="H6" s="5">
        <f>D6*1%</f>
        <v/>
      </c>
    </row>
    <row r="7">
      <c r="A7" t="inlineStr">
        <is>
          <t>IG Corp BBB</t>
        </is>
      </c>
      <c r="B7" s="3" t="n">
        <v>5.8</v>
      </c>
      <c r="C7" t="n">
        <v>8</v>
      </c>
      <c r="D7" t="n">
        <v>6.4</v>
      </c>
      <c r="E7" t="n">
        <v>145</v>
      </c>
      <c r="F7" s="4" t="n">
        <v>20</v>
      </c>
      <c r="G7" s="5">
        <f>-D7*1%</f>
        <v/>
      </c>
      <c r="H7" s="5">
        <f>D7*1%</f>
        <v/>
      </c>
    </row>
    <row r="8">
      <c r="A8" t="inlineStr">
        <is>
          <t>Muni AA</t>
        </is>
      </c>
      <c r="B8" s="3" t="n">
        <v>4.4</v>
      </c>
      <c r="C8" t="n">
        <v>10</v>
      </c>
      <c r="D8" t="n">
        <v>7.2</v>
      </c>
      <c r="E8" t="n">
        <v>70</v>
      </c>
      <c r="F8" s="4" t="n">
        <v>15</v>
      </c>
      <c r="G8" s="5">
        <f>-D8*1%</f>
        <v/>
      </c>
      <c r="H8" s="5">
        <f>D8*1%</f>
        <v/>
      </c>
    </row>
    <row r="9">
      <c r="A9" t="inlineStr">
        <is>
          <t>HY BB</t>
        </is>
      </c>
      <c r="B9" s="3" t="n">
        <v>7.4</v>
      </c>
      <c r="C9" t="n">
        <v>6</v>
      </c>
      <c r="D9" t="n">
        <v>4.9</v>
      </c>
      <c r="E9" t="n">
        <v>310</v>
      </c>
      <c r="F9" s="4" t="n">
        <v>15</v>
      </c>
      <c r="G9" s="5">
        <f>-D9*1%</f>
        <v/>
      </c>
      <c r="H9" s="5">
        <f>D9*1%</f>
        <v/>
      </c>
    </row>
    <row r="10">
      <c r="A10" t="inlineStr">
        <is>
          <t>TIPS</t>
        </is>
      </c>
      <c r="B10" s="3" t="n">
        <v>4</v>
      </c>
      <c r="C10" t="n">
        <v>10</v>
      </c>
      <c r="D10" t="n">
        <v>7.8</v>
      </c>
      <c r="E10" t="n">
        <v>0</v>
      </c>
      <c r="F10" s="4" t="n">
        <v>10</v>
      </c>
      <c r="G10" s="5">
        <f>-D10*1%</f>
        <v/>
      </c>
      <c r="H10" s="5">
        <f>D10*1%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Rate Scenario Analysis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Scenario</t>
        </is>
      </c>
      <c r="B4" t="inlineStr">
        <is>
          <t>Rate Move</t>
        </is>
      </c>
      <c r="C4" t="inlineStr">
        <is>
          <t>Expected Portfolio Effect</t>
        </is>
      </c>
    </row>
    <row r="5">
      <c r="A5" t="inlineStr">
        <is>
          <t>Bull Steepener</t>
        </is>
      </c>
      <c r="B5" t="n">
        <v>-1</v>
      </c>
      <c r="C5" t="inlineStr">
        <is>
          <t>Positive duration contribution</t>
        </is>
      </c>
    </row>
    <row r="6">
      <c r="A6" t="inlineStr">
        <is>
          <t>Base</t>
        </is>
      </c>
      <c r="B6" t="n">
        <v>0</v>
      </c>
      <c r="C6" t="inlineStr">
        <is>
          <t>Carry / roll-down</t>
        </is>
      </c>
    </row>
    <row r="7">
      <c r="A7" t="inlineStr">
        <is>
          <t>Bear Shift</t>
        </is>
      </c>
      <c r="B7" t="n">
        <v>1</v>
      </c>
      <c r="C7" t="inlineStr">
        <is>
          <t>Negative duration contribution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